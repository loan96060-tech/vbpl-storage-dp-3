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0Công việc\3-CO SO DU LIEU QUOC GIA\NAM 2026\UBND TP\"/>
    </mc:Choice>
  </mc:AlternateContent>
  <bookViews>
    <workbookView xWindow="0" yWindow="0" windowWidth="15705" windowHeight="11415" tabRatio="901" firstSheet="4" activeTab="8"/>
  </bookViews>
  <sheets>
    <sheet name="Tong hop" sheetId="8" state="hidden" r:id="rId1"/>
    <sheet name="Thoat nuoc" sheetId="3" state="hidden" r:id="rId2"/>
    <sheet name="PL1. So XD-Giao thong thuy" sheetId="18" r:id="rId3"/>
    <sheet name="PL2. So XD-Tieu thoat nuoc" sheetId="16" r:id="rId4"/>
    <sheet name="PL3. So NNMT-Tuoi tieu SXNN" sheetId="19" r:id="rId5"/>
    <sheet name="PL4. So NNMT-ho dap" sheetId="25" r:id="rId6"/>
    <sheet name="PL5. Phuong xa-song kenh rach" sheetId="15" r:id="rId7"/>
    <sheet name="PL6. Phuong xa-Ho dap phan" sheetId="24" r:id="rId8"/>
    <sheet name="PL7. BQL VQG Con Dao" sheetId="26" r:id="rId9"/>
    <sheet name="Tuoi tieu nong nghiep" sheetId="6" state="hidden" r:id="rId10"/>
  </sheets>
  <definedNames>
    <definedName name="_xlnm._FilterDatabase" localSheetId="9" hidden="1">'Tuoi tieu nong nghiep'!$A$1:$J$6</definedName>
    <definedName name="A" localSheetId="8">#REF!</definedName>
    <definedName name="A">#REF!</definedName>
    <definedName name="_xlnm.Print_Area" localSheetId="2">'PL1. So XD-Giao thong thuy'!$A$1:$H$200</definedName>
    <definedName name="_xlnm.Print_Area" localSheetId="3">'PL2. So XD-Tieu thoat nuoc'!$A$1:$H$170</definedName>
    <definedName name="_xlnm.Print_Area" localSheetId="4">'PL3. So NNMT-Tuoi tieu SXNN'!$A$1:$J$1044</definedName>
    <definedName name="_xlnm.Print_Area" localSheetId="6">'PL5. Phuong xa-song kenh rach'!$A$1:$H$3261</definedName>
    <definedName name="_xlnm.Print_Titles" localSheetId="2">'PL1. So XD-Giao thong thuy'!$2:$3</definedName>
    <definedName name="_xlnm.Print_Titles" localSheetId="3">'PL2. So XD-Tieu thoat nuoc'!$2:$3</definedName>
    <definedName name="_xlnm.Print_Titles" localSheetId="4">'PL3. So NNMT-Tuoi tieu SXNN'!$2:$3</definedName>
    <definedName name="_xlnm.Print_Titles" localSheetId="5">'PL4. So NNMT-ho dap'!$4:$5</definedName>
    <definedName name="_xlnm.Print_Titles" localSheetId="6">'PL5. Phuong xa-song kenh rach'!$2:$3</definedName>
    <definedName name="_xlnm.Print_Titles" localSheetId="7">'PL6. Phuong xa-Ho dap phan'!$2:$3</definedName>
    <definedName name="_xlnm.Print_Titles" localSheetId="9">'Tuoi tieu nong nghiep'!$5:$6</definedName>
    <definedName name="_xlnm.Print_Titles" localSheetId="1">'Thoat nuoc'!$4:$5</definedName>
  </definedNames>
  <calcPr calcId="152511"/>
</workbook>
</file>

<file path=xl/calcChain.xml><?xml version="1.0" encoding="utf-8"?>
<calcChain xmlns="http://schemas.openxmlformats.org/spreadsheetml/2006/main">
  <c r="A996" i="19" l="1"/>
  <c r="A997" i="19" s="1"/>
  <c r="A998" i="19" s="1"/>
  <c r="A999" i="19" s="1"/>
  <c r="A1000" i="19" s="1"/>
  <c r="A1001" i="19" s="1"/>
  <c r="A1002" i="19" s="1"/>
  <c r="A1003" i="19" s="1"/>
  <c r="A1004" i="19" s="1"/>
  <c r="A1005" i="19" s="1"/>
  <c r="A1006" i="19" s="1"/>
  <c r="A982" i="19"/>
  <c r="A983" i="19" s="1"/>
  <c r="A984" i="19" s="1"/>
  <c r="A985" i="19" s="1"/>
  <c r="A986" i="19" s="1"/>
  <c r="A987" i="19" s="1"/>
  <c r="A988" i="19" s="1"/>
  <c r="A989" i="19" s="1"/>
  <c r="A990" i="19" s="1"/>
  <c r="A991" i="19" s="1"/>
  <c r="A992" i="19" s="1"/>
  <c r="A993" i="19" s="1"/>
  <c r="A994" i="19" s="1"/>
  <c r="A995" i="19" s="1"/>
  <c r="A933" i="19"/>
  <c r="A934" i="19"/>
  <c r="A935" i="19"/>
  <c r="A936" i="19" s="1"/>
  <c r="A937" i="19" s="1"/>
  <c r="A938" i="19" s="1"/>
  <c r="A939" i="19" s="1"/>
  <c r="A940" i="19" s="1"/>
  <c r="A941" i="19" s="1"/>
  <c r="A942" i="19" s="1"/>
  <c r="A943" i="19" s="1"/>
  <c r="A944" i="19" s="1"/>
  <c r="A945" i="19" s="1"/>
  <c r="A946" i="19" s="1"/>
  <c r="A947" i="19" s="1"/>
  <c r="A948" i="19" s="1"/>
  <c r="A949" i="19" s="1"/>
  <c r="A950" i="19" s="1"/>
  <c r="A951" i="19" s="1"/>
  <c r="A952" i="19" s="1"/>
  <c r="A953" i="19" s="1"/>
  <c r="A954" i="19" s="1"/>
  <c r="A955" i="19" s="1"/>
  <c r="A956" i="19" s="1"/>
  <c r="A957" i="19" s="1"/>
  <c r="A958" i="19" s="1"/>
  <c r="A959" i="19" s="1"/>
  <c r="A960" i="19" s="1"/>
  <c r="A961" i="19" s="1"/>
  <c r="A962" i="19" s="1"/>
  <c r="A963" i="19" s="1"/>
  <c r="A964" i="19" s="1"/>
  <c r="A965" i="19" s="1"/>
  <c r="A966" i="19" s="1"/>
  <c r="A967" i="19" s="1"/>
  <c r="A968" i="19" s="1"/>
  <c r="A969" i="19" s="1"/>
  <c r="A970" i="19" s="1"/>
  <c r="A971" i="19" s="1"/>
  <c r="A972" i="19" s="1"/>
  <c r="A973" i="19" s="1"/>
  <c r="A974" i="19" s="1"/>
  <c r="A975" i="19" s="1"/>
  <c r="A976" i="19" s="1"/>
  <c r="A977" i="19" s="1"/>
  <c r="A978" i="19" s="1"/>
  <c r="A979" i="19" s="1"/>
  <c r="G4" i="19" l="1"/>
  <c r="G929" i="19"/>
  <c r="G5" i="19"/>
  <c r="G893" i="19"/>
  <c r="D510" i="15" l="1"/>
  <c r="D511" i="15"/>
  <c r="D512" i="15"/>
  <c r="D513" i="15"/>
  <c r="D514" i="15"/>
  <c r="D515" i="15"/>
  <c r="D516" i="15"/>
  <c r="D517" i="15"/>
  <c r="D518" i="15"/>
  <c r="D519" i="15"/>
  <c r="F11" i="16" l="1"/>
  <c r="G959" i="15"/>
  <c r="G1007" i="19"/>
  <c r="G980" i="19"/>
  <c r="G930" i="19"/>
  <c r="G6" i="19"/>
  <c r="A932" i="19"/>
  <c r="D1971" i="15"/>
  <c r="D1972" i="15"/>
  <c r="D1973" i="15"/>
  <c r="D1974" i="15"/>
  <c r="D1975" i="15"/>
  <c r="D1976" i="15"/>
  <c r="D1977" i="15"/>
  <c r="D1978" i="15"/>
  <c r="D1979" i="15"/>
  <c r="D1980" i="15"/>
  <c r="D1981" i="15"/>
  <c r="D1982" i="15"/>
  <c r="D1983" i="15"/>
  <c r="D1984" i="15"/>
  <c r="D1985" i="15"/>
  <c r="D1986" i="15"/>
  <c r="D1987" i="15"/>
  <c r="D1988" i="15"/>
  <c r="D1989" i="15"/>
  <c r="D1990" i="15"/>
  <c r="D1991" i="15"/>
  <c r="D1992" i="15"/>
  <c r="D1993" i="15"/>
  <c r="D1994" i="15"/>
  <c r="D1995" i="15"/>
  <c r="D1996" i="15"/>
  <c r="D1997" i="15"/>
  <c r="D1998" i="15"/>
  <c r="D1999" i="15"/>
  <c r="D2000" i="15"/>
  <c r="D2001" i="15"/>
  <c r="D2002" i="15"/>
  <c r="D2003" i="15"/>
  <c r="D2004" i="15"/>
  <c r="D2005" i="15"/>
  <c r="D2006" i="15"/>
  <c r="D2007" i="15"/>
  <c r="D2008" i="15"/>
  <c r="D2009" i="15"/>
  <c r="D2010" i="15"/>
  <c r="D2011" i="15"/>
  <c r="D2012" i="15"/>
  <c r="D2013" i="15"/>
  <c r="D2014" i="15"/>
  <c r="D2015" i="15"/>
  <c r="D2016" i="15"/>
  <c r="D2017" i="15"/>
  <c r="G1235" i="15"/>
  <c r="G2240" i="15"/>
  <c r="G2938" i="15"/>
  <c r="G2695" i="15" s="1"/>
  <c r="A1008" i="19"/>
  <c r="A1009" i="19" s="1"/>
  <c r="A1010" i="19" s="1"/>
  <c r="A1011" i="19" s="1"/>
  <c r="A1012" i="19" s="1"/>
  <c r="A1013" i="19" s="1"/>
  <c r="A1014" i="19" s="1"/>
  <c r="A1015" i="19" s="1"/>
  <c r="A1016" i="19" s="1"/>
  <c r="A1017" i="19" s="1"/>
  <c r="A1018" i="19" s="1"/>
  <c r="A1019" i="19" s="1"/>
  <c r="A1020" i="19" s="1"/>
  <c r="A1021" i="19" s="1"/>
  <c r="A1022" i="19" s="1"/>
  <c r="A1023" i="19" s="1"/>
  <c r="A1024" i="19" s="1"/>
  <c r="A1025" i="19" s="1"/>
  <c r="A1026" i="19" s="1"/>
  <c r="A1027" i="19" s="1"/>
  <c r="A1028" i="19" s="1"/>
  <c r="A1029" i="19" s="1"/>
  <c r="A1030" i="19" s="1"/>
  <c r="A1031" i="19" s="1"/>
  <c r="A1032" i="19" s="1"/>
  <c r="A1033" i="19" s="1"/>
  <c r="A1034" i="19" s="1"/>
  <c r="A1035" i="19" s="1"/>
  <c r="A1036" i="19" s="1"/>
  <c r="A1037" i="19" s="1"/>
  <c r="A1038" i="19" s="1"/>
  <c r="A1039" i="19" s="1"/>
  <c r="A1040" i="19" s="1"/>
  <c r="A1041" i="19" s="1"/>
  <c r="A1042" i="19" s="1"/>
  <c r="A1043" i="19" s="1"/>
  <c r="A1044" i="19" s="1"/>
  <c r="A9" i="19"/>
  <c r="A10" i="19" s="1"/>
  <c r="A11" i="19" s="1"/>
  <c r="A12" i="19" s="1"/>
  <c r="A13" i="19" s="1"/>
  <c r="A14" i="19" s="1"/>
  <c r="A15" i="19" s="1"/>
  <c r="A16" i="19" s="1"/>
  <c r="A17" i="19" s="1"/>
  <c r="A18" i="19" s="1"/>
  <c r="A19" i="19" s="1"/>
  <c r="A20" i="19" s="1"/>
  <c r="A21" i="19" s="1"/>
  <c r="A22" i="19" s="1"/>
  <c r="A23" i="19" s="1"/>
  <c r="A24" i="19" s="1"/>
  <c r="A25" i="19" s="1"/>
  <c r="A26" i="19" s="1"/>
  <c r="A27" i="19" s="1"/>
  <c r="A28" i="19" s="1"/>
  <c r="A29" i="19" s="1"/>
  <c r="A30" i="19" s="1"/>
  <c r="A31" i="19" s="1"/>
  <c r="A32" i="19" s="1"/>
  <c r="A33" i="19" s="1"/>
  <c r="A34" i="19" s="1"/>
  <c r="A35" i="19" s="1"/>
  <c r="A36" i="19" s="1"/>
  <c r="A37" i="19" s="1"/>
  <c r="A38" i="19" s="1"/>
  <c r="A39" i="19" s="1"/>
  <c r="A40" i="19" s="1"/>
  <c r="A41" i="19" s="1"/>
  <c r="A42" i="19" s="1"/>
  <c r="A43" i="19" s="1"/>
  <c r="A44" i="19" s="1"/>
  <c r="A45" i="19" s="1"/>
  <c r="A46" i="19" s="1"/>
  <c r="A47" i="19" s="1"/>
  <c r="A48" i="19" s="1"/>
  <c r="A49" i="19" s="1"/>
  <c r="A50" i="19" s="1"/>
  <c r="A51" i="19" s="1"/>
  <c r="A52" i="19" s="1"/>
  <c r="A53" i="19" s="1"/>
  <c r="A54" i="19" s="1"/>
  <c r="A55" i="19" s="1"/>
  <c r="A56" i="19" s="1"/>
  <c r="A57" i="19" s="1"/>
  <c r="A58" i="19" s="1"/>
  <c r="A59" i="19" s="1"/>
  <c r="A60" i="19" s="1"/>
  <c r="A61" i="19" s="1"/>
  <c r="A62" i="19" s="1"/>
  <c r="A63" i="19" s="1"/>
  <c r="A64" i="19" s="1"/>
  <c r="A65" i="19" s="1"/>
  <c r="A66" i="19" s="1"/>
  <c r="A67" i="19" s="1"/>
  <c r="A68" i="19" s="1"/>
  <c r="A69" i="19" s="1"/>
  <c r="A70" i="19" s="1"/>
  <c r="A71" i="19" s="1"/>
  <c r="A72" i="19" s="1"/>
  <c r="A73" i="19" s="1"/>
  <c r="A74" i="19" s="1"/>
  <c r="A75" i="19" s="1"/>
  <c r="A76" i="19" s="1"/>
  <c r="A77" i="19" s="1"/>
  <c r="A78" i="19" s="1"/>
  <c r="A79" i="19" s="1"/>
  <c r="A80" i="19" s="1"/>
  <c r="A81" i="19" s="1"/>
  <c r="A82" i="19" s="1"/>
  <c r="A83" i="19" s="1"/>
  <c r="A84" i="19" s="1"/>
  <c r="A85" i="19" s="1"/>
  <c r="A86" i="19" s="1"/>
  <c r="A87" i="19" s="1"/>
  <c r="A88" i="19" s="1"/>
  <c r="A89" i="19" s="1"/>
  <c r="A90" i="19" s="1"/>
  <c r="A91" i="19" s="1"/>
  <c r="A92" i="19" s="1"/>
  <c r="A93" i="19" s="1"/>
  <c r="A94" i="19" s="1"/>
  <c r="A95" i="19" s="1"/>
  <c r="A96" i="19" s="1"/>
  <c r="A97" i="19" s="1"/>
  <c r="A98" i="19" s="1"/>
  <c r="A99" i="19" s="1"/>
  <c r="A100" i="19" s="1"/>
  <c r="A101" i="19" s="1"/>
  <c r="A102" i="19" s="1"/>
  <c r="A103" i="19" s="1"/>
  <c r="A104" i="19" s="1"/>
  <c r="A105" i="19" s="1"/>
  <c r="A106" i="19" s="1"/>
  <c r="A107" i="19" s="1"/>
  <c r="A108" i="19" s="1"/>
  <c r="A109" i="19" s="1"/>
  <c r="A110" i="19" s="1"/>
  <c r="A111" i="19" s="1"/>
  <c r="A112" i="19" s="1"/>
  <c r="A113" i="19" s="1"/>
  <c r="A114" i="19" s="1"/>
  <c r="A115" i="19" s="1"/>
  <c r="A116" i="19" s="1"/>
  <c r="A118" i="19" s="1"/>
  <c r="A119" i="19" s="1"/>
  <c r="A120" i="19" s="1"/>
  <c r="A121" i="19" s="1"/>
  <c r="A122" i="19" s="1"/>
  <c r="A123" i="19" s="1"/>
  <c r="A124" i="19" s="1"/>
  <c r="A125" i="19" s="1"/>
  <c r="A126" i="19" s="1"/>
  <c r="A127" i="19" s="1"/>
  <c r="A128" i="19" s="1"/>
  <c r="A129" i="19" s="1"/>
  <c r="A130" i="19" s="1"/>
  <c r="A131" i="19" s="1"/>
  <c r="A132" i="19" s="1"/>
  <c r="A133" i="19" s="1"/>
  <c r="A134" i="19" s="1"/>
  <c r="A135" i="19" s="1"/>
  <c r="A136" i="19" s="1"/>
  <c r="A137" i="19" s="1"/>
  <c r="A138" i="19" s="1"/>
  <c r="A139" i="19" s="1"/>
  <c r="A140" i="19" s="1"/>
  <c r="A141" i="19" s="1"/>
  <c r="A142" i="19" s="1"/>
  <c r="A143" i="19" s="1"/>
  <c r="A144" i="19" s="1"/>
  <c r="A145" i="19" s="1"/>
  <c r="A146" i="19" s="1"/>
  <c r="A147" i="19" s="1"/>
  <c r="A148" i="19" s="1"/>
  <c r="A149" i="19" s="1"/>
  <c r="A150" i="19" s="1"/>
  <c r="A151" i="19" s="1"/>
  <c r="A152" i="19" s="1"/>
  <c r="A153" i="19" s="1"/>
  <c r="A154" i="19" s="1"/>
  <c r="A155" i="19" s="1"/>
  <c r="A156" i="19" s="1"/>
  <c r="A157" i="19" s="1"/>
  <c r="A158" i="19" s="1"/>
  <c r="A159" i="19" s="1"/>
  <c r="A160" i="19" s="1"/>
  <c r="A161" i="19" s="1"/>
  <c r="A162" i="19" s="1"/>
  <c r="A163" i="19" s="1"/>
  <c r="A164" i="19" s="1"/>
  <c r="A165" i="19" s="1"/>
  <c r="A166" i="19" s="1"/>
  <c r="A167" i="19" s="1"/>
  <c r="A168" i="19" s="1"/>
  <c r="A169" i="19" s="1"/>
  <c r="A170" i="19" s="1"/>
  <c r="A171" i="19" s="1"/>
  <c r="A172" i="19" s="1"/>
  <c r="A173" i="19" s="1"/>
  <c r="A174" i="19" s="1"/>
  <c r="A175" i="19" s="1"/>
  <c r="A176" i="19" s="1"/>
  <c r="A177" i="19" s="1"/>
  <c r="A178" i="19" s="1"/>
  <c r="A179" i="19" s="1"/>
  <c r="A180" i="19" s="1"/>
  <c r="A181" i="19" s="1"/>
  <c r="A182" i="19" s="1"/>
  <c r="A183" i="19" s="1"/>
  <c r="A184" i="19" s="1"/>
  <c r="A185" i="19" s="1"/>
  <c r="A186" i="19" s="1"/>
  <c r="A187" i="19" s="1"/>
  <c r="A188" i="19" s="1"/>
  <c r="A189" i="19" s="1"/>
  <c r="A190" i="19" s="1"/>
  <c r="A191" i="19" s="1"/>
  <c r="A192" i="19" s="1"/>
  <c r="A193" i="19" s="1"/>
  <c r="A194" i="19" s="1"/>
  <c r="A195" i="19" s="1"/>
  <c r="A196" i="19" s="1"/>
  <c r="A197" i="19" s="1"/>
  <c r="A198" i="19" s="1"/>
  <c r="A199" i="19" s="1"/>
  <c r="A200" i="19" s="1"/>
  <c r="A201" i="19" s="1"/>
  <c r="A202" i="19" s="1"/>
  <c r="A203" i="19" s="1"/>
  <c r="A204" i="19" s="1"/>
  <c r="A205" i="19" s="1"/>
  <c r="A206" i="19" s="1"/>
  <c r="A207" i="19" s="1"/>
  <c r="A208" i="19" s="1"/>
  <c r="A209" i="19" s="1"/>
  <c r="A210" i="19" s="1"/>
  <c r="A211" i="19" s="1"/>
  <c r="A212" i="19" s="1"/>
  <c r="A213" i="19" s="1"/>
  <c r="A214" i="19" s="1"/>
  <c r="A215" i="19" s="1"/>
  <c r="A216" i="19" s="1"/>
  <c r="A217" i="19" s="1"/>
  <c r="A218" i="19" s="1"/>
  <c r="A219" i="19" s="1"/>
  <c r="A220" i="19" s="1"/>
  <c r="A221" i="19" s="1"/>
  <c r="A222" i="19" s="1"/>
  <c r="A223" i="19" s="1"/>
  <c r="A224" i="19" s="1"/>
  <c r="A225" i="19" s="1"/>
  <c r="A226" i="19" s="1"/>
  <c r="A227" i="19" s="1"/>
  <c r="A228" i="19" s="1"/>
  <c r="A229" i="19" s="1"/>
  <c r="A230" i="19" s="1"/>
  <c r="A231" i="19" s="1"/>
  <c r="A232" i="19" s="1"/>
  <c r="A233" i="19" s="1"/>
  <c r="A234" i="19" s="1"/>
  <c r="A235" i="19" s="1"/>
  <c r="A236" i="19" s="1"/>
  <c r="A237" i="19" s="1"/>
  <c r="A238" i="19" s="1"/>
  <c r="A239" i="19" s="1"/>
  <c r="A240" i="19" s="1"/>
  <c r="A241" i="19" s="1"/>
  <c r="A242" i="19" s="1"/>
  <c r="A243" i="19" s="1"/>
  <c r="A244" i="19" s="1"/>
  <c r="A245" i="19" s="1"/>
  <c r="A246" i="19" s="1"/>
  <c r="A247" i="19" s="1"/>
  <c r="A248" i="19" s="1"/>
  <c r="A249" i="19" s="1"/>
  <c r="A250" i="19" s="1"/>
  <c r="A251" i="19" s="1"/>
  <c r="A252" i="19" s="1"/>
  <c r="A253" i="19" s="1"/>
  <c r="A254" i="19" s="1"/>
  <c r="A255" i="19" s="1"/>
  <c r="A256" i="19" s="1"/>
  <c r="A257" i="19" s="1"/>
  <c r="A258" i="19" s="1"/>
  <c r="A259" i="19" s="1"/>
  <c r="A260" i="19" s="1"/>
  <c r="A261" i="19" s="1"/>
  <c r="A262" i="19" s="1"/>
  <c r="A263" i="19" s="1"/>
  <c r="A264" i="19" s="1"/>
  <c r="A265" i="19" s="1"/>
  <c r="A266" i="19" s="1"/>
  <c r="A267" i="19" s="1"/>
  <c r="A268" i="19" s="1"/>
  <c r="A269" i="19" s="1"/>
  <c r="A270" i="19" s="1"/>
  <c r="A271" i="19" s="1"/>
  <c r="A272" i="19" s="1"/>
  <c r="A273" i="19" s="1"/>
  <c r="A274" i="19" s="1"/>
  <c r="A275" i="19" s="1"/>
  <c r="A276" i="19" s="1"/>
  <c r="A277" i="19" s="1"/>
  <c r="A278" i="19" s="1"/>
  <c r="A279" i="19" s="1"/>
  <c r="A280" i="19" s="1"/>
  <c r="A281" i="19" s="1"/>
  <c r="A282" i="19" s="1"/>
  <c r="A283" i="19" s="1"/>
  <c r="A284" i="19" s="1"/>
  <c r="A285" i="19" s="1"/>
  <c r="A286" i="19" s="1"/>
  <c r="A287" i="19" s="1"/>
  <c r="A288" i="19" s="1"/>
  <c r="A289" i="19" s="1"/>
  <c r="A290" i="19" s="1"/>
  <c r="A291" i="19" s="1"/>
  <c r="A292" i="19" s="1"/>
  <c r="A293" i="19" s="1"/>
  <c r="A294" i="19" s="1"/>
  <c r="A295" i="19" s="1"/>
  <c r="A296" i="19" s="1"/>
  <c r="A297" i="19" s="1"/>
  <c r="A298" i="19" s="1"/>
  <c r="A299" i="19" s="1"/>
  <c r="A300" i="19" s="1"/>
  <c r="A301" i="19" s="1"/>
  <c r="A302" i="19" s="1"/>
  <c r="A303" i="19" s="1"/>
  <c r="A304" i="19" s="1"/>
  <c r="A305" i="19" s="1"/>
  <c r="A306" i="19" s="1"/>
  <c r="A307" i="19" s="1"/>
  <c r="A308" i="19" s="1"/>
  <c r="A309" i="19" s="1"/>
  <c r="A310" i="19" s="1"/>
  <c r="A311" i="19" s="1"/>
  <c r="A312" i="19" s="1"/>
  <c r="A313" i="19" s="1"/>
  <c r="A314" i="19" s="1"/>
  <c r="A315" i="19" s="1"/>
  <c r="A316" i="19" s="1"/>
  <c r="A317" i="19" s="1"/>
  <c r="A318" i="19" s="1"/>
  <c r="A319" i="19" s="1"/>
  <c r="A320" i="19" s="1"/>
  <c r="A321" i="19" s="1"/>
  <c r="A322" i="19" s="1"/>
  <c r="A323" i="19" s="1"/>
  <c r="A324" i="19" s="1"/>
  <c r="A325" i="19" s="1"/>
  <c r="A326" i="19" s="1"/>
  <c r="A327" i="19" s="1"/>
  <c r="A328" i="19" s="1"/>
  <c r="A329" i="19" s="1"/>
  <c r="A330" i="19" s="1"/>
  <c r="A331" i="19" s="1"/>
  <c r="A332" i="19" s="1"/>
  <c r="A333" i="19" s="1"/>
  <c r="A334" i="19" s="1"/>
  <c r="A335" i="19" s="1"/>
  <c r="A336" i="19" s="1"/>
  <c r="A337" i="19" s="1"/>
  <c r="A338" i="19" s="1"/>
  <c r="A339" i="19" s="1"/>
  <c r="A340" i="19" s="1"/>
  <c r="A341" i="19" s="1"/>
  <c r="A342" i="19" s="1"/>
  <c r="A343" i="19" s="1"/>
  <c r="A344" i="19" s="1"/>
  <c r="A345" i="19" s="1"/>
  <c r="A346" i="19" s="1"/>
  <c r="A347" i="19" s="1"/>
  <c r="A348" i="19" s="1"/>
  <c r="A349" i="19" s="1"/>
  <c r="A350" i="19" s="1"/>
  <c r="A351" i="19" s="1"/>
  <c r="A352" i="19" s="1"/>
  <c r="A353" i="19" s="1"/>
  <c r="A354" i="19" s="1"/>
  <c r="A355" i="19" s="1"/>
  <c r="A356" i="19" s="1"/>
  <c r="A357" i="19" s="1"/>
  <c r="A358" i="19" s="1"/>
  <c r="A359" i="19" s="1"/>
  <c r="A360" i="19" s="1"/>
  <c r="A361" i="19" s="1"/>
  <c r="A362" i="19" s="1"/>
  <c r="A363" i="19" s="1"/>
  <c r="A364" i="19" s="1"/>
  <c r="A365" i="19" s="1"/>
  <c r="A366" i="19" s="1"/>
  <c r="A367" i="19" s="1"/>
  <c r="A368" i="19" s="1"/>
  <c r="A369" i="19" s="1"/>
  <c r="A370" i="19" s="1"/>
  <c r="A371" i="19" s="1"/>
  <c r="A372" i="19" s="1"/>
  <c r="A373" i="19" s="1"/>
  <c r="A374" i="19" s="1"/>
  <c r="A375" i="19" s="1"/>
  <c r="A376" i="19" s="1"/>
  <c r="A377" i="19" s="1"/>
  <c r="A378" i="19" s="1"/>
  <c r="A379" i="19" s="1"/>
  <c r="A380" i="19" s="1"/>
  <c r="A381" i="19" s="1"/>
  <c r="A382" i="19" s="1"/>
  <c r="A383" i="19" s="1"/>
  <c r="A384" i="19" s="1"/>
  <c r="A385" i="19" s="1"/>
  <c r="A386" i="19" s="1"/>
  <c r="A387" i="19" s="1"/>
  <c r="A388" i="19" s="1"/>
  <c r="A389" i="19" s="1"/>
  <c r="A390" i="19" s="1"/>
  <c r="A391" i="19" s="1"/>
  <c r="A392" i="19" s="1"/>
  <c r="A393" i="19" s="1"/>
  <c r="A394" i="19" s="1"/>
  <c r="A395" i="19" s="1"/>
  <c r="A396" i="19" s="1"/>
  <c r="A397" i="19" s="1"/>
  <c r="A398" i="19" s="1"/>
  <c r="A399" i="19" s="1"/>
  <c r="A400" i="19" s="1"/>
  <c r="A401" i="19" s="1"/>
  <c r="A402" i="19" s="1"/>
  <c r="A403" i="19" s="1"/>
  <c r="A404" i="19" s="1"/>
  <c r="A405" i="19" s="1"/>
  <c r="A406" i="19" s="1"/>
  <c r="A407" i="19" s="1"/>
  <c r="A408" i="19" s="1"/>
  <c r="A409" i="19" s="1"/>
  <c r="A410" i="19" s="1"/>
  <c r="A411" i="19" s="1"/>
  <c r="A412" i="19" s="1"/>
  <c r="A413" i="19" s="1"/>
  <c r="A414" i="19" s="1"/>
  <c r="A415" i="19" s="1"/>
  <c r="A416" i="19" s="1"/>
  <c r="A417" i="19" s="1"/>
  <c r="A418" i="19" s="1"/>
  <c r="A419" i="19" s="1"/>
  <c r="A420" i="19" s="1"/>
  <c r="A421" i="19" s="1"/>
  <c r="A422" i="19" s="1"/>
  <c r="A423" i="19" s="1"/>
  <c r="A424" i="19" s="1"/>
  <c r="A425" i="19" s="1"/>
  <c r="A426" i="19" s="1"/>
  <c r="A427" i="19" s="1"/>
  <c r="A428" i="19" s="1"/>
  <c r="A429" i="19" s="1"/>
  <c r="A430" i="19" s="1"/>
  <c r="A431" i="19" s="1"/>
  <c r="A432" i="19" s="1"/>
  <c r="A433" i="19" s="1"/>
  <c r="A434" i="19" s="1"/>
  <c r="A435" i="19" s="1"/>
  <c r="A436" i="19" s="1"/>
  <c r="A437" i="19" s="1"/>
  <c r="A438" i="19" s="1"/>
  <c r="A439" i="19" s="1"/>
  <c r="A440" i="19" s="1"/>
  <c r="A441" i="19" s="1"/>
  <c r="A442" i="19" s="1"/>
  <c r="A443" i="19" s="1"/>
  <c r="A444" i="19" s="1"/>
  <c r="A445" i="19" s="1"/>
  <c r="A446" i="19" s="1"/>
  <c r="A447" i="19" s="1"/>
  <c r="A448" i="19" s="1"/>
  <c r="A449" i="19" s="1"/>
  <c r="A450" i="19" s="1"/>
  <c r="A451" i="19" s="1"/>
  <c r="A452" i="19" s="1"/>
  <c r="A453" i="19" s="1"/>
  <c r="A454" i="19" s="1"/>
  <c r="A455" i="19" s="1"/>
  <c r="A456" i="19" s="1"/>
  <c r="A457" i="19" s="1"/>
  <c r="A458" i="19" s="1"/>
  <c r="A459" i="19" s="1"/>
  <c r="A460" i="19" s="1"/>
  <c r="A461" i="19" s="1"/>
  <c r="A462" i="19" s="1"/>
  <c r="A463" i="19" s="1"/>
  <c r="A464" i="19" s="1"/>
  <c r="A465" i="19" s="1"/>
  <c r="A466" i="19" s="1"/>
  <c r="A467" i="19" s="1"/>
  <c r="A468" i="19" s="1"/>
  <c r="A469" i="19" s="1"/>
  <c r="A470" i="19" s="1"/>
  <c r="A471" i="19" s="1"/>
  <c r="A472" i="19" s="1"/>
  <c r="A473" i="19" s="1"/>
  <c r="A474" i="19" s="1"/>
  <c r="A475" i="19" s="1"/>
  <c r="A476" i="19" s="1"/>
  <c r="A477" i="19" s="1"/>
  <c r="A478" i="19" s="1"/>
  <c r="A479" i="19" s="1"/>
  <c r="A480" i="19" s="1"/>
  <c r="A481" i="19" s="1"/>
  <c r="A482" i="19" s="1"/>
  <c r="A483" i="19" s="1"/>
  <c r="A484" i="19" s="1"/>
  <c r="A485" i="19" s="1"/>
  <c r="A486" i="19" s="1"/>
  <c r="A487" i="19" s="1"/>
  <c r="A488" i="19" s="1"/>
  <c r="A489" i="19" s="1"/>
  <c r="A490" i="19" s="1"/>
  <c r="A491" i="19" s="1"/>
  <c r="A492" i="19" s="1"/>
  <c r="A493" i="19" s="1"/>
  <c r="A494" i="19" s="1"/>
  <c r="A495" i="19" s="1"/>
  <c r="A496" i="19" s="1"/>
  <c r="A497" i="19" s="1"/>
  <c r="A498" i="19" s="1"/>
  <c r="A499" i="19" s="1"/>
  <c r="A500" i="19" s="1"/>
  <c r="A501" i="19" s="1"/>
  <c r="A502" i="19" s="1"/>
  <c r="A503" i="19" s="1"/>
  <c r="A504" i="19" s="1"/>
  <c r="A505" i="19" s="1"/>
  <c r="A506" i="19" s="1"/>
  <c r="A507" i="19" s="1"/>
  <c r="A508" i="19" s="1"/>
  <c r="A509" i="19" s="1"/>
  <c r="A510" i="19" s="1"/>
  <c r="A511" i="19" s="1"/>
  <c r="A512" i="19" s="1"/>
  <c r="A513" i="19" s="1"/>
  <c r="A514" i="19" s="1"/>
  <c r="A515" i="19" s="1"/>
  <c r="A516" i="19" s="1"/>
  <c r="A517" i="19" s="1"/>
  <c r="A518" i="19" s="1"/>
  <c r="A519" i="19" s="1"/>
  <c r="A520" i="19" s="1"/>
  <c r="A521" i="19" s="1"/>
  <c r="A522" i="19" s="1"/>
  <c r="A523" i="19" s="1"/>
  <c r="A524" i="19" s="1"/>
  <c r="A525" i="19" s="1"/>
  <c r="A526" i="19" s="1"/>
  <c r="A527" i="19" s="1"/>
  <c r="A528" i="19" s="1"/>
  <c r="A529" i="19" s="1"/>
  <c r="A530" i="19" s="1"/>
  <c r="A531" i="19" s="1"/>
  <c r="A532" i="19" s="1"/>
  <c r="A533" i="19" s="1"/>
  <c r="A534" i="19" s="1"/>
  <c r="A535" i="19" s="1"/>
  <c r="A536" i="19" s="1"/>
  <c r="A537" i="19" s="1"/>
  <c r="A538" i="19" s="1"/>
  <c r="A539" i="19" s="1"/>
  <c r="A540" i="19" s="1"/>
  <c r="A541" i="19" s="1"/>
  <c r="A542" i="19" s="1"/>
  <c r="A543" i="19" s="1"/>
  <c r="A544" i="19" s="1"/>
  <c r="A545" i="19" s="1"/>
  <c r="A546" i="19" s="1"/>
  <c r="A547" i="19" s="1"/>
  <c r="A548" i="19" s="1"/>
  <c r="A549" i="19" s="1"/>
  <c r="A550" i="19" s="1"/>
  <c r="A551" i="19" s="1"/>
  <c r="A552" i="19" s="1"/>
  <c r="A553" i="19" s="1"/>
  <c r="A554" i="19" s="1"/>
  <c r="A555" i="19" s="1"/>
  <c r="A556" i="19" s="1"/>
  <c r="A557" i="19" s="1"/>
  <c r="A558" i="19" s="1"/>
  <c r="A559" i="19" s="1"/>
  <c r="A560" i="19" s="1"/>
  <c r="A561" i="19" s="1"/>
  <c r="A562" i="19" s="1"/>
  <c r="A563" i="19" s="1"/>
  <c r="A564" i="19" s="1"/>
  <c r="A565" i="19" s="1"/>
  <c r="A566" i="19" s="1"/>
  <c r="A567" i="19" s="1"/>
  <c r="A568" i="19" s="1"/>
  <c r="A569" i="19" s="1"/>
  <c r="A570" i="19" s="1"/>
  <c r="A571" i="19" s="1"/>
  <c r="A572" i="19" s="1"/>
  <c r="A573" i="19" s="1"/>
  <c r="A574" i="19" s="1"/>
  <c r="A575" i="19" s="1"/>
  <c r="A576" i="19" s="1"/>
  <c r="A577" i="19" s="1"/>
  <c r="A578" i="19" s="1"/>
  <c r="A579" i="19" s="1"/>
  <c r="A580" i="19" s="1"/>
  <c r="A581" i="19" s="1"/>
  <c r="A582" i="19" s="1"/>
  <c r="A583" i="19" s="1"/>
  <c r="A584" i="19" s="1"/>
  <c r="A585" i="19" s="1"/>
  <c r="A586" i="19" s="1"/>
  <c r="A587" i="19" s="1"/>
  <c r="A588" i="19" s="1"/>
  <c r="A589" i="19" s="1"/>
  <c r="A590" i="19" s="1"/>
  <c r="A591" i="19" s="1"/>
  <c r="A592" i="19" s="1"/>
  <c r="A593" i="19" s="1"/>
  <c r="A594" i="19" s="1"/>
  <c r="A595" i="19" s="1"/>
  <c r="A596" i="19" s="1"/>
  <c r="A597" i="19" s="1"/>
  <c r="A598" i="19" s="1"/>
  <c r="A599" i="19" s="1"/>
  <c r="A600" i="19" s="1"/>
  <c r="A601" i="19" s="1"/>
  <c r="A602" i="19" s="1"/>
  <c r="A603" i="19" s="1"/>
  <c r="A604" i="19" s="1"/>
  <c r="A605" i="19" s="1"/>
  <c r="A606" i="19" s="1"/>
  <c r="A607" i="19" s="1"/>
  <c r="A608" i="19" s="1"/>
  <c r="A609" i="19" s="1"/>
  <c r="A610" i="19" s="1"/>
  <c r="A611" i="19" s="1"/>
  <c r="A612" i="19" s="1"/>
  <c r="A613" i="19" s="1"/>
  <c r="A614" i="19" s="1"/>
  <c r="A615" i="19" s="1"/>
  <c r="A616" i="19" s="1"/>
  <c r="A617" i="19" s="1"/>
  <c r="A618" i="19" s="1"/>
  <c r="A619" i="19" s="1"/>
  <c r="A620" i="19" s="1"/>
  <c r="A621" i="19" s="1"/>
  <c r="A622" i="19" s="1"/>
  <c r="A623" i="19" s="1"/>
  <c r="A624" i="19" s="1"/>
  <c r="A625" i="19" s="1"/>
  <c r="A626" i="19" s="1"/>
  <c r="A627" i="19" s="1"/>
  <c r="A628" i="19" s="1"/>
  <c r="A629" i="19" s="1"/>
  <c r="A630" i="19" s="1"/>
  <c r="A631" i="19" s="1"/>
  <c r="A632" i="19" s="1"/>
  <c r="A633" i="19" s="1"/>
  <c r="A634" i="19" s="1"/>
  <c r="A635" i="19" s="1"/>
  <c r="A636" i="19" s="1"/>
  <c r="A637" i="19" s="1"/>
  <c r="A638" i="19" s="1"/>
  <c r="A639" i="19" s="1"/>
  <c r="A640" i="19" s="1"/>
  <c r="A641" i="19" s="1"/>
  <c r="A642" i="19" s="1"/>
  <c r="A643" i="19" s="1"/>
  <c r="A644" i="19" s="1"/>
  <c r="A645" i="19" s="1"/>
  <c r="A646" i="19" s="1"/>
  <c r="A647" i="19" s="1"/>
  <c r="A648" i="19" s="1"/>
  <c r="A649" i="19" s="1"/>
  <c r="A650" i="19" s="1"/>
  <c r="A651" i="19" s="1"/>
  <c r="A652" i="19" s="1"/>
  <c r="A653" i="19" s="1"/>
  <c r="A654" i="19" s="1"/>
  <c r="A655" i="19" s="1"/>
  <c r="A656" i="19" s="1"/>
  <c r="A657" i="19" s="1"/>
  <c r="A658" i="19" s="1"/>
  <c r="A659" i="19" s="1"/>
  <c r="A660" i="19" s="1"/>
  <c r="A661" i="19" s="1"/>
  <c r="A662" i="19" s="1"/>
  <c r="A663" i="19" s="1"/>
  <c r="A664" i="19" s="1"/>
  <c r="A665" i="19" s="1"/>
  <c r="A666" i="19" s="1"/>
  <c r="A667" i="19" s="1"/>
  <c r="A668" i="19" s="1"/>
  <c r="A669" i="19" s="1"/>
  <c r="A670" i="19" s="1"/>
  <c r="A671" i="19" s="1"/>
  <c r="A672" i="19" s="1"/>
  <c r="A673" i="19" s="1"/>
  <c r="A674" i="19" s="1"/>
  <c r="A675" i="19" s="1"/>
  <c r="A676" i="19" s="1"/>
  <c r="A677" i="19" s="1"/>
  <c r="A678" i="19" s="1"/>
  <c r="A679" i="19" s="1"/>
  <c r="A680" i="19" s="1"/>
  <c r="A681" i="19" s="1"/>
  <c r="A682" i="19" s="1"/>
  <c r="A683" i="19" s="1"/>
  <c r="A684" i="19" s="1"/>
  <c r="A685" i="19" s="1"/>
  <c r="A686" i="19" s="1"/>
  <c r="A687" i="19" s="1"/>
  <c r="A688" i="19" s="1"/>
  <c r="A689" i="19" s="1"/>
  <c r="A690" i="19" s="1"/>
  <c r="A691" i="19" s="1"/>
  <c r="A692" i="19" s="1"/>
  <c r="A693" i="19" s="1"/>
  <c r="A694" i="19" s="1"/>
  <c r="A695" i="19" s="1"/>
  <c r="A696" i="19" s="1"/>
  <c r="A697" i="19" s="1"/>
  <c r="A698" i="19" s="1"/>
  <c r="A699" i="19" s="1"/>
  <c r="A700" i="19" s="1"/>
  <c r="A701" i="19" s="1"/>
  <c r="A702" i="19" s="1"/>
  <c r="A703" i="19" s="1"/>
  <c r="A704" i="19" s="1"/>
  <c r="A705" i="19" s="1"/>
  <c r="A706" i="19" s="1"/>
  <c r="A707" i="19" s="1"/>
  <c r="A708" i="19" s="1"/>
  <c r="A709" i="19" s="1"/>
  <c r="A710" i="19" s="1"/>
  <c r="A711" i="19" s="1"/>
  <c r="A712" i="19" s="1"/>
  <c r="A713" i="19" s="1"/>
  <c r="A714" i="19" s="1"/>
  <c r="A715" i="19" s="1"/>
  <c r="A716" i="19" s="1"/>
  <c r="A717" i="19" s="1"/>
  <c r="A718" i="19" s="1"/>
  <c r="A719" i="19" s="1"/>
  <c r="A720" i="19" s="1"/>
  <c r="A721" i="19" s="1"/>
  <c r="A722" i="19" s="1"/>
  <c r="A723" i="19" s="1"/>
  <c r="A724" i="19" s="1"/>
  <c r="A725" i="19" s="1"/>
  <c r="A726" i="19" s="1"/>
  <c r="A727" i="19" s="1"/>
  <c r="A728" i="19" s="1"/>
  <c r="A729" i="19" s="1"/>
  <c r="A730" i="19" s="1"/>
  <c r="A731" i="19" s="1"/>
  <c r="A732" i="19" s="1"/>
  <c r="A733" i="19" s="1"/>
  <c r="A734" i="19" s="1"/>
  <c r="A735" i="19" s="1"/>
  <c r="A736" i="19" s="1"/>
  <c r="A737" i="19" s="1"/>
  <c r="A739" i="19" s="1"/>
  <c r="A740" i="19" s="1"/>
  <c r="A741" i="19" s="1"/>
  <c r="A742" i="19" s="1"/>
  <c r="A743" i="19" s="1"/>
  <c r="A744" i="19" s="1"/>
  <c r="A745" i="19" s="1"/>
  <c r="A746" i="19" s="1"/>
  <c r="A747" i="19" s="1"/>
  <c r="A748" i="19" s="1"/>
  <c r="A749" i="19" s="1"/>
  <c r="A750" i="19" s="1"/>
  <c r="A751" i="19" s="1"/>
  <c r="A752" i="19" s="1"/>
  <c r="A753" i="19" s="1"/>
  <c r="A754" i="19" s="1"/>
  <c r="A755" i="19" s="1"/>
  <c r="A756" i="19" s="1"/>
  <c r="A757" i="19" s="1"/>
  <c r="A758" i="19" s="1"/>
  <c r="A759" i="19" s="1"/>
  <c r="A760" i="19" s="1"/>
  <c r="A761" i="19" s="1"/>
  <c r="A762" i="19" s="1"/>
  <c r="A763" i="19" s="1"/>
  <c r="A764" i="19" s="1"/>
  <c r="A765" i="19" s="1"/>
  <c r="A766" i="19" s="1"/>
  <c r="A767" i="19" s="1"/>
  <c r="A768" i="19" s="1"/>
  <c r="A769" i="19" s="1"/>
  <c r="A770" i="19" s="1"/>
  <c r="A771" i="19" s="1"/>
  <c r="A772" i="19" s="1"/>
  <c r="A773" i="19" s="1"/>
  <c r="A774" i="19" s="1"/>
  <c r="A775" i="19" s="1"/>
  <c r="A776" i="19" s="1"/>
  <c r="A777" i="19" s="1"/>
  <c r="A778" i="19" s="1"/>
  <c r="A779" i="19" s="1"/>
  <c r="A780" i="19" s="1"/>
  <c r="A781" i="19" s="1"/>
  <c r="A783" i="19" s="1"/>
  <c r="A784" i="19" s="1"/>
  <c r="A785" i="19" s="1"/>
  <c r="A786" i="19" s="1"/>
  <c r="A787" i="19" s="1"/>
  <c r="A788" i="19" s="1"/>
  <c r="A789" i="19" s="1"/>
  <c r="A790" i="19" s="1"/>
  <c r="A791" i="19" s="1"/>
  <c r="A792" i="19" s="1"/>
  <c r="A793" i="19" s="1"/>
  <c r="A794" i="19" s="1"/>
  <c r="A795" i="19" s="1"/>
  <c r="A796" i="19" s="1"/>
  <c r="A797" i="19" s="1"/>
  <c r="A798" i="19" s="1"/>
  <c r="A799" i="19" s="1"/>
  <c r="A800" i="19" s="1"/>
  <c r="A801" i="19" s="1"/>
  <c r="A802" i="19" s="1"/>
  <c r="A803" i="19" s="1"/>
  <c r="A804" i="19" s="1"/>
  <c r="A805" i="19" s="1"/>
  <c r="A806" i="19" s="1"/>
  <c r="A807" i="19" s="1"/>
  <c r="A808" i="19" s="1"/>
  <c r="A809" i="19" s="1"/>
  <c r="A810" i="19" s="1"/>
  <c r="A811" i="19" s="1"/>
  <c r="A812" i="19" s="1"/>
  <c r="A813" i="19" s="1"/>
  <c r="A814" i="19" s="1"/>
  <c r="A816" i="19" s="1"/>
  <c r="A817" i="19" s="1"/>
  <c r="A818" i="19" s="1"/>
  <c r="A819" i="19" s="1"/>
  <c r="A820" i="19" s="1"/>
  <c r="A821" i="19" s="1"/>
  <c r="A822" i="19" s="1"/>
  <c r="A824" i="19" s="1"/>
  <c r="A825" i="19" s="1"/>
  <c r="A826" i="19" s="1"/>
  <c r="A827" i="19" s="1"/>
  <c r="A828" i="19" s="1"/>
  <c r="A829" i="19" s="1"/>
  <c r="A830" i="19" s="1"/>
  <c r="A831" i="19" s="1"/>
  <c r="A833" i="19" s="1"/>
  <c r="A834" i="19" s="1"/>
  <c r="A835" i="19" s="1"/>
  <c r="A836" i="19" s="1"/>
  <c r="A837" i="19" s="1"/>
  <c r="A838" i="19" s="1"/>
  <c r="A840" i="19" s="1"/>
  <c r="A841" i="19" s="1"/>
  <c r="A842" i="19" s="1"/>
  <c r="A843" i="19" s="1"/>
  <c r="A844" i="19" s="1"/>
  <c r="A845" i="19" s="1"/>
  <c r="A846" i="19" s="1"/>
  <c r="A847" i="19" s="1"/>
  <c r="A848" i="19" s="1"/>
  <c r="A849" i="19" s="1"/>
  <c r="A850" i="19" s="1"/>
  <c r="A851" i="19" s="1"/>
  <c r="A852" i="19" s="1"/>
  <c r="A853" i="19" s="1"/>
  <c r="A854" i="19" s="1"/>
  <c r="A855" i="19" s="1"/>
  <c r="A856" i="19" s="1"/>
  <c r="A858" i="19" s="1"/>
  <c r="A859" i="19" s="1"/>
  <c r="A860" i="19" s="1"/>
  <c r="A861" i="19" s="1"/>
  <c r="A862" i="19" s="1"/>
  <c r="A863" i="19" s="1"/>
  <c r="A864" i="19" s="1"/>
  <c r="A865" i="19" s="1"/>
  <c r="A867" i="19" s="1"/>
  <c r="A869" i="19" s="1"/>
  <c r="F160" i="16"/>
  <c r="F158" i="16"/>
  <c r="F156" i="16"/>
  <c r="F153" i="16"/>
  <c r="F148" i="16" s="1"/>
  <c r="F138" i="16"/>
  <c r="F18" i="16"/>
  <c r="F5" i="16"/>
  <c r="F4" i="16" s="1"/>
  <c r="D247" i="15"/>
  <c r="D248" i="15"/>
  <c r="D249" i="15"/>
  <c r="D250" i="15"/>
  <c r="D251" i="15"/>
  <c r="D252" i="15"/>
  <c r="D253" i="15"/>
  <c r="D254" i="15"/>
  <c r="D255" i="15"/>
  <c r="D256" i="15"/>
  <c r="D257" i="15"/>
  <c r="D258" i="15"/>
  <c r="D259" i="15"/>
  <c r="D260" i="15"/>
  <c r="D261" i="15"/>
  <c r="D262" i="15"/>
  <c r="D263" i="15"/>
  <c r="D264" i="15"/>
  <c r="D265" i="15"/>
  <c r="D266" i="15"/>
  <c r="D267" i="15"/>
  <c r="D268" i="15"/>
  <c r="D269" i="15"/>
  <c r="D613" i="15"/>
  <c r="G713" i="15"/>
  <c r="G6" i="15" s="1"/>
  <c r="G5" i="15" s="1"/>
  <c r="G885" i="15"/>
  <c r="G909" i="15"/>
  <c r="G1159" i="15"/>
  <c r="D1822" i="15"/>
  <c r="D2239" i="15"/>
  <c r="D2238" i="15"/>
  <c r="D2237" i="15"/>
  <c r="D2236" i="15"/>
  <c r="D2235" i="15"/>
  <c r="D2234" i="15"/>
  <c r="D2233" i="15"/>
  <c r="D2232" i="15"/>
  <c r="D2231" i="15"/>
  <c r="D2230" i="15"/>
  <c r="D2229" i="15"/>
  <c r="D2228" i="15"/>
  <c r="D2227" i="15"/>
  <c r="D2226" i="15"/>
  <c r="D2225" i="15"/>
  <c r="D2224" i="15"/>
  <c r="D2223" i="15"/>
  <c r="D2222" i="15"/>
  <c r="D2221" i="15"/>
  <c r="D2220" i="15"/>
  <c r="D2219" i="15"/>
  <c r="D2218" i="15"/>
  <c r="D2217" i="15"/>
  <c r="D2216" i="15"/>
  <c r="D2215" i="15"/>
  <c r="D2214" i="15"/>
  <c r="D2213" i="15"/>
  <c r="D2212" i="15"/>
  <c r="D2211" i="15"/>
  <c r="D2210" i="15"/>
  <c r="D2209" i="15"/>
  <c r="D2208" i="15"/>
  <c r="D2207" i="15"/>
  <c r="D2206" i="15"/>
  <c r="D2205" i="15"/>
  <c r="D2204" i="15"/>
  <c r="D2203" i="15"/>
  <c r="D2202" i="15"/>
  <c r="D2201" i="15"/>
  <c r="D2200" i="15"/>
  <c r="D2199" i="15"/>
  <c r="D2198" i="15"/>
  <c r="D2197" i="15"/>
  <c r="D2196" i="15"/>
  <c r="D2195" i="15"/>
  <c r="D2194" i="15"/>
  <c r="D2193" i="15"/>
  <c r="D2192" i="15"/>
  <c r="D2191" i="15"/>
  <c r="D2190" i="15"/>
  <c r="D2189" i="15"/>
  <c r="D2188" i="15"/>
  <c r="D2187" i="15"/>
  <c r="D2186" i="15"/>
  <c r="D2185" i="15"/>
  <c r="D2184" i="15"/>
  <c r="D2183" i="15"/>
  <c r="D2182" i="15"/>
  <c r="D2181" i="15"/>
  <c r="D2180" i="15"/>
  <c r="D2179" i="15"/>
  <c r="D2178" i="15"/>
  <c r="D2177" i="15"/>
  <c r="D2176" i="15"/>
  <c r="D2175" i="15"/>
  <c r="D2174" i="15"/>
  <c r="D2173" i="15"/>
  <c r="D2172" i="15"/>
  <c r="D2171" i="15"/>
  <c r="D2170" i="15"/>
  <c r="D2169" i="15"/>
  <c r="D2168" i="15"/>
  <c r="D2167" i="15"/>
  <c r="D2166" i="15"/>
  <c r="D2165" i="15"/>
  <c r="D2164" i="15"/>
  <c r="D2163" i="15"/>
  <c r="D2162" i="15"/>
  <c r="D2161" i="15"/>
  <c r="D2160" i="15"/>
  <c r="D2159" i="15"/>
  <c r="D2158" i="15"/>
  <c r="D2157" i="15"/>
  <c r="D2156" i="15"/>
  <c r="D2155" i="15"/>
  <c r="D2154" i="15"/>
  <c r="D2153" i="15"/>
  <c r="D2152" i="15"/>
  <c r="D2151" i="15"/>
  <c r="D2150" i="15"/>
  <c r="D2149" i="15"/>
  <c r="D2148" i="15"/>
  <c r="D2147" i="15"/>
  <c r="D2146" i="15"/>
  <c r="D2145" i="15"/>
  <c r="D2144" i="15"/>
  <c r="D2143" i="15"/>
  <c r="D2142" i="15"/>
  <c r="D2141" i="15"/>
  <c r="D2140" i="15"/>
  <c r="D2139" i="15"/>
  <c r="D2138" i="15"/>
  <c r="D2137" i="15"/>
  <c r="D2136" i="15"/>
  <c r="D2135" i="15"/>
  <c r="D2134" i="15"/>
  <c r="D2133" i="15"/>
  <c r="D2132" i="15"/>
  <c r="D2131" i="15"/>
  <c r="D2130" i="15"/>
  <c r="D2129" i="15"/>
  <c r="D2128" i="15"/>
  <c r="D2127" i="15"/>
  <c r="D2126" i="15"/>
  <c r="D2125" i="15"/>
  <c r="D2124" i="15"/>
  <c r="D2123" i="15"/>
  <c r="D2122" i="15"/>
  <c r="D2121" i="15"/>
  <c r="D2120" i="15"/>
  <c r="D2119" i="15"/>
  <c r="D2118" i="15"/>
  <c r="D2117" i="15"/>
  <c r="D2116" i="15"/>
  <c r="D2115" i="15"/>
  <c r="D2114" i="15"/>
  <c r="D2113" i="15"/>
  <c r="D2112" i="15"/>
  <c r="D2111" i="15"/>
  <c r="D2110" i="15"/>
  <c r="D2109" i="15"/>
  <c r="D2108" i="15"/>
  <c r="D2107" i="15"/>
  <c r="D2106" i="15"/>
  <c r="D2105" i="15"/>
  <c r="D2104" i="15"/>
  <c r="D2103" i="15"/>
  <c r="D2102" i="15"/>
  <c r="D2101" i="15"/>
  <c r="D2100" i="15"/>
  <c r="D2099" i="15"/>
  <c r="D2098" i="15"/>
  <c r="D2097" i="15"/>
  <c r="D2096" i="15"/>
  <c r="D2095" i="15"/>
  <c r="D2094" i="15"/>
  <c r="D2093" i="15"/>
  <c r="D2092" i="15"/>
  <c r="D2091" i="15"/>
  <c r="D2090" i="15"/>
  <c r="D2089" i="15"/>
  <c r="D2088" i="15"/>
  <c r="D2087" i="15"/>
  <c r="D2086" i="15"/>
  <c r="D2085" i="15"/>
  <c r="D2084" i="15"/>
  <c r="D2083" i="15"/>
  <c r="D2082" i="15"/>
  <c r="D2081" i="15"/>
  <c r="D2080" i="15"/>
  <c r="D2079" i="15"/>
  <c r="D2078" i="15"/>
  <c r="D2077" i="15"/>
  <c r="D2076" i="15"/>
  <c r="D2075" i="15"/>
  <c r="D2074" i="15"/>
  <c r="D2073" i="15"/>
  <c r="D2072" i="15"/>
  <c r="D2071" i="15"/>
  <c r="D2070" i="15"/>
  <c r="D2069" i="15"/>
  <c r="D2068" i="15"/>
  <c r="D2067" i="15"/>
  <c r="D2066" i="15"/>
  <c r="D2065" i="15"/>
  <c r="D2064" i="15"/>
  <c r="D2063" i="15"/>
  <c r="D2062" i="15"/>
  <c r="D2061" i="15"/>
  <c r="D2060" i="15"/>
  <c r="D2059" i="15"/>
  <c r="D2058" i="15"/>
  <c r="D2057" i="15"/>
  <c r="D2056" i="15"/>
  <c r="D2055" i="15"/>
  <c r="D2054" i="15"/>
  <c r="D2053" i="15"/>
  <c r="D2052" i="15"/>
  <c r="D2051" i="15"/>
  <c r="D2050" i="15"/>
  <c r="D2049" i="15"/>
  <c r="D2048" i="15"/>
  <c r="D2047" i="15"/>
  <c r="D2046" i="15"/>
  <c r="D2045" i="15"/>
  <c r="D2044" i="15"/>
  <c r="D2043" i="15"/>
  <c r="D2042" i="15"/>
  <c r="D2041" i="15"/>
  <c r="D2040" i="15"/>
  <c r="D2039" i="15"/>
  <c r="D2038" i="15"/>
  <c r="D2037" i="15"/>
  <c r="D2036" i="15"/>
  <c r="D2035" i="15"/>
  <c r="D2034" i="15"/>
  <c r="D2033" i="15"/>
  <c r="D2032" i="15"/>
  <c r="D2031" i="15"/>
  <c r="D2030" i="15"/>
  <c r="D2029" i="15"/>
  <c r="D2028" i="15"/>
  <c r="D2027" i="15"/>
  <c r="D2026" i="15"/>
  <c r="D2025" i="15"/>
  <c r="D2024" i="15"/>
  <c r="D2023" i="15"/>
  <c r="D2022" i="15"/>
  <c r="D2021" i="15"/>
  <c r="D2020" i="15"/>
  <c r="D2019" i="15"/>
  <c r="D2018" i="15"/>
  <c r="D1970" i="15"/>
  <c r="D1969" i="15"/>
  <c r="D1968" i="15"/>
  <c r="D1967" i="15"/>
  <c r="D1966" i="15"/>
  <c r="D1965" i="15"/>
  <c r="D1964" i="15"/>
  <c r="D1963" i="15"/>
  <c r="D1962" i="15"/>
  <c r="D1961" i="15"/>
  <c r="D1960" i="15"/>
  <c r="D1959" i="15"/>
  <c r="D1958" i="15"/>
  <c r="D1957" i="15"/>
  <c r="D1956" i="15"/>
  <c r="D1955" i="15"/>
  <c r="D1954" i="15"/>
  <c r="D1953" i="15"/>
  <c r="D1952" i="15"/>
  <c r="D1951" i="15"/>
  <c r="D1950" i="15"/>
  <c r="D1949" i="15"/>
  <c r="D1948" i="15"/>
  <c r="D1947" i="15"/>
  <c r="D1946" i="15"/>
  <c r="D1945" i="15"/>
  <c r="D1944" i="15"/>
  <c r="D1943" i="15"/>
  <c r="D1942" i="15"/>
  <c r="D1941" i="15"/>
  <c r="D1940" i="15"/>
  <c r="D1939" i="15"/>
  <c r="D1938" i="15"/>
  <c r="D1937" i="15"/>
  <c r="D1936" i="15"/>
  <c r="D1935" i="15"/>
  <c r="D1934" i="15"/>
  <c r="D1933" i="15"/>
  <c r="D1932" i="15"/>
  <c r="D1931" i="15"/>
  <c r="D1930" i="15"/>
  <c r="D1929" i="15"/>
  <c r="D1928" i="15"/>
  <c r="D1927" i="15"/>
  <c r="D1926" i="15"/>
  <c r="D1925" i="15"/>
  <c r="D1924" i="15"/>
  <c r="D1923" i="15"/>
  <c r="D1922" i="15"/>
  <c r="D1921" i="15"/>
  <c r="D1920" i="15"/>
  <c r="D1919" i="15"/>
  <c r="D1918" i="15"/>
  <c r="D1917" i="15"/>
  <c r="D1916" i="15"/>
  <c r="D1915" i="15"/>
  <c r="D1914" i="15"/>
  <c r="D1913" i="15"/>
  <c r="D1912" i="15"/>
  <c r="D1911" i="15"/>
  <c r="D1910" i="15"/>
  <c r="D1909" i="15"/>
  <c r="D1908" i="15"/>
  <c r="D1907" i="15"/>
  <c r="D1906" i="15"/>
  <c r="D1905" i="15"/>
  <c r="D1904" i="15"/>
  <c r="D1903" i="15"/>
  <c r="D1902" i="15"/>
  <c r="D1901" i="15"/>
  <c r="D1900" i="15"/>
  <c r="D1899" i="15"/>
  <c r="D1898" i="15"/>
  <c r="D1897" i="15"/>
  <c r="D1896" i="15"/>
  <c r="D1895" i="15"/>
  <c r="D1894" i="15"/>
  <c r="D1893" i="15"/>
  <c r="D1892" i="15"/>
  <c r="D1891" i="15"/>
  <c r="D1890" i="15"/>
  <c r="D1889" i="15"/>
  <c r="D1888" i="15"/>
  <c r="D1887" i="15"/>
  <c r="D1886" i="15"/>
  <c r="D1885" i="15"/>
  <c r="D1884" i="15"/>
  <c r="D1883" i="15"/>
  <c r="D1882" i="15"/>
  <c r="D1881" i="15"/>
  <c r="D1880" i="15"/>
  <c r="D1879" i="15"/>
  <c r="D1878" i="15"/>
  <c r="D1877" i="15"/>
  <c r="D1876" i="15"/>
  <c r="D1875" i="15"/>
  <c r="D1874" i="15"/>
  <c r="D1873" i="15"/>
  <c r="D1872" i="15"/>
  <c r="D1871" i="15"/>
  <c r="D1870" i="15"/>
  <c r="D1869" i="15"/>
  <c r="D1868" i="15"/>
  <c r="D1867" i="15"/>
  <c r="D1866" i="15"/>
  <c r="D1865" i="15"/>
  <c r="D1864" i="15"/>
  <c r="D1863" i="15"/>
  <c r="D1862" i="15"/>
  <c r="D1861" i="15"/>
  <c r="D1860" i="15"/>
  <c r="D1859" i="15"/>
  <c r="D1858" i="15"/>
  <c r="D1857" i="15"/>
  <c r="D1856" i="15"/>
  <c r="D1855" i="15"/>
  <c r="D1854" i="15"/>
  <c r="D1853" i="15"/>
  <c r="D1852" i="15"/>
  <c r="D1851" i="15"/>
  <c r="D1850" i="15"/>
  <c r="D1849" i="15"/>
  <c r="D1848" i="15"/>
  <c r="D1847" i="15"/>
  <c r="D1846" i="15"/>
  <c r="D1845" i="15"/>
  <c r="D1844" i="15"/>
  <c r="D1843" i="15"/>
  <c r="D1842" i="15"/>
  <c r="D1841" i="15"/>
  <c r="D1840" i="15"/>
  <c r="D1839" i="15"/>
  <c r="D1838" i="15"/>
  <c r="D1837" i="15"/>
  <c r="D1836" i="15"/>
  <c r="D1835" i="15"/>
  <c r="D1834" i="15"/>
  <c r="D1833" i="15"/>
  <c r="D1832" i="15"/>
  <c r="D1831" i="15"/>
  <c r="D1830" i="15"/>
  <c r="D1829" i="15"/>
  <c r="D1828" i="15"/>
  <c r="D1827" i="15"/>
  <c r="D1826" i="15"/>
  <c r="D1825" i="15"/>
  <c r="D1824" i="15"/>
  <c r="D1823" i="15"/>
  <c r="D1821" i="15"/>
  <c r="D1820" i="15"/>
  <c r="D1819" i="15"/>
  <c r="D1818" i="15"/>
  <c r="D1817" i="15"/>
  <c r="D1816" i="15"/>
  <c r="D1815" i="15"/>
  <c r="D1814" i="15"/>
  <c r="D1813" i="15"/>
  <c r="D1812" i="15"/>
  <c r="D1811" i="15"/>
  <c r="D1810" i="15"/>
  <c r="D1809" i="15"/>
  <c r="D1808" i="15"/>
  <c r="D1807" i="15"/>
  <c r="D1806" i="15"/>
  <c r="D1805" i="15"/>
  <c r="D1804" i="15"/>
  <c r="D1803" i="15"/>
  <c r="D1802" i="15"/>
  <c r="D1801" i="15"/>
  <c r="D1800" i="15"/>
  <c r="D1799" i="15"/>
  <c r="D1798" i="15"/>
  <c r="D1797" i="15"/>
  <c r="D1796" i="15"/>
  <c r="D1795" i="15"/>
  <c r="D1794" i="15"/>
  <c r="D1793" i="15"/>
  <c r="D1792" i="15"/>
  <c r="D1791" i="15"/>
  <c r="D1790" i="15"/>
  <c r="D1789" i="15"/>
  <c r="D1788" i="15"/>
  <c r="D1787" i="15"/>
  <c r="D1786" i="15"/>
  <c r="D1785" i="15"/>
  <c r="D1784" i="15"/>
  <c r="D1783" i="15"/>
  <c r="D1782" i="15"/>
  <c r="D1781" i="15"/>
  <c r="D1780" i="15"/>
  <c r="D1779" i="15"/>
  <c r="D1778" i="15"/>
  <c r="D1777" i="15"/>
  <c r="D1776" i="15"/>
  <c r="D1775" i="15"/>
  <c r="D1774" i="15"/>
  <c r="D1773" i="15"/>
  <c r="D1772" i="15"/>
  <c r="D1771" i="15"/>
  <c r="D1770" i="15"/>
  <c r="D1769" i="15"/>
  <c r="D1768" i="15"/>
  <c r="D1767" i="15"/>
  <c r="D1766" i="15"/>
  <c r="D1765" i="15"/>
  <c r="D1764" i="15"/>
  <c r="D1763" i="15"/>
  <c r="D1762" i="15"/>
  <c r="D1761" i="15"/>
  <c r="D1760" i="15"/>
  <c r="D1759" i="15"/>
  <c r="D1758" i="15"/>
  <c r="D1757" i="15"/>
  <c r="D1756" i="15"/>
  <c r="D1755" i="15"/>
  <c r="D1754" i="15"/>
  <c r="D1753" i="15"/>
  <c r="D1752" i="15"/>
  <c r="D1751" i="15"/>
  <c r="D1750" i="15"/>
  <c r="D1749" i="15"/>
  <c r="D1748" i="15"/>
  <c r="D1747" i="15"/>
  <c r="D1746" i="15"/>
  <c r="D1745" i="15"/>
  <c r="D1744" i="15"/>
  <c r="D1743" i="15"/>
  <c r="D1742" i="15"/>
  <c r="D1741" i="15"/>
  <c r="D1740" i="15"/>
  <c r="D1739" i="15"/>
  <c r="D1738" i="15"/>
  <c r="D1737" i="15"/>
  <c r="D1736" i="15"/>
  <c r="D1735" i="15"/>
  <c r="D1734" i="15"/>
  <c r="D1733" i="15"/>
  <c r="D1732" i="15"/>
  <c r="D1731" i="15"/>
  <c r="D1730" i="15"/>
  <c r="D1729" i="15"/>
  <c r="D1728" i="15"/>
  <c r="D1727" i="15"/>
  <c r="D1726" i="15"/>
  <c r="D1725" i="15"/>
  <c r="D1724" i="15"/>
  <c r="D1723" i="15"/>
  <c r="D1722" i="15"/>
  <c r="D1721" i="15"/>
  <c r="D1720" i="15"/>
  <c r="D1719" i="15"/>
  <c r="D1718" i="15"/>
  <c r="D1717" i="15"/>
  <c r="D1716" i="15"/>
  <c r="D1715" i="15"/>
  <c r="D1714" i="15"/>
  <c r="D1713" i="15"/>
  <c r="D1712" i="15"/>
  <c r="D1711" i="15"/>
  <c r="D1710" i="15"/>
  <c r="D1709" i="15"/>
  <c r="D1708" i="15"/>
  <c r="D1707" i="15"/>
  <c r="D1706" i="15"/>
  <c r="D1705" i="15"/>
  <c r="D1704" i="15"/>
  <c r="D1703" i="15"/>
  <c r="D1702" i="15"/>
  <c r="D1701" i="15"/>
  <c r="D1700" i="15"/>
  <c r="D1699" i="15"/>
  <c r="D1698" i="15"/>
  <c r="D1697" i="15"/>
  <c r="D1696" i="15"/>
  <c r="D1695" i="15"/>
  <c r="D1694" i="15"/>
  <c r="D1693" i="15"/>
  <c r="D1692" i="15"/>
  <c r="D1691" i="15"/>
  <c r="D1690" i="15"/>
  <c r="D1689" i="15"/>
  <c r="D1688" i="15"/>
  <c r="D1687" i="15"/>
  <c r="D1686" i="15"/>
  <c r="D1685" i="15"/>
  <c r="D1684" i="15"/>
  <c r="D1683" i="15"/>
  <c r="D1682" i="15"/>
  <c r="D1681" i="15"/>
  <c r="D1680" i="15"/>
  <c r="D1679" i="15"/>
  <c r="D1678" i="15"/>
  <c r="D1677" i="15"/>
  <c r="D1676" i="15"/>
  <c r="D1675" i="15"/>
  <c r="D1674" i="15"/>
  <c r="D1673" i="15"/>
  <c r="D1672" i="15"/>
  <c r="D1671" i="15"/>
  <c r="D1670" i="15"/>
  <c r="D1669" i="15"/>
  <c r="D1668" i="15"/>
  <c r="D1667" i="15"/>
  <c r="D1666" i="15"/>
  <c r="D1665" i="15"/>
  <c r="D1664" i="15"/>
  <c r="D1663" i="15"/>
  <c r="D1662" i="15"/>
  <c r="D1661" i="15"/>
  <c r="D1660" i="15"/>
  <c r="D1659" i="15"/>
  <c r="D1658" i="15"/>
  <c r="D1657" i="15"/>
  <c r="D1656" i="15"/>
  <c r="D1655" i="15"/>
  <c r="D1654" i="15"/>
  <c r="D1653" i="15"/>
  <c r="D1652" i="15"/>
  <c r="D1651" i="15"/>
  <c r="D1650" i="15"/>
  <c r="D1649" i="15"/>
  <c r="D1648" i="15"/>
  <c r="D1647" i="15"/>
  <c r="D1646" i="15"/>
  <c r="D1645" i="15"/>
  <c r="D1644" i="15"/>
  <c r="D1643" i="15"/>
  <c r="D1642" i="15"/>
  <c r="D1641" i="15"/>
  <c r="D1640" i="15"/>
  <c r="D1639" i="15"/>
  <c r="D1638" i="15"/>
  <c r="D1637" i="15"/>
  <c r="D1636" i="15"/>
  <c r="D1635" i="15"/>
  <c r="D1634" i="15"/>
  <c r="D1633" i="15"/>
  <c r="D1632" i="15"/>
  <c r="D1631" i="15"/>
  <c r="D1630" i="15"/>
  <c r="D1629" i="15"/>
  <c r="D1628" i="15"/>
  <c r="D1627" i="15"/>
  <c r="D1626" i="15"/>
  <c r="D1625" i="15"/>
  <c r="D1624" i="15"/>
  <c r="D1623" i="15"/>
  <c r="D1622" i="15"/>
  <c r="D1621" i="15"/>
  <c r="D1620" i="15"/>
  <c r="D1619" i="15"/>
  <c r="D1618" i="15"/>
  <c r="D1617" i="15"/>
  <c r="D1616" i="15"/>
  <c r="D1615" i="15"/>
  <c r="D1614" i="15"/>
  <c r="D1613" i="15"/>
  <c r="D1612" i="15"/>
  <c r="D1611" i="15"/>
  <c r="D1610" i="15"/>
  <c r="D1609" i="15"/>
  <c r="D1608" i="15"/>
  <c r="D1607" i="15"/>
  <c r="D1606" i="15"/>
  <c r="D1605" i="15"/>
  <c r="D1604" i="15"/>
  <c r="D1603" i="15"/>
  <c r="D1602" i="15"/>
  <c r="D1601" i="15"/>
  <c r="D1600" i="15"/>
  <c r="D1599" i="15"/>
  <c r="D1598" i="15"/>
  <c r="D1597" i="15"/>
  <c r="D1596" i="15"/>
  <c r="D1595" i="15"/>
  <c r="D1594" i="15"/>
  <c r="D1593" i="15"/>
  <c r="D1592" i="15"/>
  <c r="D1591" i="15"/>
  <c r="D1590" i="15"/>
  <c r="D1589" i="15"/>
  <c r="D1588" i="15"/>
  <c r="D1587" i="15"/>
  <c r="D1586" i="15"/>
  <c r="D1585" i="15"/>
  <c r="D1584" i="15"/>
  <c r="D1583" i="15"/>
  <c r="D1582" i="15"/>
  <c r="D1581" i="15"/>
  <c r="D1580" i="15"/>
  <c r="D1579" i="15"/>
  <c r="D1578" i="15"/>
  <c r="D1577" i="15"/>
  <c r="D1576" i="15"/>
  <c r="D1575" i="15"/>
  <c r="D1574" i="15"/>
  <c r="D1573" i="15"/>
  <c r="D1572" i="15"/>
  <c r="D1571" i="15"/>
  <c r="D1570" i="15"/>
  <c r="D1569" i="15"/>
  <c r="D1568" i="15"/>
  <c r="D1567" i="15"/>
  <c r="D1566" i="15"/>
  <c r="D1565" i="15"/>
  <c r="D1564" i="15"/>
  <c r="D1563" i="15"/>
  <c r="D1562" i="15"/>
  <c r="D1561" i="15"/>
  <c r="D1560" i="15"/>
  <c r="D1559" i="15"/>
  <c r="D1558" i="15"/>
  <c r="D1557" i="15"/>
  <c r="D1556" i="15"/>
  <c r="D1555" i="15"/>
  <c r="D1554" i="15"/>
  <c r="D1553" i="15"/>
  <c r="D1552" i="15"/>
  <c r="D1551" i="15"/>
  <c r="D1550" i="15"/>
  <c r="D1549" i="15"/>
  <c r="D1548" i="15"/>
  <c r="D1547" i="15"/>
  <c r="D1546" i="15"/>
  <c r="D1545" i="15"/>
  <c r="D1544" i="15"/>
  <c r="D1543" i="15"/>
  <c r="D1542" i="15"/>
  <c r="D1541" i="15"/>
  <c r="D1540" i="15"/>
  <c r="D1539" i="15"/>
  <c r="D1538" i="15"/>
  <c r="D1537" i="15"/>
  <c r="D1536" i="15"/>
  <c r="D1535" i="15"/>
  <c r="D1534" i="15"/>
  <c r="D1533" i="15"/>
  <c r="D1532" i="15"/>
  <c r="D1531" i="15"/>
  <c r="D1530" i="15"/>
  <c r="D1529" i="15"/>
  <c r="D1528" i="15"/>
  <c r="D1527" i="15"/>
  <c r="D1526" i="15"/>
  <c r="D1525" i="15"/>
  <c r="D1524" i="15"/>
  <c r="D1523" i="15"/>
  <c r="D1522" i="15"/>
  <c r="D1521" i="15"/>
  <c r="D1520" i="15"/>
  <c r="D1519" i="15"/>
  <c r="D1518" i="15"/>
  <c r="D1517" i="15"/>
  <c r="D1516" i="15"/>
  <c r="D1515" i="15"/>
  <c r="D1514" i="15"/>
  <c r="D1513" i="15"/>
  <c r="D1512" i="15"/>
  <c r="D1511" i="15"/>
  <c r="D1510" i="15"/>
  <c r="D1509" i="15"/>
  <c r="D1508" i="15"/>
  <c r="D1507" i="15"/>
  <c r="D1506" i="15"/>
  <c r="D1505" i="15"/>
  <c r="D1504" i="15"/>
  <c r="D1503" i="15"/>
  <c r="D1502" i="15"/>
  <c r="D1501" i="15"/>
  <c r="D1500" i="15"/>
  <c r="D1499" i="15"/>
  <c r="D1498" i="15"/>
  <c r="D1497" i="15"/>
  <c r="D1496" i="15"/>
  <c r="D1495" i="15"/>
  <c r="D1494" i="15"/>
  <c r="D1493" i="15"/>
  <c r="D1492" i="15"/>
  <c r="D1491" i="15"/>
  <c r="D1490" i="15"/>
  <c r="D1489" i="15"/>
  <c r="D1488" i="15"/>
  <c r="D1487" i="15"/>
  <c r="D1486" i="15"/>
  <c r="D1485" i="15"/>
  <c r="D1484" i="15"/>
  <c r="D1483" i="15"/>
  <c r="D1482" i="15"/>
  <c r="D1481" i="15"/>
  <c r="D1480" i="15"/>
  <c r="D1479" i="15"/>
  <c r="D1478" i="15"/>
  <c r="D1477" i="15"/>
  <c r="D1476" i="15"/>
  <c r="D1475" i="15"/>
  <c r="D1474" i="15"/>
  <c r="D1473" i="15"/>
  <c r="D1472" i="15"/>
  <c r="D1471" i="15"/>
  <c r="D1470" i="15"/>
  <c r="D1469" i="15"/>
  <c r="D1468" i="15"/>
  <c r="D1467" i="15"/>
  <c r="D1466" i="15"/>
  <c r="D1465" i="15"/>
  <c r="D1464" i="15"/>
  <c r="D1463" i="15"/>
  <c r="D1462" i="15"/>
  <c r="D1461" i="15"/>
  <c r="D1460" i="15"/>
  <c r="D1459" i="15"/>
  <c r="D1458" i="15"/>
  <c r="D1457" i="15"/>
  <c r="D1456" i="15"/>
  <c r="D1455" i="15"/>
  <c r="D1454" i="15"/>
  <c r="D1453" i="15"/>
  <c r="D1452" i="15"/>
  <c r="D1451" i="15"/>
  <c r="D1450" i="15"/>
  <c r="D1449" i="15"/>
  <c r="D1448" i="15"/>
  <c r="D1447" i="15"/>
  <c r="D1446" i="15"/>
  <c r="D1445" i="15"/>
  <c r="D1444" i="15"/>
  <c r="D1443" i="15"/>
  <c r="D1442" i="15"/>
  <c r="D1441" i="15"/>
  <c r="D1440" i="15"/>
  <c r="D1439" i="15"/>
  <c r="D1438" i="15"/>
  <c r="D1437" i="15"/>
  <c r="D1436" i="15"/>
  <c r="D1435" i="15"/>
  <c r="D1434" i="15"/>
  <c r="D1433" i="15"/>
  <c r="D1432" i="15"/>
  <c r="D1431" i="15"/>
  <c r="D1430" i="15"/>
  <c r="D1429" i="15"/>
  <c r="D1428" i="15"/>
  <c r="D1427" i="15"/>
  <c r="D1426" i="15"/>
  <c r="D1425" i="15"/>
  <c r="D1424" i="15"/>
  <c r="D1423" i="15"/>
  <c r="D1422" i="15"/>
  <c r="D1421" i="15"/>
  <c r="D1420" i="15"/>
  <c r="D1419" i="15"/>
  <c r="D1418" i="15"/>
  <c r="D1417" i="15"/>
  <c r="D1416" i="15"/>
  <c r="D1415" i="15"/>
  <c r="D1414" i="15"/>
  <c r="D1413" i="15"/>
  <c r="D1412" i="15"/>
  <c r="D1411" i="15"/>
  <c r="D1410" i="15"/>
  <c r="D1409" i="15"/>
  <c r="D1408" i="15"/>
  <c r="D1407" i="15"/>
  <c r="D1406" i="15"/>
  <c r="D1405" i="15"/>
  <c r="D1404" i="15"/>
  <c r="D1403" i="15"/>
  <c r="D1402" i="15"/>
  <c r="D1401" i="15"/>
  <c r="D1400" i="15"/>
  <c r="D1399" i="15"/>
  <c r="D1398" i="15"/>
  <c r="D1397" i="15"/>
  <c r="D1396" i="15"/>
  <c r="D1395" i="15"/>
  <c r="D1394" i="15"/>
  <c r="D1393" i="15"/>
  <c r="D1392" i="15"/>
  <c r="D1391" i="15"/>
  <c r="D1390" i="15"/>
  <c r="D1389" i="15"/>
  <c r="D1388" i="15"/>
  <c r="D1387" i="15"/>
  <c r="D1386" i="15"/>
  <c r="D1385" i="15"/>
  <c r="D1384" i="15"/>
  <c r="D1383" i="15"/>
  <c r="D1382" i="15"/>
  <c r="D1381" i="15"/>
  <c r="D1380" i="15"/>
  <c r="D1379" i="15"/>
  <c r="D1378" i="15"/>
  <c r="D1377" i="15"/>
  <c r="D1376" i="15"/>
  <c r="D1375" i="15"/>
  <c r="D1374" i="15"/>
  <c r="D1373" i="15"/>
  <c r="D1372" i="15"/>
  <c r="D1371" i="15"/>
  <c r="D1370" i="15"/>
  <c r="D1369" i="15"/>
  <c r="D1368" i="15"/>
  <c r="D1367" i="15"/>
  <c r="D1366" i="15"/>
  <c r="D1365" i="15"/>
  <c r="D1364" i="15"/>
  <c r="D1363" i="15"/>
  <c r="D1362" i="15"/>
  <c r="D1361" i="15"/>
  <c r="D1360" i="15"/>
  <c r="D1359" i="15"/>
  <c r="D1358" i="15"/>
  <c r="D1357" i="15"/>
  <c r="D1356" i="15"/>
  <c r="D1355" i="15"/>
  <c r="D1354" i="15"/>
  <c r="D1353" i="15"/>
  <c r="D1352" i="15"/>
  <c r="D1351" i="15"/>
  <c r="D1350" i="15"/>
  <c r="D1349" i="15"/>
  <c r="D1348" i="15"/>
  <c r="D1347" i="15"/>
  <c r="D1346" i="15"/>
  <c r="D1345" i="15"/>
  <c r="D1344" i="15"/>
  <c r="D1343" i="15"/>
  <c r="D1342" i="15"/>
  <c r="D1341" i="15"/>
  <c r="D1340" i="15"/>
  <c r="D1339" i="15"/>
  <c r="D1338" i="15"/>
  <c r="D1337" i="15"/>
  <c r="D1336" i="15"/>
  <c r="D1335" i="15"/>
  <c r="D1334" i="15"/>
  <c r="D1333" i="15"/>
  <c r="D1332" i="15"/>
  <c r="D1331" i="15"/>
  <c r="D1330" i="15"/>
  <c r="D1329" i="15"/>
  <c r="D1328" i="15"/>
  <c r="D1327" i="15"/>
  <c r="D1326" i="15"/>
  <c r="D1325" i="15"/>
  <c r="D1324" i="15"/>
  <c r="D1323" i="15"/>
  <c r="D1322" i="15"/>
  <c r="D1321" i="15"/>
  <c r="D1320" i="15"/>
  <c r="D1319" i="15"/>
  <c r="D1318" i="15"/>
  <c r="D1317" i="15"/>
  <c r="D1316" i="15"/>
  <c r="D1315" i="15"/>
  <c r="D1314" i="15"/>
  <c r="D1313" i="15"/>
  <c r="D1312" i="15"/>
  <c r="D1311" i="15"/>
  <c r="D1310" i="15"/>
  <c r="D1309" i="15"/>
  <c r="D1308" i="15"/>
  <c r="D1307" i="15"/>
  <c r="D1306" i="15"/>
  <c r="D1305" i="15"/>
  <c r="D1304" i="15"/>
  <c r="D1303" i="15"/>
  <c r="D1302" i="15"/>
  <c r="D1301" i="15"/>
  <c r="D1300" i="15"/>
  <c r="D1299" i="15"/>
  <c r="D1298" i="15"/>
  <c r="D1297" i="15"/>
  <c r="D1296" i="15"/>
  <c r="D1295" i="15"/>
  <c r="D1294" i="15"/>
  <c r="D1293" i="15"/>
  <c r="D1292" i="15"/>
  <c r="D1291" i="15"/>
  <c r="D1290" i="15"/>
  <c r="D1289" i="15"/>
  <c r="D1288" i="15"/>
  <c r="D1287" i="15"/>
  <c r="D1286" i="15"/>
  <c r="D509" i="15"/>
  <c r="D508" i="15"/>
  <c r="D507" i="15"/>
  <c r="D506" i="15"/>
  <c r="D505" i="15"/>
  <c r="D504" i="15"/>
  <c r="D503" i="15"/>
  <c r="D502" i="15"/>
  <c r="D501" i="15"/>
  <c r="D500" i="15"/>
  <c r="D499" i="15"/>
  <c r="D498" i="15"/>
  <c r="D497" i="15"/>
  <c r="D496" i="15"/>
  <c r="D495" i="15"/>
  <c r="D494" i="15"/>
  <c r="D493" i="15"/>
  <c r="D492" i="15"/>
  <c r="D491" i="15"/>
  <c r="D1285" i="15"/>
  <c r="D1284" i="15"/>
  <c r="D1283" i="15"/>
  <c r="D1282" i="15"/>
  <c r="D1281" i="15"/>
  <c r="D1280" i="15"/>
  <c r="D1279" i="15"/>
  <c r="D1278" i="15"/>
  <c r="D1277" i="15"/>
  <c r="D1276" i="15"/>
  <c r="D1275" i="15"/>
  <c r="D1274" i="15"/>
  <c r="D1273" i="15"/>
  <c r="D1272" i="15"/>
  <c r="D1271" i="15"/>
  <c r="D1270" i="15"/>
  <c r="D1269" i="15"/>
  <c r="D1268" i="15"/>
  <c r="D1267" i="15"/>
  <c r="D1266" i="15"/>
  <c r="D246" i="15"/>
  <c r="D245" i="15"/>
  <c r="D1265" i="15"/>
  <c r="D1264" i="15"/>
  <c r="D1263" i="15"/>
  <c r="D1262" i="15"/>
  <c r="D1261" i="15"/>
  <c r="D1260" i="15"/>
  <c r="D1259" i="15"/>
  <c r="D1258" i="15"/>
  <c r="D1257" i="15"/>
  <c r="D1256" i="15"/>
  <c r="D1255" i="15"/>
  <c r="D1254" i="15"/>
  <c r="D1253" i="15"/>
  <c r="D1252" i="15"/>
  <c r="D1251" i="15"/>
  <c r="D1250" i="15"/>
  <c r="D1249" i="15"/>
  <c r="D1248" i="15"/>
  <c r="D1247" i="15"/>
  <c r="D1246" i="15"/>
  <c r="D1245" i="15"/>
  <c r="D1244" i="15"/>
  <c r="D1243" i="15"/>
  <c r="D1242" i="15"/>
  <c r="D1241" i="15"/>
  <c r="D1240" i="15"/>
  <c r="D1239" i="15"/>
  <c r="D1238" i="15"/>
  <c r="D1237" i="15"/>
  <c r="D1236" i="15"/>
  <c r="D958" i="15"/>
  <c r="D957" i="15"/>
  <c r="D956" i="15"/>
  <c r="D955" i="15"/>
  <c r="D954" i="15"/>
  <c r="D953" i="15"/>
  <c r="D952" i="15"/>
  <c r="D951" i="15"/>
  <c r="D950" i="15"/>
  <c r="D949" i="15"/>
  <c r="D948" i="15"/>
  <c r="D947" i="15"/>
  <c r="D946" i="15"/>
  <c r="D945" i="15"/>
  <c r="D944" i="15"/>
  <c r="D943" i="15"/>
  <c r="D942" i="15"/>
  <c r="D941" i="15"/>
  <c r="D940" i="15"/>
  <c r="D939" i="15"/>
  <c r="D938" i="15"/>
  <c r="D937" i="15"/>
  <c r="D936" i="15"/>
  <c r="D935" i="15"/>
  <c r="D934" i="15"/>
  <c r="D933" i="15"/>
  <c r="D932" i="15"/>
  <c r="D931" i="15"/>
  <c r="D930" i="15"/>
  <c r="D929" i="15"/>
  <c r="D928" i="15"/>
  <c r="D927" i="15"/>
  <c r="D926" i="15"/>
  <c r="D925" i="15"/>
  <c r="D924" i="15"/>
  <c r="D923" i="15"/>
  <c r="D922" i="15"/>
  <c r="D921" i="15"/>
  <c r="D920" i="15"/>
  <c r="D919" i="15"/>
  <c r="D918" i="15"/>
  <c r="D917" i="15"/>
  <c r="D916" i="15"/>
  <c r="D915" i="15"/>
  <c r="D914" i="15"/>
  <c r="D913" i="15"/>
  <c r="D912" i="15"/>
  <c r="D911" i="15"/>
  <c r="D910" i="15"/>
  <c r="D909" i="15"/>
  <c r="D908" i="15"/>
  <c r="D907" i="15"/>
  <c r="D906" i="15"/>
  <c r="D905" i="15"/>
  <c r="D904" i="15"/>
  <c r="D903" i="15"/>
  <c r="D902" i="15"/>
  <c r="D901" i="15"/>
  <c r="D900" i="15"/>
  <c r="D899" i="15"/>
  <c r="D898" i="15"/>
  <c r="D897" i="15"/>
  <c r="D896" i="15"/>
  <c r="D895" i="15"/>
  <c r="D894" i="15"/>
  <c r="D893" i="15"/>
  <c r="D892" i="15"/>
  <c r="D891" i="15"/>
  <c r="D890" i="15"/>
  <c r="D889" i="15"/>
  <c r="D888" i="15"/>
  <c r="D887" i="15"/>
  <c r="D886" i="15"/>
  <c r="D885" i="15"/>
  <c r="D884" i="15"/>
  <c r="D883" i="15"/>
  <c r="D882" i="15"/>
  <c r="D881" i="15"/>
  <c r="D880" i="15"/>
  <c r="D879" i="15"/>
  <c r="D878" i="15"/>
  <c r="D877" i="15"/>
  <c r="D876" i="15"/>
  <c r="D875" i="15"/>
  <c r="D874" i="15"/>
  <c r="D873" i="15"/>
  <c r="D872" i="15"/>
  <c r="D871" i="15"/>
  <c r="D870" i="15"/>
  <c r="D869" i="15"/>
  <c r="D868" i="15"/>
  <c r="D867" i="15"/>
  <c r="D866" i="15"/>
  <c r="D865" i="15"/>
  <c r="D864" i="15"/>
  <c r="D863" i="15"/>
  <c r="D862" i="15"/>
  <c r="D861" i="15"/>
  <c r="D860" i="15"/>
  <c r="D859" i="15"/>
  <c r="D858" i="15"/>
  <c r="D857" i="15"/>
  <c r="D856" i="15"/>
  <c r="D855" i="15"/>
  <c r="D854" i="15"/>
  <c r="D853" i="15"/>
  <c r="D852" i="15"/>
  <c r="D851" i="15"/>
  <c r="D850" i="15"/>
  <c r="D849" i="15"/>
  <c r="D848" i="15"/>
  <c r="D847" i="15"/>
  <c r="D846" i="15"/>
  <c r="D845" i="15"/>
  <c r="D844" i="15"/>
  <c r="D843" i="15"/>
  <c r="D842" i="15"/>
  <c r="D841" i="15"/>
  <c r="D840" i="15"/>
  <c r="D839" i="15"/>
  <c r="D838" i="15"/>
  <c r="D837" i="15"/>
  <c r="D836" i="15"/>
  <c r="D835" i="15"/>
  <c r="D834" i="15"/>
  <c r="D833" i="15"/>
  <c r="D832" i="15"/>
  <c r="D831" i="15"/>
  <c r="D830" i="15"/>
  <c r="D829" i="15"/>
  <c r="D828" i="15"/>
  <c r="D827" i="15"/>
  <c r="D826" i="15"/>
  <c r="D825" i="15"/>
  <c r="D824" i="15"/>
  <c r="D823" i="15"/>
  <c r="D822" i="15"/>
  <c r="D821" i="15"/>
  <c r="D820" i="15"/>
  <c r="D819" i="15"/>
  <c r="D818" i="15"/>
  <c r="D817" i="15"/>
  <c r="D816" i="15"/>
  <c r="D815" i="15"/>
  <c r="D814" i="15"/>
  <c r="D813" i="15"/>
  <c r="D812" i="15"/>
  <c r="D811" i="15"/>
  <c r="D810" i="15"/>
  <c r="D809" i="15"/>
  <c r="D808" i="15"/>
  <c r="D807" i="15"/>
  <c r="D806" i="15"/>
  <c r="D805" i="15"/>
  <c r="D804" i="15"/>
  <c r="D803" i="15"/>
  <c r="D802" i="15"/>
  <c r="D801" i="15"/>
  <c r="D800" i="15"/>
  <c r="D799" i="15"/>
  <c r="D798" i="15"/>
  <c r="D797" i="15"/>
  <c r="D796" i="15"/>
  <c r="D795" i="15"/>
  <c r="D794" i="15"/>
  <c r="D793" i="15"/>
  <c r="D792" i="15"/>
  <c r="D791" i="15"/>
  <c r="D790" i="15"/>
  <c r="D789" i="15"/>
  <c r="D788" i="15"/>
  <c r="D787" i="15"/>
  <c r="D786" i="15"/>
  <c r="D785" i="15"/>
  <c r="D784" i="15"/>
  <c r="D783" i="15"/>
  <c r="D782" i="15"/>
  <c r="D781" i="15"/>
  <c r="D780" i="15"/>
  <c r="D779" i="15"/>
  <c r="D778" i="15"/>
  <c r="D777" i="15"/>
  <c r="D776" i="15"/>
  <c r="D775" i="15"/>
  <c r="D774" i="15"/>
  <c r="D773" i="15"/>
  <c r="D772" i="15"/>
  <c r="D771" i="15"/>
  <c r="D770" i="15"/>
  <c r="D769" i="15"/>
  <c r="D768" i="15"/>
  <c r="D767" i="15"/>
  <c r="D766" i="15"/>
  <c r="D765" i="15"/>
  <c r="D764" i="15"/>
  <c r="D763" i="15"/>
  <c r="D762" i="15"/>
  <c r="D761" i="15"/>
  <c r="D760" i="15"/>
  <c r="D759" i="15"/>
  <c r="D758" i="15"/>
  <c r="D757" i="15"/>
  <c r="D756" i="15"/>
  <c r="D755" i="15"/>
  <c r="D754" i="15"/>
  <c r="D753" i="15"/>
  <c r="D752" i="15"/>
  <c r="D751" i="15"/>
  <c r="D750" i="15"/>
  <c r="D749" i="15"/>
  <c r="D748" i="15"/>
  <c r="D747" i="15"/>
  <c r="D746" i="15"/>
  <c r="D745" i="15"/>
  <c r="D744" i="15"/>
  <c r="D743" i="15"/>
  <c r="D742" i="15"/>
  <c r="D741" i="15"/>
  <c r="D740" i="15"/>
  <c r="D739" i="15"/>
  <c r="D738" i="15"/>
  <c r="D737" i="15"/>
  <c r="D736" i="15"/>
  <c r="D735" i="15"/>
  <c r="D734" i="15"/>
  <c r="D733" i="15"/>
  <c r="D732" i="15"/>
  <c r="D731" i="15"/>
  <c r="D730" i="15"/>
  <c r="D729" i="15"/>
  <c r="D728" i="15"/>
  <c r="D727" i="15"/>
  <c r="D726" i="15"/>
  <c r="D725" i="15"/>
  <c r="D724" i="15"/>
  <c r="D723" i="15"/>
  <c r="D722" i="15"/>
  <c r="D721" i="15"/>
  <c r="D720" i="15"/>
  <c r="D719" i="15"/>
  <c r="D718" i="15"/>
  <c r="D717" i="15"/>
  <c r="D716" i="15"/>
  <c r="D715" i="15"/>
  <c r="D714" i="15"/>
  <c r="D713" i="15"/>
  <c r="D712" i="15"/>
  <c r="D711" i="15"/>
  <c r="D710" i="15"/>
  <c r="D709" i="15"/>
  <c r="D708" i="15"/>
  <c r="D707" i="15"/>
  <c r="D706" i="15"/>
  <c r="D705" i="15"/>
  <c r="D704" i="15"/>
  <c r="D703" i="15"/>
  <c r="D702" i="15"/>
  <c r="D701" i="15"/>
  <c r="D700" i="15"/>
  <c r="D699" i="15"/>
  <c r="D698" i="15"/>
  <c r="D697" i="15"/>
  <c r="D696" i="15"/>
  <c r="D695" i="15"/>
  <c r="D694" i="15"/>
  <c r="D693" i="15"/>
  <c r="D692" i="15"/>
  <c r="D691" i="15"/>
  <c r="D690" i="15"/>
  <c r="D689" i="15"/>
  <c r="D688" i="15"/>
  <c r="D687" i="15"/>
  <c r="D686" i="15"/>
  <c r="D685" i="15"/>
  <c r="D684" i="15"/>
  <c r="D683" i="15"/>
  <c r="D682" i="15"/>
  <c r="D681" i="15"/>
  <c r="D680" i="15"/>
  <c r="D679" i="15"/>
  <c r="D678" i="15"/>
  <c r="D677" i="15"/>
  <c r="D676" i="15"/>
  <c r="D675" i="15"/>
  <c r="D674" i="15"/>
  <c r="D673" i="15"/>
  <c r="D672" i="15"/>
  <c r="D671" i="15"/>
  <c r="D670" i="15"/>
  <c r="D669" i="15"/>
  <c r="D668" i="15"/>
  <c r="D667" i="15"/>
  <c r="D666" i="15"/>
  <c r="D665" i="15"/>
  <c r="D664" i="15"/>
  <c r="D663" i="15"/>
  <c r="D662" i="15"/>
  <c r="D661" i="15"/>
  <c r="D660" i="15"/>
  <c r="D659" i="15"/>
  <c r="D658" i="15"/>
  <c r="D657" i="15"/>
  <c r="D656" i="15"/>
  <c r="D655" i="15"/>
  <c r="D654" i="15"/>
  <c r="D653" i="15"/>
  <c r="D652" i="15"/>
  <c r="D651" i="15"/>
  <c r="D650" i="15"/>
  <c r="D649" i="15"/>
  <c r="D648" i="15"/>
  <c r="D647" i="15"/>
  <c r="D646" i="15"/>
  <c r="D645" i="15"/>
  <c r="D644" i="15"/>
  <c r="D643" i="15"/>
  <c r="D642" i="15"/>
  <c r="D641" i="15"/>
  <c r="D640" i="15"/>
  <c r="D639" i="15"/>
  <c r="D638" i="15"/>
  <c r="D637" i="15"/>
  <c r="D636" i="15"/>
  <c r="D635" i="15"/>
  <c r="D634" i="15"/>
  <c r="D633" i="15"/>
  <c r="D632" i="15"/>
  <c r="D631" i="15"/>
  <c r="D630" i="15"/>
  <c r="D629" i="15"/>
  <c r="D628" i="15"/>
  <c r="D627" i="15"/>
  <c r="D626" i="15"/>
  <c r="D625" i="15"/>
  <c r="D624" i="15"/>
  <c r="D623" i="15"/>
  <c r="D622" i="15"/>
  <c r="D621" i="15"/>
  <c r="D620" i="15"/>
  <c r="D619" i="15"/>
  <c r="D618" i="15"/>
  <c r="D617" i="15"/>
  <c r="D616" i="15"/>
  <c r="D615" i="15"/>
  <c r="D614" i="15"/>
  <c r="D612" i="15"/>
  <c r="D611" i="15"/>
  <c r="D610" i="15"/>
  <c r="D609" i="15"/>
  <c r="D608" i="15"/>
  <c r="D607" i="15"/>
  <c r="D606" i="15"/>
  <c r="D605" i="15"/>
  <c r="D604" i="15"/>
  <c r="D603" i="15"/>
  <c r="D602" i="15"/>
  <c r="D601" i="15"/>
  <c r="D600" i="15"/>
  <c r="D599" i="15"/>
  <c r="D598" i="15"/>
  <c r="D597" i="15"/>
  <c r="D596" i="15"/>
  <c r="D595" i="15"/>
  <c r="D594" i="15"/>
  <c r="D593" i="15"/>
  <c r="D592" i="15"/>
  <c r="D591" i="15"/>
  <c r="D590" i="15"/>
  <c r="D589" i="15"/>
  <c r="D588" i="15"/>
  <c r="D587" i="15"/>
  <c r="D586" i="15"/>
  <c r="D585" i="15"/>
  <c r="D584" i="15"/>
  <c r="D583" i="15"/>
  <c r="D582" i="15"/>
  <c r="D581" i="15"/>
  <c r="D580" i="15"/>
  <c r="D579" i="15"/>
  <c r="D578" i="15"/>
  <c r="D577" i="15"/>
  <c r="D576" i="15"/>
  <c r="D575" i="15"/>
  <c r="D574" i="15"/>
  <c r="D573" i="15"/>
  <c r="D572" i="15"/>
  <c r="D571" i="15"/>
  <c r="D570" i="15"/>
  <c r="D569" i="15"/>
  <c r="D568" i="15"/>
  <c r="D567" i="15"/>
  <c r="D566" i="15"/>
  <c r="D565" i="15"/>
  <c r="D564" i="15"/>
  <c r="D563" i="15"/>
  <c r="D562" i="15"/>
  <c r="D561" i="15"/>
  <c r="D560" i="15"/>
  <c r="D559" i="15"/>
  <c r="D558" i="15"/>
  <c r="D557" i="15"/>
  <c r="D556" i="15"/>
  <c r="D555" i="15"/>
  <c r="D554" i="15"/>
  <c r="D553" i="15"/>
  <c r="D552" i="15"/>
  <c r="D551" i="15"/>
  <c r="D550" i="15"/>
  <c r="D549" i="15"/>
  <c r="D548" i="15"/>
  <c r="D547" i="15"/>
  <c r="D546" i="15"/>
  <c r="D545" i="15"/>
  <c r="D544" i="15"/>
  <c r="D543" i="15"/>
  <c r="D542" i="15"/>
  <c r="D541" i="15"/>
  <c r="D540" i="15"/>
  <c r="D533" i="15"/>
  <c r="D532" i="15"/>
  <c r="D531" i="15"/>
  <c r="D530" i="15"/>
  <c r="D529" i="15"/>
  <c r="D528" i="15"/>
  <c r="D527" i="15"/>
  <c r="D526" i="15"/>
  <c r="D525" i="15"/>
  <c r="D524" i="15"/>
  <c r="D523" i="15"/>
  <c r="D522" i="15"/>
  <c r="D521" i="15"/>
  <c r="D520" i="15"/>
  <c r="D490" i="15"/>
  <c r="D489" i="15"/>
  <c r="D488" i="15"/>
  <c r="D487" i="15"/>
  <c r="D486" i="15"/>
  <c r="D485" i="15"/>
  <c r="D484" i="15"/>
  <c r="D483" i="15"/>
  <c r="D482" i="15"/>
  <c r="D481" i="15"/>
  <c r="D480" i="15"/>
  <c r="D479" i="15"/>
  <c r="D478" i="15"/>
  <c r="D477" i="15"/>
  <c r="D476" i="15"/>
  <c r="D475" i="15"/>
  <c r="D474" i="15"/>
  <c r="D473" i="15"/>
  <c r="D472" i="15"/>
  <c r="D471" i="15"/>
  <c r="D470" i="15"/>
  <c r="D469" i="15"/>
  <c r="D468" i="15"/>
  <c r="D467" i="15"/>
  <c r="D466" i="15"/>
  <c r="D465" i="15"/>
  <c r="D464" i="15"/>
  <c r="D463" i="15"/>
  <c r="D462" i="15"/>
  <c r="D461" i="15"/>
  <c r="D460" i="15"/>
  <c r="D459" i="15"/>
  <c r="D458" i="15"/>
  <c r="D457" i="15"/>
  <c r="D456" i="15"/>
  <c r="D455" i="15"/>
  <c r="D454" i="15"/>
  <c r="D453" i="15"/>
  <c r="D452" i="15"/>
  <c r="D451" i="15"/>
  <c r="D450" i="15"/>
  <c r="D449" i="15"/>
  <c r="D448" i="15"/>
  <c r="D447" i="15"/>
  <c r="D446" i="15"/>
  <c r="D445" i="15"/>
  <c r="D444" i="15"/>
  <c r="D443" i="15"/>
  <c r="D442" i="15"/>
  <c r="D441" i="15"/>
  <c r="D440" i="15"/>
  <c r="D439" i="15"/>
  <c r="D438" i="15"/>
  <c r="D437" i="15"/>
  <c r="D436" i="15"/>
  <c r="D435" i="15"/>
  <c r="D434" i="15"/>
  <c r="D433" i="15"/>
  <c r="D432" i="15"/>
  <c r="D431" i="15"/>
  <c r="D430" i="15"/>
  <c r="D429" i="15"/>
  <c r="D428" i="15"/>
  <c r="D427" i="15"/>
  <c r="D426" i="15"/>
  <c r="D425" i="15"/>
  <c r="D424" i="15"/>
  <c r="D423" i="15"/>
  <c r="D422" i="15"/>
  <c r="D421" i="15"/>
  <c r="D420" i="15"/>
  <c r="D419" i="15"/>
  <c r="D418" i="15"/>
  <c r="D417" i="15"/>
  <c r="D416" i="15"/>
  <c r="D415" i="15"/>
  <c r="D414" i="15"/>
  <c r="D413" i="15"/>
  <c r="D412" i="15"/>
  <c r="D411" i="15"/>
  <c r="D410" i="15"/>
  <c r="D409" i="15"/>
  <c r="D408" i="15"/>
  <c r="D407" i="15"/>
  <c r="D406" i="15"/>
  <c r="D405" i="15"/>
  <c r="D404" i="15"/>
  <c r="D403" i="15"/>
  <c r="D402" i="15"/>
  <c r="D401" i="15"/>
  <c r="D400" i="15"/>
  <c r="D399" i="15"/>
  <c r="D398" i="15"/>
  <c r="D397" i="15"/>
  <c r="D396" i="15"/>
  <c r="D395" i="15"/>
  <c r="D394" i="15"/>
  <c r="D393" i="15"/>
  <c r="D392" i="15"/>
  <c r="D391" i="15"/>
  <c r="D390" i="15"/>
  <c r="D389" i="15"/>
  <c r="D388" i="15"/>
  <c r="D387" i="15"/>
  <c r="D386" i="15"/>
  <c r="D385" i="15"/>
  <c r="D384" i="15"/>
  <c r="D383" i="15"/>
  <c r="D382" i="15"/>
  <c r="D381" i="15"/>
  <c r="D380" i="15"/>
  <c r="D379" i="15"/>
  <c r="D378" i="15"/>
  <c r="D377" i="15"/>
  <c r="D376" i="15"/>
  <c r="D375" i="15"/>
  <c r="D374" i="15"/>
  <c r="D373" i="15"/>
  <c r="D372" i="15"/>
  <c r="D371" i="15"/>
  <c r="D370" i="15"/>
  <c r="D369" i="15"/>
  <c r="D368" i="15"/>
  <c r="D367" i="15"/>
  <c r="D366" i="15"/>
  <c r="D365" i="15"/>
  <c r="D364" i="15"/>
  <c r="D363" i="15"/>
  <c r="D362" i="15"/>
  <c r="D361" i="15"/>
  <c r="D360" i="15"/>
  <c r="D359" i="15"/>
  <c r="D358" i="15"/>
  <c r="D357" i="15"/>
  <c r="D356" i="15"/>
  <c r="D355" i="15"/>
  <c r="D354" i="15"/>
  <c r="D353" i="15"/>
  <c r="D352" i="15"/>
  <c r="D351" i="15"/>
  <c r="D350" i="15"/>
  <c r="D349" i="15"/>
  <c r="D348" i="15"/>
  <c r="D347" i="15"/>
  <c r="D346" i="15"/>
  <c r="D345" i="15"/>
  <c r="D344" i="15"/>
  <c r="D343" i="15"/>
  <c r="D342" i="15"/>
  <c r="D341" i="15"/>
  <c r="D340" i="15"/>
  <c r="D339" i="15"/>
  <c r="D338" i="15"/>
  <c r="D337" i="15"/>
  <c r="D336" i="15"/>
  <c r="D335" i="15"/>
  <c r="D334" i="15"/>
  <c r="D333" i="15"/>
  <c r="D332" i="15"/>
  <c r="D331" i="15"/>
  <c r="D330" i="15"/>
  <c r="D329" i="15"/>
  <c r="D328" i="15"/>
  <c r="D327" i="15"/>
  <c r="D326" i="15"/>
  <c r="D325" i="15"/>
  <c r="D324" i="15"/>
  <c r="D323" i="15"/>
  <c r="D322" i="15"/>
  <c r="D321" i="15"/>
  <c r="D320" i="15"/>
  <c r="D319" i="15"/>
  <c r="D318" i="15"/>
  <c r="D317" i="15"/>
  <c r="D316" i="15"/>
  <c r="D315" i="15"/>
  <c r="D314" i="15"/>
  <c r="D313" i="15"/>
  <c r="D312" i="15"/>
  <c r="D311" i="15"/>
  <c r="D310" i="15"/>
  <c r="D309" i="15"/>
  <c r="D308" i="15"/>
  <c r="D307" i="15"/>
  <c r="D306" i="15"/>
  <c r="D305" i="15"/>
  <c r="D304" i="15"/>
  <c r="D303" i="15"/>
  <c r="D302" i="15"/>
  <c r="D301" i="15"/>
  <c r="D300" i="15"/>
  <c r="D299" i="15"/>
  <c r="D298" i="15"/>
  <c r="D297" i="15"/>
  <c r="D296" i="15"/>
  <c r="D295" i="15"/>
  <c r="D294" i="15"/>
  <c r="D293" i="15"/>
  <c r="D292" i="15"/>
  <c r="D291" i="15"/>
  <c r="D290" i="15"/>
  <c r="D289" i="15"/>
  <c r="D288" i="15"/>
  <c r="D287" i="15"/>
  <c r="D286" i="15"/>
  <c r="D285" i="15"/>
  <c r="D284" i="15"/>
  <c r="D283" i="15"/>
  <c r="D282" i="15"/>
  <c r="D281" i="15"/>
  <c r="D280" i="15"/>
  <c r="D279" i="15"/>
  <c r="D278" i="15"/>
  <c r="D277" i="15"/>
  <c r="D276" i="15"/>
  <c r="D275" i="15"/>
  <c r="D274" i="15"/>
  <c r="D273" i="15"/>
  <c r="D272" i="15"/>
  <c r="D271" i="15"/>
  <c r="D270" i="15"/>
  <c r="D244" i="15"/>
  <c r="D243" i="15"/>
  <c r="D242" i="15"/>
  <c r="D241" i="15"/>
  <c r="D240" i="15"/>
  <c r="D239" i="15"/>
  <c r="D238" i="15"/>
  <c r="D237" i="15"/>
  <c r="D236" i="15"/>
  <c r="D235" i="15"/>
  <c r="D234" i="15"/>
  <c r="D233" i="15"/>
  <c r="D232" i="15"/>
  <c r="D231" i="15"/>
  <c r="D230" i="15"/>
  <c r="D229" i="15"/>
  <c r="D228" i="15"/>
  <c r="D227" i="15"/>
  <c r="D226" i="15"/>
  <c r="D225" i="15"/>
  <c r="D224" i="15"/>
  <c r="D223" i="15"/>
  <c r="D222" i="15"/>
  <c r="D221" i="15"/>
  <c r="D220" i="15"/>
  <c r="D219" i="15"/>
  <c r="D218" i="15"/>
  <c r="D217" i="15"/>
  <c r="D216" i="15"/>
  <c r="D215" i="15"/>
  <c r="D214" i="15"/>
  <c r="D213" i="15"/>
  <c r="D212" i="15"/>
  <c r="D211" i="15"/>
  <c r="D210" i="15"/>
  <c r="D209" i="15"/>
  <c r="D208" i="15"/>
  <c r="D207" i="15"/>
  <c r="D206" i="15"/>
  <c r="D205" i="15"/>
  <c r="D204" i="15"/>
  <c r="D203" i="15"/>
  <c r="D202" i="15"/>
  <c r="D201" i="15"/>
  <c r="D200" i="15"/>
  <c r="D199" i="15"/>
  <c r="D198" i="15"/>
  <c r="D197" i="15"/>
  <c r="D196" i="15"/>
  <c r="D195" i="15"/>
  <c r="D194" i="15"/>
  <c r="D193" i="15"/>
  <c r="D192" i="15"/>
  <c r="D191" i="15"/>
  <c r="D190" i="15"/>
  <c r="D189" i="15"/>
  <c r="D188" i="15"/>
  <c r="D187" i="15"/>
  <c r="D186" i="15"/>
  <c r="D185" i="15"/>
  <c r="D184" i="15"/>
  <c r="D183" i="15"/>
  <c r="D182" i="15"/>
  <c r="D181" i="15"/>
  <c r="D180" i="15"/>
  <c r="D179" i="15"/>
  <c r="D178" i="15"/>
  <c r="D177" i="15"/>
  <c r="D176" i="15"/>
  <c r="D175" i="15"/>
  <c r="D174" i="15"/>
  <c r="D173" i="15"/>
  <c r="D172" i="15"/>
  <c r="D171" i="15"/>
  <c r="D170" i="15"/>
  <c r="D169" i="15"/>
  <c r="D168" i="15"/>
  <c r="D167" i="15"/>
  <c r="D166" i="15"/>
  <c r="D165" i="15"/>
  <c r="D164" i="15"/>
  <c r="D163" i="15"/>
  <c r="D162" i="15"/>
  <c r="D161" i="15"/>
  <c r="D160" i="15"/>
  <c r="D159" i="15"/>
  <c r="D158" i="15"/>
  <c r="D157" i="15"/>
  <c r="D156" i="15"/>
  <c r="D155" i="15"/>
  <c r="D154" i="15"/>
  <c r="D153" i="15"/>
  <c r="D152" i="15"/>
  <c r="D151" i="15"/>
  <c r="D150" i="15"/>
  <c r="D149" i="15"/>
  <c r="D148" i="15"/>
  <c r="D147" i="15"/>
  <c r="D146" i="15"/>
  <c r="D145" i="15"/>
  <c r="D144" i="15"/>
  <c r="D143" i="15"/>
  <c r="D142" i="15"/>
  <c r="D141" i="15"/>
  <c r="D140" i="15"/>
  <c r="D139" i="15"/>
  <c r="D138" i="15"/>
  <c r="D137" i="15"/>
  <c r="D136" i="15"/>
  <c r="D135" i="15"/>
  <c r="D134" i="15"/>
  <c r="D133" i="15"/>
  <c r="D132" i="15"/>
  <c r="D131" i="15"/>
  <c r="D130" i="15"/>
  <c r="D129" i="15"/>
  <c r="D128" i="15"/>
  <c r="D127" i="15"/>
  <c r="D126" i="15"/>
  <c r="D125" i="15"/>
  <c r="D124" i="15"/>
  <c r="D123" i="15"/>
  <c r="D122" i="15"/>
  <c r="D121" i="15"/>
  <c r="D120" i="15"/>
  <c r="D119" i="15"/>
  <c r="D118" i="15"/>
  <c r="D117" i="15"/>
  <c r="D116" i="15"/>
  <c r="D115" i="15"/>
  <c r="D114" i="15"/>
  <c r="D113" i="15"/>
  <c r="D112" i="15"/>
  <c r="D111" i="15"/>
  <c r="D110" i="15"/>
  <c r="D109" i="15"/>
  <c r="D108" i="15"/>
  <c r="D107" i="15"/>
  <c r="D106" i="15"/>
  <c r="D105" i="15"/>
  <c r="D104" i="15"/>
  <c r="D103" i="15"/>
  <c r="D102" i="15"/>
  <c r="D101" i="15"/>
  <c r="D100" i="15"/>
  <c r="D99" i="15"/>
  <c r="D98" i="15"/>
  <c r="D97" i="15"/>
  <c r="D96" i="15"/>
  <c r="D95" i="15"/>
  <c r="D94" i="15"/>
  <c r="D93" i="15"/>
  <c r="D92" i="15"/>
  <c r="D91" i="15"/>
  <c r="D90" i="15"/>
  <c r="D89" i="15"/>
  <c r="D88" i="15"/>
  <c r="D87" i="15"/>
  <c r="D86" i="15"/>
  <c r="D85" i="15"/>
  <c r="D84" i="15"/>
  <c r="D83" i="15"/>
  <c r="D82" i="15"/>
  <c r="D81" i="15"/>
  <c r="D80" i="15"/>
  <c r="D79" i="15"/>
  <c r="D78" i="15"/>
  <c r="D77" i="15"/>
  <c r="D76" i="15"/>
  <c r="D75" i="15"/>
  <c r="D74" i="15"/>
  <c r="D73" i="15"/>
  <c r="D72" i="15"/>
  <c r="D71" i="15"/>
  <c r="D70" i="15"/>
  <c r="D69" i="15"/>
  <c r="D68" i="15"/>
  <c r="D67" i="15"/>
  <c r="D66" i="15"/>
  <c r="D65" i="15"/>
  <c r="D64" i="15"/>
  <c r="D63" i="15"/>
  <c r="D62" i="15"/>
  <c r="D61" i="15"/>
  <c r="D60" i="15"/>
  <c r="D59" i="15"/>
  <c r="D58" i="15"/>
  <c r="D57" i="15"/>
  <c r="D56" i="15"/>
  <c r="D55" i="15"/>
  <c r="D54" i="15"/>
  <c r="D53" i="15"/>
  <c r="D52" i="15"/>
  <c r="D51" i="15"/>
  <c r="D50" i="15"/>
  <c r="D49" i="15"/>
  <c r="D48" i="15"/>
  <c r="D47" i="15"/>
  <c r="D46" i="15"/>
  <c r="D45" i="15"/>
  <c r="D44" i="15"/>
  <c r="D43" i="15"/>
  <c r="D42" i="15"/>
  <c r="D41" i="15"/>
  <c r="D40" i="15"/>
  <c r="D39" i="15"/>
  <c r="D38" i="15"/>
  <c r="D37" i="15"/>
  <c r="D36" i="15"/>
  <c r="D35" i="15"/>
  <c r="D34" i="15"/>
  <c r="D33" i="15"/>
  <c r="D32" i="15"/>
  <c r="D31" i="15"/>
  <c r="D30" i="15"/>
  <c r="D29" i="15"/>
  <c r="D28" i="15"/>
  <c r="D27" i="15"/>
  <c r="D26" i="15"/>
  <c r="D25" i="15"/>
  <c r="D24" i="15"/>
  <c r="D23" i="15"/>
  <c r="D22" i="15"/>
  <c r="D21" i="15"/>
  <c r="D20" i="15"/>
  <c r="D19" i="15"/>
  <c r="D18" i="15"/>
  <c r="D17" i="15"/>
  <c r="D16" i="15"/>
  <c r="D15" i="15"/>
  <c r="D14" i="15"/>
  <c r="D13" i="15"/>
  <c r="D12" i="15"/>
  <c r="D11" i="15"/>
  <c r="D10" i="15"/>
  <c r="D9" i="15"/>
  <c r="D8" i="15"/>
  <c r="D7" i="15"/>
  <c r="G889" i="19"/>
  <c r="G887" i="19"/>
  <c r="G885" i="19"/>
  <c r="G879" i="19"/>
  <c r="G873" i="19"/>
  <c r="G872" i="19"/>
  <c r="G871" i="19" s="1"/>
  <c r="G870" i="19" s="1"/>
  <c r="G922" i="19"/>
  <c r="G920" i="19"/>
  <c r="G918" i="19"/>
  <c r="G912" i="19"/>
  <c r="G910" i="19"/>
  <c r="G905" i="19"/>
  <c r="G901" i="19"/>
  <c r="G900" i="19" s="1"/>
  <c r="G894" i="19"/>
  <c r="G731" i="19"/>
  <c r="E103" i="18"/>
  <c r="E166" i="18"/>
  <c r="E161" i="18"/>
  <c r="B1999" i="6"/>
  <c r="D19" i="8"/>
  <c r="B1858" i="6"/>
  <c r="B1824" i="6"/>
  <c r="D17" i="8"/>
  <c r="B1498" i="6"/>
  <c r="B1399" i="6"/>
  <c r="D15" i="8"/>
  <c r="B1291" i="6"/>
  <c r="D14" i="8"/>
  <c r="B1241" i="6"/>
  <c r="D13" i="8"/>
  <c r="C10" i="6"/>
  <c r="B9" i="6"/>
  <c r="A8" i="6"/>
  <c r="G7" i="6"/>
  <c r="B729" i="3"/>
  <c r="D8" i="8"/>
  <c r="B728" i="3"/>
  <c r="C425" i="3"/>
  <c r="J51" i="3"/>
  <c r="C19" i="8"/>
  <c r="D18" i="8"/>
  <c r="C18" i="8"/>
  <c r="C17" i="8"/>
  <c r="D16" i="8"/>
  <c r="C16" i="8"/>
  <c r="C15" i="8"/>
  <c r="C14" i="8"/>
  <c r="C13" i="8"/>
  <c r="C11" i="8"/>
  <c r="C8" i="8"/>
  <c r="C7" i="8"/>
  <c r="C5" i="8"/>
  <c r="C6" i="8"/>
  <c r="D7" i="8"/>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54" i="6"/>
  <c r="C255" i="6"/>
  <c r="C256" i="6"/>
  <c r="C257" i="6"/>
  <c r="C258" i="6"/>
  <c r="C259" i="6"/>
  <c r="C260" i="6"/>
  <c r="C261" i="6"/>
  <c r="C262" i="6"/>
  <c r="C263" i="6"/>
  <c r="C264" i="6"/>
  <c r="C265" i="6"/>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312" i="6"/>
  <c r="C313" i="6"/>
  <c r="C314" i="6"/>
  <c r="C315" i="6"/>
  <c r="C316" i="6"/>
  <c r="C317" i="6"/>
  <c r="C318" i="6"/>
  <c r="C319" i="6"/>
  <c r="C320" i="6"/>
  <c r="C321" i="6"/>
  <c r="C322" i="6"/>
  <c r="C323" i="6"/>
  <c r="C324" i="6"/>
  <c r="C325" i="6"/>
  <c r="C326" i="6"/>
  <c r="C327" i="6"/>
  <c r="C328" i="6"/>
  <c r="C329" i="6"/>
  <c r="C330" i="6"/>
  <c r="C331" i="6"/>
  <c r="C332" i="6"/>
  <c r="C333" i="6"/>
  <c r="C334" i="6"/>
  <c r="C335" i="6"/>
  <c r="C336" i="6"/>
  <c r="C337" i="6"/>
  <c r="C338" i="6"/>
  <c r="C339" i="6"/>
  <c r="C340" i="6"/>
  <c r="C341" i="6"/>
  <c r="C342" i="6"/>
  <c r="C343" i="6"/>
  <c r="C344" i="6"/>
  <c r="C345" i="6"/>
  <c r="C346" i="6"/>
  <c r="C347" i="6"/>
  <c r="C348" i="6"/>
  <c r="C349" i="6"/>
  <c r="C350" i="6"/>
  <c r="C351" i="6"/>
  <c r="C352" i="6"/>
  <c r="C353" i="6"/>
  <c r="C354" i="6"/>
  <c r="C355" i="6"/>
  <c r="C356" i="6"/>
  <c r="C357" i="6"/>
  <c r="C358" i="6"/>
  <c r="C359" i="6"/>
  <c r="C360" i="6"/>
  <c r="C361" i="6"/>
  <c r="C362" i="6"/>
  <c r="C363" i="6"/>
  <c r="C364" i="6"/>
  <c r="C365" i="6"/>
  <c r="C366" i="6"/>
  <c r="C367" i="6"/>
  <c r="C368" i="6"/>
  <c r="C369" i="6"/>
  <c r="C370" i="6"/>
  <c r="C371" i="6"/>
  <c r="C372" i="6"/>
  <c r="C373" i="6"/>
  <c r="C374" i="6"/>
  <c r="C375" i="6"/>
  <c r="C376" i="6"/>
  <c r="C377" i="6"/>
  <c r="C378" i="6"/>
  <c r="C379" i="6"/>
  <c r="C380" i="6"/>
  <c r="C381" i="6"/>
  <c r="C382" i="6"/>
  <c r="C383" i="6"/>
  <c r="C384" i="6"/>
  <c r="C385" i="6"/>
  <c r="C386" i="6"/>
  <c r="C387" i="6"/>
  <c r="C388" i="6"/>
  <c r="C389" i="6"/>
  <c r="C390" i="6"/>
  <c r="C391" i="6"/>
  <c r="C392" i="6"/>
  <c r="C393" i="6"/>
  <c r="C394" i="6"/>
  <c r="C395" i="6"/>
  <c r="C396" i="6"/>
  <c r="C397" i="6"/>
  <c r="C398" i="6"/>
  <c r="C399" i="6"/>
  <c r="C400" i="6"/>
  <c r="C401" i="6"/>
  <c r="C402" i="6"/>
  <c r="C403" i="6"/>
  <c r="C404" i="6"/>
  <c r="C405" i="6"/>
  <c r="C406" i="6"/>
  <c r="C407" i="6"/>
  <c r="C408" i="6"/>
  <c r="C409" i="6"/>
  <c r="C410" i="6"/>
  <c r="C411" i="6"/>
  <c r="C412" i="6"/>
  <c r="C413" i="6"/>
  <c r="C414" i="6"/>
  <c r="C415" i="6"/>
  <c r="C416" i="6"/>
  <c r="C417" i="6"/>
  <c r="C418" i="6"/>
  <c r="C419" i="6"/>
  <c r="C420" i="6"/>
  <c r="C421" i="6"/>
  <c r="C422" i="6"/>
  <c r="C423" i="6"/>
  <c r="C424" i="6"/>
  <c r="C425" i="6"/>
  <c r="C426" i="6"/>
  <c r="C427" i="6"/>
  <c r="C428" i="6"/>
  <c r="C429" i="6"/>
  <c r="C430" i="6"/>
  <c r="C431" i="6"/>
  <c r="C432" i="6"/>
  <c r="C433" i="6"/>
  <c r="C434" i="6"/>
  <c r="C435" i="6"/>
  <c r="C436" i="6"/>
  <c r="C437" i="6"/>
  <c r="C438" i="6"/>
  <c r="C439" i="6"/>
  <c r="C440" i="6"/>
  <c r="C441" i="6"/>
  <c r="C442" i="6"/>
  <c r="C443" i="6"/>
  <c r="C444" i="6"/>
  <c r="C445" i="6"/>
  <c r="C446" i="6"/>
  <c r="C447" i="6"/>
  <c r="C448" i="6"/>
  <c r="C449" i="6"/>
  <c r="C450" i="6"/>
  <c r="C451" i="6"/>
  <c r="C452" i="6"/>
  <c r="C453" i="6"/>
  <c r="C454" i="6"/>
  <c r="C455" i="6"/>
  <c r="C456" i="6"/>
  <c r="C457" i="6"/>
  <c r="C458" i="6"/>
  <c r="C459" i="6"/>
  <c r="C460" i="6"/>
  <c r="C461" i="6"/>
  <c r="C462" i="6"/>
  <c r="C463" i="6"/>
  <c r="C464" i="6"/>
  <c r="C465" i="6"/>
  <c r="C466" i="6"/>
  <c r="C467" i="6"/>
  <c r="C468" i="6"/>
  <c r="C469" i="6"/>
  <c r="C470" i="6"/>
  <c r="C471" i="6"/>
  <c r="C472" i="6"/>
  <c r="C473" i="6"/>
  <c r="C474" i="6"/>
  <c r="C475" i="6"/>
  <c r="C476" i="6"/>
  <c r="C477" i="6"/>
  <c r="C478" i="6"/>
  <c r="C479" i="6"/>
  <c r="C480" i="6"/>
  <c r="C481" i="6"/>
  <c r="C482" i="6"/>
  <c r="C483" i="6"/>
  <c r="C484" i="6"/>
  <c r="C485" i="6"/>
  <c r="C486" i="6"/>
  <c r="C487" i="6"/>
  <c r="C488" i="6"/>
  <c r="C489" i="6"/>
  <c r="C490" i="6"/>
  <c r="C491" i="6"/>
  <c r="C492" i="6"/>
  <c r="C493" i="6"/>
  <c r="C494" i="6"/>
  <c r="C495" i="6"/>
  <c r="C496" i="6"/>
  <c r="C497" i="6"/>
  <c r="C498" i="6"/>
  <c r="C499" i="6"/>
  <c r="C500" i="6"/>
  <c r="C501" i="6"/>
  <c r="C502" i="6"/>
  <c r="C503" i="6"/>
  <c r="C504" i="6"/>
  <c r="C505" i="6"/>
  <c r="C506" i="6"/>
  <c r="C507" i="6"/>
  <c r="C508" i="6"/>
  <c r="C509" i="6"/>
  <c r="C510" i="6"/>
  <c r="C511" i="6"/>
  <c r="C512" i="6"/>
  <c r="C513" i="6"/>
  <c r="C514" i="6"/>
  <c r="C515" i="6"/>
  <c r="C516" i="6"/>
  <c r="C517" i="6"/>
  <c r="C518" i="6"/>
  <c r="C519" i="6"/>
  <c r="C520" i="6"/>
  <c r="C521" i="6"/>
  <c r="C522" i="6"/>
  <c r="C523" i="6"/>
  <c r="C524" i="6"/>
  <c r="C525" i="6"/>
  <c r="C526" i="6"/>
  <c r="C527" i="6"/>
  <c r="C528" i="6"/>
  <c r="C529" i="6"/>
  <c r="C530" i="6"/>
  <c r="C531" i="6"/>
  <c r="C532" i="6"/>
  <c r="C533" i="6"/>
  <c r="C534" i="6"/>
  <c r="C535" i="6"/>
  <c r="C536" i="6"/>
  <c r="C537" i="6"/>
  <c r="C538" i="6"/>
  <c r="C539" i="6"/>
  <c r="C540" i="6"/>
  <c r="C541" i="6"/>
  <c r="C542" i="6"/>
  <c r="C543" i="6"/>
  <c r="C544" i="6"/>
  <c r="C545" i="6"/>
  <c r="C546" i="6"/>
  <c r="C547" i="6"/>
  <c r="C548" i="6"/>
  <c r="C549" i="6"/>
  <c r="C550" i="6"/>
  <c r="C551" i="6"/>
  <c r="C552" i="6"/>
  <c r="C553" i="6"/>
  <c r="C554" i="6"/>
  <c r="C555" i="6"/>
  <c r="C556" i="6"/>
  <c r="C557" i="6"/>
  <c r="C558" i="6"/>
  <c r="C559" i="6"/>
  <c r="C560" i="6"/>
  <c r="C561" i="6"/>
  <c r="C562" i="6"/>
  <c r="C563" i="6"/>
  <c r="C564" i="6"/>
  <c r="C565" i="6"/>
  <c r="C566" i="6"/>
  <c r="C567" i="6"/>
  <c r="C568" i="6"/>
  <c r="C569" i="6"/>
  <c r="C570" i="6"/>
  <c r="C571" i="6"/>
  <c r="C572" i="6"/>
  <c r="C573" i="6"/>
  <c r="C574" i="6"/>
  <c r="C575" i="6"/>
  <c r="C576" i="6"/>
  <c r="C577" i="6"/>
  <c r="C578" i="6"/>
  <c r="C579" i="6"/>
  <c r="C580" i="6"/>
  <c r="C581" i="6"/>
  <c r="C582" i="6"/>
  <c r="C583" i="6"/>
  <c r="C584" i="6"/>
  <c r="C585" i="6"/>
  <c r="C586" i="6"/>
  <c r="C587" i="6"/>
  <c r="C588" i="6"/>
  <c r="C589" i="6"/>
  <c r="C590" i="6"/>
  <c r="C591" i="6"/>
  <c r="C592" i="6"/>
  <c r="C593" i="6"/>
  <c r="C594" i="6"/>
  <c r="C595" i="6"/>
  <c r="C596" i="6"/>
  <c r="C597" i="6"/>
  <c r="C598" i="6"/>
  <c r="C599" i="6"/>
  <c r="C600" i="6"/>
  <c r="C601" i="6"/>
  <c r="C602" i="6"/>
  <c r="C603" i="6"/>
  <c r="C604" i="6"/>
  <c r="C605" i="6"/>
  <c r="C606" i="6"/>
  <c r="C607" i="6"/>
  <c r="C608" i="6"/>
  <c r="C609" i="6"/>
  <c r="C610" i="6"/>
  <c r="C611" i="6"/>
  <c r="C612" i="6"/>
  <c r="C613" i="6"/>
  <c r="C614" i="6"/>
  <c r="C615" i="6"/>
  <c r="C616" i="6"/>
  <c r="C617" i="6"/>
  <c r="C618" i="6"/>
  <c r="C619" i="6"/>
  <c r="C620" i="6"/>
  <c r="C621" i="6"/>
  <c r="C622" i="6"/>
  <c r="C623" i="6"/>
  <c r="C624" i="6"/>
  <c r="C625" i="6"/>
  <c r="C626" i="6"/>
  <c r="C627" i="6"/>
  <c r="C628" i="6"/>
  <c r="C629" i="6"/>
  <c r="C630" i="6"/>
  <c r="C631" i="6"/>
  <c r="C632" i="6"/>
  <c r="C633" i="6"/>
  <c r="C634" i="6"/>
  <c r="C635" i="6"/>
  <c r="C636" i="6"/>
  <c r="C637" i="6"/>
  <c r="C638" i="6"/>
  <c r="C639" i="6"/>
  <c r="C640" i="6"/>
  <c r="C641" i="6"/>
  <c r="C642" i="6"/>
  <c r="C643" i="6"/>
  <c r="C644" i="6"/>
  <c r="C645" i="6"/>
  <c r="C646" i="6"/>
  <c r="C647" i="6"/>
  <c r="C648" i="6"/>
  <c r="C649" i="6"/>
  <c r="C650" i="6"/>
  <c r="C651" i="6"/>
  <c r="C652" i="6"/>
  <c r="C653" i="6"/>
  <c r="C654" i="6"/>
  <c r="C655" i="6"/>
  <c r="C656" i="6"/>
  <c r="C657" i="6"/>
  <c r="C658" i="6"/>
  <c r="C659" i="6"/>
  <c r="C660" i="6"/>
  <c r="C661" i="6"/>
  <c r="C662" i="6"/>
  <c r="C663" i="6"/>
  <c r="C664" i="6"/>
  <c r="C665" i="6"/>
  <c r="C666" i="6"/>
  <c r="C667" i="6"/>
  <c r="C668" i="6"/>
  <c r="C669" i="6"/>
  <c r="C670" i="6"/>
  <c r="C671" i="6"/>
  <c r="C672" i="6"/>
  <c r="C673" i="6"/>
  <c r="C674" i="6"/>
  <c r="C675" i="6"/>
  <c r="C676" i="6"/>
  <c r="C677" i="6"/>
  <c r="C678" i="6"/>
  <c r="C679" i="6"/>
  <c r="C680" i="6"/>
  <c r="C681" i="6"/>
  <c r="C682" i="6"/>
  <c r="C683" i="6"/>
  <c r="C684" i="6"/>
  <c r="C685" i="6"/>
  <c r="C686" i="6"/>
  <c r="C687" i="6"/>
  <c r="C688" i="6"/>
  <c r="C689" i="6"/>
  <c r="C690" i="6"/>
  <c r="C691" i="6"/>
  <c r="C692" i="6"/>
  <c r="C693" i="6"/>
  <c r="C694" i="6"/>
  <c r="C695" i="6"/>
  <c r="C696" i="6"/>
  <c r="C697" i="6"/>
  <c r="C698" i="6"/>
  <c r="C699" i="6"/>
  <c r="C700" i="6"/>
  <c r="C701" i="6"/>
  <c r="C702" i="6"/>
  <c r="C703" i="6"/>
  <c r="C704" i="6"/>
  <c r="C705" i="6"/>
  <c r="C706" i="6"/>
  <c r="C707" i="6"/>
  <c r="C708" i="6"/>
  <c r="C709" i="6"/>
  <c r="C710" i="6"/>
  <c r="C711" i="6"/>
  <c r="C712" i="6"/>
  <c r="C713" i="6"/>
  <c r="C714" i="6"/>
  <c r="C715" i="6"/>
  <c r="C716" i="6"/>
  <c r="C717" i="6"/>
  <c r="C718" i="6"/>
  <c r="C719" i="6"/>
  <c r="C720" i="6"/>
  <c r="C721" i="6"/>
  <c r="C722" i="6"/>
  <c r="C723" i="6"/>
  <c r="C724" i="6"/>
  <c r="C725" i="6"/>
  <c r="C726" i="6"/>
  <c r="C727" i="6"/>
  <c r="C728" i="6"/>
  <c r="C729" i="6"/>
  <c r="C730" i="6"/>
  <c r="C731" i="6"/>
  <c r="C732" i="6"/>
  <c r="C733" i="6"/>
  <c r="C734" i="6"/>
  <c r="C735" i="6"/>
  <c r="C736" i="6"/>
  <c r="C737" i="6"/>
  <c r="C738" i="6"/>
  <c r="C739" i="6"/>
  <c r="C740" i="6"/>
  <c r="C741" i="6"/>
  <c r="C742" i="6"/>
  <c r="C743" i="6"/>
  <c r="C744" i="6"/>
  <c r="C745" i="6"/>
  <c r="C746" i="6"/>
  <c r="C747" i="6"/>
  <c r="C748" i="6"/>
  <c r="C749" i="6"/>
  <c r="C750" i="6"/>
  <c r="C751" i="6"/>
  <c r="C752" i="6"/>
  <c r="C753" i="6"/>
  <c r="C754" i="6"/>
  <c r="C755" i="6"/>
  <c r="C756" i="6"/>
  <c r="C757" i="6"/>
  <c r="C758" i="6"/>
  <c r="C759" i="6"/>
  <c r="C760" i="6"/>
  <c r="C761" i="6"/>
  <c r="C762" i="6"/>
  <c r="C763" i="6"/>
  <c r="C764" i="6"/>
  <c r="C765" i="6"/>
  <c r="C766" i="6"/>
  <c r="C767" i="6"/>
  <c r="C768" i="6"/>
  <c r="C769" i="6"/>
  <c r="C770" i="6"/>
  <c r="C771" i="6"/>
  <c r="C772" i="6"/>
  <c r="C773" i="6"/>
  <c r="C774" i="6"/>
  <c r="C775" i="6"/>
  <c r="C776" i="6"/>
  <c r="C777" i="6"/>
  <c r="C778" i="6"/>
  <c r="C779" i="6"/>
  <c r="C780" i="6"/>
  <c r="C781" i="6"/>
  <c r="C782" i="6"/>
  <c r="C783" i="6"/>
  <c r="C784" i="6"/>
  <c r="C785" i="6"/>
  <c r="C786" i="6"/>
  <c r="C787" i="6"/>
  <c r="C788" i="6"/>
  <c r="C789" i="6"/>
  <c r="C790" i="6"/>
  <c r="C791" i="6"/>
  <c r="C792" i="6"/>
  <c r="C793" i="6"/>
  <c r="C794" i="6"/>
  <c r="C795" i="6"/>
  <c r="C796" i="6"/>
  <c r="C797" i="6"/>
  <c r="C798" i="6"/>
  <c r="C799" i="6"/>
  <c r="C800" i="6"/>
  <c r="C801" i="6"/>
  <c r="C802" i="6"/>
  <c r="C803" i="6"/>
  <c r="C804" i="6"/>
  <c r="C805" i="6"/>
  <c r="C806" i="6"/>
  <c r="C807" i="6"/>
  <c r="C808" i="6"/>
  <c r="C809" i="6"/>
  <c r="C810" i="6"/>
  <c r="C811" i="6"/>
  <c r="C812" i="6"/>
  <c r="C813" i="6"/>
  <c r="C814" i="6"/>
  <c r="C815" i="6"/>
  <c r="C816" i="6"/>
  <c r="C817" i="6"/>
  <c r="C818" i="6"/>
  <c r="C819" i="6"/>
  <c r="C820" i="6"/>
  <c r="C821" i="6"/>
  <c r="C822" i="6"/>
  <c r="C823" i="6"/>
  <c r="C824" i="6"/>
  <c r="C825" i="6"/>
  <c r="C826" i="6"/>
  <c r="C827" i="6"/>
  <c r="C828" i="6"/>
  <c r="C829" i="6"/>
  <c r="C830" i="6"/>
  <c r="C831" i="6"/>
  <c r="C832" i="6"/>
  <c r="C833" i="6"/>
  <c r="C834" i="6"/>
  <c r="C835" i="6"/>
  <c r="C836" i="6"/>
  <c r="C837" i="6"/>
  <c r="C838" i="6"/>
  <c r="C839" i="6"/>
  <c r="C840" i="6"/>
  <c r="C841" i="6"/>
  <c r="C842" i="6"/>
  <c r="C843" i="6"/>
  <c r="C844" i="6"/>
  <c r="C845" i="6"/>
  <c r="C846" i="6"/>
  <c r="C847" i="6"/>
  <c r="C848" i="6"/>
  <c r="C849" i="6"/>
  <c r="C850" i="6"/>
  <c r="C851" i="6"/>
  <c r="C852" i="6"/>
  <c r="C853" i="6"/>
  <c r="C854" i="6"/>
  <c r="C855" i="6"/>
  <c r="C856" i="6"/>
  <c r="C857" i="6"/>
  <c r="C858" i="6"/>
  <c r="C859" i="6"/>
  <c r="C860" i="6"/>
  <c r="C861" i="6"/>
  <c r="C862" i="6"/>
  <c r="C863" i="6"/>
  <c r="C864" i="6"/>
  <c r="C865" i="6"/>
  <c r="C866" i="6"/>
  <c r="C867" i="6"/>
  <c r="C868" i="6"/>
  <c r="C869" i="6"/>
  <c r="C870" i="6"/>
  <c r="C871" i="6"/>
  <c r="C872" i="6"/>
  <c r="C873" i="6"/>
  <c r="C874" i="6"/>
  <c r="C875" i="6"/>
  <c r="C876" i="6"/>
  <c r="C877" i="6"/>
  <c r="C878" i="6"/>
  <c r="C879" i="6"/>
  <c r="C880" i="6"/>
  <c r="C881" i="6"/>
  <c r="C882" i="6"/>
  <c r="C883" i="6"/>
  <c r="C884" i="6"/>
  <c r="C885" i="6"/>
  <c r="C886" i="6"/>
  <c r="C887" i="6"/>
  <c r="C888" i="6"/>
  <c r="C889" i="6"/>
  <c r="C890" i="6"/>
  <c r="C891" i="6"/>
  <c r="C892" i="6"/>
  <c r="C893" i="6"/>
  <c r="C894" i="6"/>
  <c r="C895" i="6"/>
  <c r="C896" i="6"/>
  <c r="C897" i="6"/>
  <c r="C898" i="6"/>
  <c r="C899" i="6"/>
  <c r="C900" i="6"/>
  <c r="C901" i="6"/>
  <c r="C902" i="6"/>
  <c r="C903" i="6"/>
  <c r="C904" i="6"/>
  <c r="C905" i="6"/>
  <c r="C906" i="6"/>
  <c r="C907" i="6"/>
  <c r="C908" i="6"/>
  <c r="C909" i="6"/>
  <c r="C910" i="6"/>
  <c r="C911" i="6"/>
  <c r="C912" i="6"/>
  <c r="C913" i="6"/>
  <c r="C914" i="6"/>
  <c r="C915" i="6"/>
  <c r="C916" i="6"/>
  <c r="C917" i="6"/>
  <c r="C918" i="6"/>
  <c r="C919" i="6"/>
  <c r="C920" i="6"/>
  <c r="C921" i="6"/>
  <c r="C922" i="6"/>
  <c r="C923" i="6"/>
  <c r="C924" i="6"/>
  <c r="C925" i="6"/>
  <c r="C926" i="6"/>
  <c r="C927" i="6"/>
  <c r="C928" i="6"/>
  <c r="C929" i="6"/>
  <c r="C930" i="6"/>
  <c r="C931" i="6"/>
  <c r="C932" i="6"/>
  <c r="C933" i="6"/>
  <c r="C934" i="6"/>
  <c r="C935" i="6"/>
  <c r="C936" i="6"/>
  <c r="C937" i="6"/>
  <c r="C938" i="6"/>
  <c r="C939" i="6"/>
  <c r="C940" i="6"/>
  <c r="C941" i="6"/>
  <c r="C942" i="6"/>
  <c r="C943" i="6"/>
  <c r="C944" i="6"/>
  <c r="C945" i="6"/>
  <c r="C946" i="6"/>
  <c r="C947" i="6"/>
  <c r="C948" i="6"/>
  <c r="C949" i="6"/>
  <c r="C950" i="6"/>
  <c r="C951" i="6"/>
  <c r="C952" i="6"/>
  <c r="C953" i="6"/>
  <c r="C954" i="6"/>
  <c r="C955" i="6"/>
  <c r="C956" i="6"/>
  <c r="C957" i="6"/>
  <c r="C958" i="6"/>
  <c r="C959" i="6"/>
  <c r="C960" i="6"/>
  <c r="C961" i="6"/>
  <c r="C962" i="6"/>
  <c r="C963" i="6"/>
  <c r="C964" i="6"/>
  <c r="C965" i="6"/>
  <c r="C966" i="6"/>
  <c r="C967" i="6"/>
  <c r="C968" i="6"/>
  <c r="C969" i="6"/>
  <c r="C970" i="6"/>
  <c r="C971" i="6"/>
  <c r="C972" i="6"/>
  <c r="C973" i="6"/>
  <c r="C974" i="6"/>
  <c r="C975" i="6"/>
  <c r="C976" i="6"/>
  <c r="C977" i="6"/>
  <c r="C978" i="6"/>
  <c r="C979" i="6"/>
  <c r="C980" i="6"/>
  <c r="C981" i="6"/>
  <c r="C982" i="6"/>
  <c r="C983" i="6"/>
  <c r="C984" i="6"/>
  <c r="C985" i="6"/>
  <c r="C986" i="6"/>
  <c r="C987" i="6"/>
  <c r="C988" i="6"/>
  <c r="C989" i="6"/>
  <c r="C990" i="6"/>
  <c r="C991" i="6"/>
  <c r="C992" i="6"/>
  <c r="C993" i="6"/>
  <c r="C994" i="6"/>
  <c r="C995" i="6"/>
  <c r="C996" i="6"/>
  <c r="C997" i="6"/>
  <c r="C998" i="6"/>
  <c r="C999" i="6"/>
  <c r="C1000" i="6"/>
  <c r="C1001" i="6"/>
  <c r="C1002" i="6"/>
  <c r="C1003" i="6"/>
  <c r="C1004" i="6"/>
  <c r="C1005" i="6"/>
  <c r="C1006" i="6"/>
  <c r="C1007" i="6"/>
  <c r="C1008" i="6"/>
  <c r="C1009" i="6"/>
  <c r="C1010" i="6"/>
  <c r="C1011" i="6"/>
  <c r="C1012" i="6"/>
  <c r="C1013" i="6"/>
  <c r="C1014" i="6"/>
  <c r="C1015" i="6"/>
  <c r="C1016" i="6"/>
  <c r="C1017" i="6"/>
  <c r="C1018" i="6"/>
  <c r="C1019" i="6"/>
  <c r="C1020" i="6"/>
  <c r="C1021" i="6"/>
  <c r="C1022" i="6"/>
  <c r="C1023" i="6"/>
  <c r="C1024" i="6"/>
  <c r="C1025" i="6"/>
  <c r="C1026" i="6"/>
  <c r="C1027" i="6"/>
  <c r="C1028" i="6"/>
  <c r="C1029" i="6"/>
  <c r="C1030" i="6"/>
  <c r="C1031" i="6"/>
  <c r="C1032" i="6"/>
  <c r="C1033" i="6"/>
  <c r="C1034" i="6"/>
  <c r="C1035" i="6"/>
  <c r="C1036" i="6"/>
  <c r="C1037" i="6"/>
  <c r="C1038" i="6"/>
  <c r="C1039" i="6"/>
  <c r="C1040" i="6"/>
  <c r="C1041" i="6"/>
  <c r="C1042" i="6"/>
  <c r="C1043" i="6"/>
  <c r="C1044" i="6"/>
  <c r="C1045" i="6"/>
  <c r="C1046" i="6"/>
  <c r="C1047" i="6"/>
  <c r="C1048" i="6"/>
  <c r="C1049" i="6"/>
  <c r="C1050" i="6"/>
  <c r="C1051" i="6"/>
  <c r="C1052" i="6"/>
  <c r="C1053" i="6"/>
  <c r="C1054" i="6"/>
  <c r="C1055" i="6"/>
  <c r="C1056" i="6"/>
  <c r="C1057" i="6"/>
  <c r="C1058" i="6"/>
  <c r="C1059" i="6"/>
  <c r="C1060" i="6"/>
  <c r="C1061" i="6"/>
  <c r="C1062" i="6"/>
  <c r="C1063" i="6"/>
  <c r="C1064" i="6"/>
  <c r="C1065" i="6"/>
  <c r="C1066" i="6"/>
  <c r="C1067" i="6"/>
  <c r="C1068" i="6"/>
  <c r="C1069" i="6"/>
  <c r="C1070" i="6"/>
  <c r="C1071" i="6"/>
  <c r="C1072" i="6"/>
  <c r="C1073" i="6"/>
  <c r="C1074" i="6"/>
  <c r="C1075" i="6"/>
  <c r="C1076" i="6"/>
  <c r="C1077" i="6"/>
  <c r="C1078" i="6"/>
  <c r="C1079" i="6"/>
  <c r="C1080" i="6"/>
  <c r="C1081" i="6"/>
  <c r="C1082" i="6"/>
  <c r="C1083" i="6"/>
  <c r="C1084" i="6"/>
  <c r="C1085" i="6"/>
  <c r="C1086" i="6"/>
  <c r="C1087" i="6"/>
  <c r="C1088" i="6"/>
  <c r="C1089" i="6"/>
  <c r="C1090" i="6"/>
  <c r="C1091" i="6"/>
  <c r="C1092" i="6"/>
  <c r="C1093" i="6"/>
  <c r="C1094" i="6"/>
  <c r="C1095" i="6"/>
  <c r="C1096" i="6"/>
  <c r="C1097" i="6"/>
  <c r="C1098" i="6"/>
  <c r="C1099" i="6"/>
  <c r="C1100" i="6"/>
  <c r="C1101" i="6"/>
  <c r="C1102" i="6"/>
  <c r="C1103" i="6"/>
  <c r="C1104" i="6"/>
  <c r="C1105" i="6"/>
  <c r="C1106" i="6"/>
  <c r="C1107" i="6"/>
  <c r="C1108" i="6"/>
  <c r="C1109" i="6"/>
  <c r="C1110" i="6"/>
  <c r="C1111" i="6"/>
  <c r="C1112" i="6"/>
  <c r="C1113" i="6"/>
  <c r="C1114" i="6"/>
  <c r="C1115" i="6"/>
  <c r="C1116" i="6"/>
  <c r="C1117" i="6"/>
  <c r="C1118" i="6"/>
  <c r="C1119" i="6"/>
  <c r="C1120" i="6"/>
  <c r="C1121" i="6"/>
  <c r="C1122" i="6"/>
  <c r="C1123" i="6"/>
  <c r="C1124" i="6"/>
  <c r="C1125" i="6"/>
  <c r="C1126" i="6"/>
  <c r="C1127" i="6"/>
  <c r="C1128" i="6"/>
  <c r="C1129" i="6"/>
  <c r="C1130" i="6"/>
  <c r="C1131" i="6"/>
  <c r="C1132" i="6"/>
  <c r="C1133" i="6"/>
  <c r="C1134" i="6"/>
  <c r="C1135" i="6"/>
  <c r="C1136" i="6"/>
  <c r="C1137" i="6"/>
  <c r="C1138" i="6"/>
  <c r="C1139" i="6"/>
  <c r="C1140" i="6"/>
  <c r="C1141" i="6"/>
  <c r="C1142" i="6"/>
  <c r="C1143" i="6"/>
  <c r="C1144" i="6"/>
  <c r="C1145" i="6"/>
  <c r="C1146" i="6"/>
  <c r="C1147" i="6"/>
  <c r="C1148" i="6"/>
  <c r="C1149" i="6"/>
  <c r="C1150" i="6"/>
  <c r="C1151" i="6"/>
  <c r="C1152" i="6"/>
  <c r="C1153" i="6"/>
  <c r="C1154" i="6"/>
  <c r="C1155" i="6"/>
  <c r="C1156" i="6"/>
  <c r="C1157" i="6"/>
  <c r="C1158" i="6"/>
  <c r="C1159" i="6"/>
  <c r="C1160" i="6"/>
  <c r="C1161" i="6"/>
  <c r="C1162" i="6"/>
  <c r="C1163" i="6"/>
  <c r="C1164" i="6"/>
  <c r="C1165" i="6"/>
  <c r="C1166" i="6"/>
  <c r="C1167" i="6"/>
  <c r="C1168" i="6"/>
  <c r="C1169" i="6"/>
  <c r="C1170" i="6"/>
  <c r="C1171" i="6"/>
  <c r="C1172" i="6"/>
  <c r="C1173" i="6"/>
  <c r="C1174" i="6"/>
  <c r="C1175" i="6"/>
  <c r="C1176" i="6"/>
  <c r="C1177" i="6"/>
  <c r="C1178" i="6"/>
  <c r="C1179" i="6"/>
  <c r="C1180" i="6"/>
  <c r="C1181" i="6"/>
  <c r="C1182" i="6"/>
  <c r="C1183" i="6"/>
  <c r="C1184" i="6"/>
  <c r="C1185" i="6"/>
  <c r="C1186" i="6"/>
  <c r="C1187" i="6"/>
  <c r="C1188" i="6"/>
  <c r="C1189" i="6"/>
  <c r="C1190" i="6"/>
  <c r="C1191" i="6"/>
  <c r="C1192" i="6"/>
  <c r="C1193" i="6"/>
  <c r="C1194" i="6"/>
  <c r="C1195" i="6"/>
  <c r="C1196" i="6"/>
  <c r="C1197" i="6"/>
  <c r="C1198" i="6"/>
  <c r="C1199" i="6"/>
  <c r="C1200" i="6"/>
  <c r="C1201" i="6"/>
  <c r="C1202" i="6"/>
  <c r="C1203" i="6"/>
  <c r="C1204" i="6"/>
  <c r="C1205" i="6"/>
  <c r="C1206" i="6"/>
  <c r="C1207" i="6"/>
  <c r="C1208" i="6"/>
  <c r="C1209" i="6"/>
  <c r="C1210" i="6"/>
  <c r="C1211" i="6"/>
  <c r="C1212" i="6"/>
  <c r="C1213" i="6"/>
  <c r="C1214" i="6"/>
  <c r="C1215" i="6"/>
  <c r="C1216" i="6"/>
  <c r="C1217" i="6"/>
  <c r="C1218" i="6"/>
  <c r="C1219" i="6"/>
  <c r="C1220" i="6"/>
  <c r="C1221" i="6"/>
  <c r="C1222" i="6"/>
  <c r="C1223" i="6"/>
  <c r="C1224" i="6"/>
  <c r="C1225" i="6"/>
  <c r="C1226" i="6"/>
  <c r="C1227" i="6"/>
  <c r="C1228" i="6"/>
  <c r="C1229" i="6"/>
  <c r="C1230" i="6"/>
  <c r="C1231" i="6"/>
  <c r="C1232" i="6"/>
  <c r="C1233" i="6"/>
  <c r="C1234" i="6"/>
  <c r="C1235" i="6"/>
  <c r="C1236" i="6"/>
  <c r="C1237" i="6"/>
  <c r="C1238" i="6"/>
  <c r="C1239" i="6"/>
  <c r="C1240" i="6"/>
  <c r="C1241" i="6"/>
  <c r="C1242" i="6"/>
  <c r="C1243" i="6"/>
  <c r="C1244" i="6"/>
  <c r="C1245" i="6"/>
  <c r="C1246" i="6"/>
  <c r="C1247" i="6"/>
  <c r="C1248" i="6"/>
  <c r="C1249" i="6"/>
  <c r="C1250" i="6"/>
  <c r="C1251" i="6"/>
  <c r="C1252" i="6"/>
  <c r="C1253" i="6"/>
  <c r="C1254" i="6"/>
  <c r="C1255" i="6"/>
  <c r="C1256" i="6"/>
  <c r="C1257" i="6"/>
  <c r="C1258" i="6"/>
  <c r="C1259" i="6"/>
  <c r="C1260" i="6"/>
  <c r="C1261" i="6"/>
  <c r="C1262" i="6"/>
  <c r="C1263" i="6"/>
  <c r="C1264" i="6"/>
  <c r="C1265" i="6"/>
  <c r="C1266" i="6"/>
  <c r="C1267" i="6"/>
  <c r="C1268" i="6"/>
  <c r="C1269" i="6"/>
  <c r="C1270" i="6"/>
  <c r="C1271" i="6"/>
  <c r="C1272" i="6"/>
  <c r="C1273" i="6"/>
  <c r="C1274" i="6"/>
  <c r="C1275" i="6"/>
  <c r="C1276" i="6"/>
  <c r="C1277" i="6"/>
  <c r="C1278" i="6"/>
  <c r="C1279" i="6"/>
  <c r="C1280" i="6"/>
  <c r="C1281" i="6"/>
  <c r="C1282" i="6"/>
  <c r="C1283" i="6"/>
  <c r="C1284" i="6"/>
  <c r="C1285" i="6"/>
  <c r="C1286" i="6"/>
  <c r="C1287" i="6"/>
  <c r="C1288" i="6"/>
  <c r="C1289" i="6"/>
  <c r="C1290" i="6"/>
  <c r="C1291" i="6"/>
  <c r="C1292" i="6"/>
  <c r="C1293" i="6"/>
  <c r="C1294" i="6"/>
  <c r="C1295" i="6"/>
  <c r="C1296" i="6"/>
  <c r="C1297" i="6"/>
  <c r="C1298" i="6"/>
  <c r="C1299" i="6"/>
  <c r="C1300" i="6"/>
  <c r="C1301" i="6"/>
  <c r="C1302" i="6"/>
  <c r="C1303" i="6"/>
  <c r="C1304" i="6"/>
  <c r="C1305" i="6"/>
  <c r="C1306" i="6"/>
  <c r="C1307" i="6"/>
  <c r="C1308" i="6"/>
  <c r="C1309" i="6"/>
  <c r="C1310" i="6"/>
  <c r="C1311" i="6"/>
  <c r="C1312" i="6"/>
  <c r="C1313" i="6"/>
  <c r="C1314" i="6"/>
  <c r="C1315" i="6"/>
  <c r="C1316" i="6"/>
  <c r="C1317" i="6"/>
  <c r="C1318" i="6"/>
  <c r="C1319" i="6"/>
  <c r="C1320" i="6"/>
  <c r="C1321" i="6"/>
  <c r="C1322" i="6"/>
  <c r="C1323" i="6"/>
  <c r="C1324" i="6"/>
  <c r="C1325" i="6"/>
  <c r="C1326" i="6"/>
  <c r="C1327" i="6"/>
  <c r="C1328" i="6"/>
  <c r="C1329" i="6"/>
  <c r="C1330" i="6"/>
  <c r="C1331" i="6"/>
  <c r="C1332" i="6"/>
  <c r="C1333" i="6"/>
  <c r="C1334" i="6"/>
  <c r="C1335" i="6"/>
  <c r="C1336" i="6"/>
  <c r="C1337" i="6"/>
  <c r="C1338" i="6"/>
  <c r="C1339" i="6"/>
  <c r="C1340" i="6"/>
  <c r="C1341" i="6"/>
  <c r="C1342" i="6"/>
  <c r="C1343" i="6"/>
  <c r="C1344" i="6"/>
  <c r="C1345" i="6"/>
  <c r="C1346" i="6"/>
  <c r="C1347" i="6"/>
  <c r="C1348" i="6"/>
  <c r="C1349" i="6"/>
  <c r="C1350" i="6"/>
  <c r="C1351" i="6"/>
  <c r="C1352" i="6"/>
  <c r="C1353" i="6"/>
  <c r="C1354" i="6"/>
  <c r="C1355" i="6"/>
  <c r="C1356" i="6"/>
  <c r="C1357" i="6"/>
  <c r="C1358" i="6"/>
  <c r="C1359" i="6"/>
  <c r="C1360" i="6"/>
  <c r="C1361" i="6"/>
  <c r="C1362" i="6"/>
  <c r="C1363" i="6"/>
  <c r="C1364" i="6"/>
  <c r="C1365" i="6"/>
  <c r="C1366" i="6"/>
  <c r="C1367" i="6"/>
  <c r="C1368" i="6"/>
  <c r="C1369" i="6"/>
  <c r="C1370" i="6"/>
  <c r="C1371" i="6"/>
  <c r="C1372" i="6"/>
  <c r="C1373" i="6"/>
  <c r="C1374" i="6"/>
  <c r="C1375" i="6"/>
  <c r="C1376" i="6"/>
  <c r="C1377" i="6"/>
  <c r="C1378" i="6"/>
  <c r="C1379" i="6"/>
  <c r="C1380" i="6"/>
  <c r="C1381" i="6"/>
  <c r="C1382" i="6"/>
  <c r="C1383" i="6"/>
  <c r="C1384" i="6"/>
  <c r="C1385" i="6"/>
  <c r="C1386" i="6"/>
  <c r="C1387" i="6"/>
  <c r="C1388" i="6"/>
  <c r="C1389" i="6"/>
  <c r="C1390" i="6"/>
  <c r="C1391" i="6"/>
  <c r="C1392" i="6"/>
  <c r="C1393" i="6"/>
  <c r="C1394" i="6"/>
  <c r="C1395" i="6"/>
  <c r="C1396" i="6"/>
  <c r="C1397" i="6"/>
  <c r="C1398" i="6"/>
  <c r="C1399" i="6"/>
  <c r="C1400" i="6"/>
  <c r="C1401" i="6"/>
  <c r="C1402" i="6"/>
  <c r="C1403" i="6"/>
  <c r="C1404" i="6"/>
  <c r="C1405" i="6"/>
  <c r="C1406" i="6"/>
  <c r="C1407" i="6"/>
  <c r="C1408" i="6"/>
  <c r="C1409" i="6"/>
  <c r="C1410" i="6"/>
  <c r="C1411" i="6"/>
  <c r="C1412" i="6"/>
  <c r="C1413" i="6"/>
  <c r="C1414" i="6"/>
  <c r="C1415" i="6"/>
  <c r="C1416" i="6"/>
  <c r="C1417" i="6"/>
  <c r="C1418" i="6"/>
  <c r="C1419" i="6"/>
  <c r="C1420" i="6"/>
  <c r="C1421" i="6"/>
  <c r="C1422" i="6"/>
  <c r="C1423" i="6"/>
  <c r="C1424" i="6"/>
  <c r="C1425" i="6"/>
  <c r="C1426" i="6"/>
  <c r="C1427" i="6"/>
  <c r="C1428" i="6"/>
  <c r="C1429" i="6"/>
  <c r="C1430" i="6"/>
  <c r="C1431" i="6"/>
  <c r="C1432" i="6"/>
  <c r="C1433" i="6"/>
  <c r="C1434" i="6"/>
  <c r="C1435" i="6"/>
  <c r="C1436" i="6"/>
  <c r="C1437" i="6"/>
  <c r="C1438" i="6"/>
  <c r="C1439" i="6"/>
  <c r="C1440" i="6"/>
  <c r="C1441" i="6"/>
  <c r="C1442" i="6"/>
  <c r="C1443" i="6"/>
  <c r="C1444" i="6"/>
  <c r="C1445" i="6"/>
  <c r="C1446" i="6"/>
  <c r="C1447" i="6"/>
  <c r="C1448" i="6"/>
  <c r="C1449" i="6"/>
  <c r="C1450" i="6"/>
  <c r="C1451" i="6"/>
  <c r="C1452" i="6"/>
  <c r="C1453" i="6"/>
  <c r="C1454" i="6"/>
  <c r="C1455" i="6"/>
  <c r="C1456" i="6"/>
  <c r="C1457" i="6"/>
  <c r="C1458" i="6"/>
  <c r="C1459" i="6"/>
  <c r="C1460" i="6"/>
  <c r="C1461" i="6"/>
  <c r="C1462" i="6"/>
  <c r="C1463" i="6"/>
  <c r="C1464" i="6"/>
  <c r="C1465" i="6"/>
  <c r="C1466" i="6"/>
  <c r="C1467" i="6"/>
  <c r="C1468" i="6"/>
  <c r="C1469" i="6"/>
  <c r="C1470" i="6"/>
  <c r="C1471" i="6"/>
  <c r="C1472" i="6"/>
  <c r="C1473" i="6"/>
  <c r="C1474" i="6"/>
  <c r="C1475" i="6"/>
  <c r="C1476" i="6"/>
  <c r="C1477" i="6"/>
  <c r="C1478" i="6"/>
  <c r="C1479" i="6"/>
  <c r="C1480" i="6"/>
  <c r="C1481" i="6"/>
  <c r="C1482" i="6"/>
  <c r="C1483" i="6"/>
  <c r="C1484" i="6"/>
  <c r="C1485" i="6"/>
  <c r="C1486" i="6"/>
  <c r="C1487" i="6"/>
  <c r="C1488" i="6"/>
  <c r="C1489" i="6"/>
  <c r="C1490" i="6"/>
  <c r="C1491" i="6"/>
  <c r="C1492" i="6"/>
  <c r="C1493" i="6"/>
  <c r="C1494" i="6"/>
  <c r="C1495" i="6"/>
  <c r="C1496" i="6"/>
  <c r="C1497" i="6"/>
  <c r="C1498" i="6"/>
  <c r="C1499" i="6"/>
  <c r="C1500" i="6"/>
  <c r="C1501" i="6"/>
  <c r="C1502" i="6"/>
  <c r="C1503" i="6"/>
  <c r="C1504" i="6"/>
  <c r="C1505" i="6"/>
  <c r="C1506" i="6"/>
  <c r="C1507" i="6"/>
  <c r="C1508" i="6"/>
  <c r="C1509" i="6"/>
  <c r="C1510" i="6"/>
  <c r="C1511" i="6"/>
  <c r="C1512" i="6"/>
  <c r="C1513" i="6"/>
  <c r="C1514" i="6"/>
  <c r="C1515" i="6"/>
  <c r="C1516" i="6"/>
  <c r="C1517" i="6"/>
  <c r="C1518" i="6"/>
  <c r="C1519" i="6"/>
  <c r="C1520" i="6"/>
  <c r="C1521" i="6"/>
  <c r="C1522" i="6"/>
  <c r="C1523" i="6"/>
  <c r="C1524" i="6"/>
  <c r="C1525" i="6"/>
  <c r="C1526" i="6"/>
  <c r="C1527" i="6"/>
  <c r="C1528" i="6"/>
  <c r="C1529" i="6"/>
  <c r="C1530" i="6"/>
  <c r="C1531" i="6"/>
  <c r="C1532" i="6"/>
  <c r="C1533" i="6"/>
  <c r="C1534" i="6"/>
  <c r="C1535" i="6"/>
  <c r="C1536" i="6"/>
  <c r="C1537" i="6"/>
  <c r="C1538" i="6"/>
  <c r="C1539" i="6"/>
  <c r="C1540" i="6"/>
  <c r="C1541" i="6"/>
  <c r="C1542" i="6"/>
  <c r="C1543" i="6"/>
  <c r="C1544" i="6"/>
  <c r="C1545" i="6"/>
  <c r="C1546" i="6"/>
  <c r="C1547" i="6"/>
  <c r="C1548" i="6"/>
  <c r="C1549" i="6"/>
  <c r="C1550" i="6"/>
  <c r="C1551" i="6"/>
  <c r="C1552" i="6"/>
  <c r="C1553" i="6"/>
  <c r="C1554" i="6"/>
  <c r="C1555" i="6"/>
  <c r="C1556" i="6"/>
  <c r="C1557" i="6"/>
  <c r="C1558" i="6"/>
  <c r="C1559" i="6"/>
  <c r="C1560" i="6"/>
  <c r="C1561" i="6"/>
  <c r="C1562" i="6"/>
  <c r="C1563" i="6"/>
  <c r="C1564" i="6"/>
  <c r="C1565" i="6"/>
  <c r="C1566" i="6"/>
  <c r="C1567" i="6"/>
  <c r="C1568" i="6"/>
  <c r="C1569" i="6"/>
  <c r="C1570" i="6"/>
  <c r="C1571" i="6"/>
  <c r="C1572" i="6"/>
  <c r="C1573" i="6"/>
  <c r="C1574" i="6"/>
  <c r="C1575" i="6"/>
  <c r="C1576" i="6"/>
  <c r="C1577" i="6"/>
  <c r="C1578" i="6"/>
  <c r="C1579" i="6"/>
  <c r="C1580" i="6"/>
  <c r="C1581" i="6"/>
  <c r="C1582" i="6"/>
  <c r="C1583" i="6"/>
  <c r="C1584" i="6"/>
  <c r="C1585" i="6"/>
  <c r="C1586" i="6"/>
  <c r="C1587" i="6"/>
  <c r="C1588" i="6"/>
  <c r="C1589" i="6"/>
  <c r="C1590" i="6"/>
  <c r="C1591" i="6"/>
  <c r="C1592" i="6"/>
  <c r="C1593" i="6"/>
  <c r="C1594" i="6"/>
  <c r="C1595" i="6"/>
  <c r="C1596" i="6"/>
  <c r="C1597" i="6"/>
  <c r="C1598" i="6"/>
  <c r="C1599" i="6"/>
  <c r="C1600" i="6"/>
  <c r="C1601" i="6"/>
  <c r="C1602" i="6"/>
  <c r="C1603" i="6"/>
  <c r="C1604" i="6"/>
  <c r="C1605" i="6"/>
  <c r="C1606" i="6"/>
  <c r="C1607" i="6"/>
  <c r="C1608" i="6"/>
  <c r="C1609" i="6"/>
  <c r="C1610" i="6"/>
  <c r="C1611" i="6"/>
  <c r="C1612" i="6"/>
  <c r="C1613" i="6"/>
  <c r="C1614" i="6"/>
  <c r="C1615" i="6"/>
  <c r="C1616" i="6"/>
  <c r="C1617" i="6"/>
  <c r="C1618" i="6"/>
  <c r="C1619" i="6"/>
  <c r="C1620" i="6"/>
  <c r="C1621" i="6"/>
  <c r="C1622" i="6"/>
  <c r="C1623" i="6"/>
  <c r="C1624" i="6"/>
  <c r="C1625" i="6"/>
  <c r="C1626" i="6"/>
  <c r="C1627" i="6"/>
  <c r="C1628" i="6"/>
  <c r="C1629" i="6"/>
  <c r="C1630" i="6"/>
  <c r="C1631" i="6"/>
  <c r="C1632" i="6"/>
  <c r="C1633" i="6"/>
  <c r="C1634" i="6"/>
  <c r="C1635" i="6"/>
  <c r="C1636" i="6"/>
  <c r="C1637" i="6"/>
  <c r="C1638" i="6"/>
  <c r="C1639" i="6"/>
  <c r="C1640" i="6"/>
  <c r="C1641" i="6"/>
  <c r="C1642" i="6"/>
  <c r="C1643" i="6"/>
  <c r="C1644" i="6"/>
  <c r="C1645" i="6"/>
  <c r="C1646" i="6"/>
  <c r="C1647" i="6"/>
  <c r="C1648" i="6"/>
  <c r="C1649" i="6"/>
  <c r="C1650" i="6"/>
  <c r="C1651" i="6"/>
  <c r="C1652" i="6"/>
  <c r="C1653" i="6"/>
  <c r="C1654" i="6"/>
  <c r="C1655" i="6"/>
  <c r="C1656" i="6"/>
  <c r="C1657" i="6"/>
  <c r="C1658" i="6"/>
  <c r="C1659" i="6"/>
  <c r="C1660" i="6"/>
  <c r="C1661" i="6"/>
  <c r="C1662" i="6"/>
  <c r="C1663" i="6"/>
  <c r="C1664" i="6"/>
  <c r="C1665" i="6"/>
  <c r="C1666" i="6"/>
  <c r="C1667" i="6"/>
  <c r="C1668" i="6"/>
  <c r="C1669" i="6"/>
  <c r="C1670" i="6"/>
  <c r="C1671" i="6"/>
  <c r="C1672" i="6"/>
  <c r="C1673" i="6"/>
  <c r="C1674" i="6"/>
  <c r="C1675" i="6"/>
  <c r="C1676" i="6"/>
  <c r="C1677" i="6"/>
  <c r="C1678" i="6"/>
  <c r="C1679" i="6"/>
  <c r="C1680" i="6"/>
  <c r="C1681" i="6"/>
  <c r="C1682" i="6"/>
  <c r="C1683" i="6"/>
  <c r="C1684" i="6"/>
  <c r="C1685" i="6"/>
  <c r="C1686" i="6"/>
  <c r="C1687" i="6"/>
  <c r="C1688" i="6"/>
  <c r="C1689" i="6"/>
  <c r="C1690" i="6"/>
  <c r="C1691" i="6"/>
  <c r="C1692" i="6"/>
  <c r="C1693" i="6"/>
  <c r="C1694" i="6"/>
  <c r="C1695" i="6"/>
  <c r="C1696" i="6"/>
  <c r="C1697" i="6"/>
  <c r="C1698" i="6"/>
  <c r="C1699" i="6"/>
  <c r="C1700" i="6"/>
  <c r="C1701" i="6"/>
  <c r="C1702" i="6"/>
  <c r="C1703" i="6"/>
  <c r="C1704" i="6"/>
  <c r="C1705" i="6"/>
  <c r="C1706" i="6"/>
  <c r="C1707" i="6"/>
  <c r="C1708" i="6"/>
  <c r="C1709" i="6"/>
  <c r="C1710" i="6"/>
  <c r="C1711" i="6"/>
  <c r="C1712" i="6"/>
  <c r="C1713" i="6"/>
  <c r="C1714" i="6"/>
  <c r="C1715" i="6"/>
  <c r="C1716" i="6"/>
  <c r="C1717" i="6"/>
  <c r="C1718" i="6"/>
  <c r="C1719" i="6"/>
  <c r="C1720" i="6"/>
  <c r="C1721" i="6"/>
  <c r="C1722" i="6"/>
  <c r="C1723" i="6"/>
  <c r="C1724" i="6"/>
  <c r="C1725" i="6"/>
  <c r="C1726" i="6"/>
  <c r="C1727" i="6"/>
  <c r="C1728" i="6"/>
  <c r="C1729" i="6"/>
  <c r="C1730" i="6"/>
  <c r="C1731" i="6"/>
  <c r="C1732" i="6"/>
  <c r="C1733" i="6"/>
  <c r="C1734" i="6"/>
  <c r="C1735" i="6"/>
  <c r="C1736" i="6"/>
  <c r="C1737" i="6"/>
  <c r="C1738" i="6"/>
  <c r="C1739" i="6"/>
  <c r="C1740" i="6"/>
  <c r="C1741" i="6"/>
  <c r="C1742" i="6"/>
  <c r="C1743" i="6"/>
  <c r="C1744" i="6"/>
  <c r="C1745" i="6"/>
  <c r="C1746" i="6"/>
  <c r="C1747" i="6"/>
  <c r="C1748" i="6"/>
  <c r="C1749" i="6"/>
  <c r="C1750" i="6"/>
  <c r="C1751" i="6"/>
  <c r="C1752" i="6"/>
  <c r="C1753" i="6"/>
  <c r="C1754" i="6"/>
  <c r="C1755" i="6"/>
  <c r="C1756" i="6"/>
  <c r="C1757" i="6"/>
  <c r="C1758" i="6"/>
  <c r="C1759" i="6"/>
  <c r="C1760" i="6"/>
  <c r="C1761" i="6"/>
  <c r="C1762" i="6"/>
  <c r="C1763" i="6"/>
  <c r="C1764" i="6"/>
  <c r="C1765" i="6"/>
  <c r="C1766" i="6"/>
  <c r="C1767" i="6"/>
  <c r="C1768" i="6"/>
  <c r="C1769" i="6"/>
  <c r="C1770" i="6"/>
  <c r="C1771" i="6"/>
  <c r="C1772" i="6"/>
  <c r="C1773" i="6"/>
  <c r="C1774" i="6"/>
  <c r="C1775" i="6"/>
  <c r="C1776" i="6"/>
  <c r="C1777" i="6"/>
  <c r="C1778" i="6"/>
  <c r="C1779" i="6"/>
  <c r="C1780" i="6"/>
  <c r="C1781" i="6"/>
  <c r="C1782" i="6"/>
  <c r="C1783" i="6"/>
  <c r="C1784" i="6"/>
  <c r="C1785" i="6"/>
  <c r="C1786" i="6"/>
  <c r="C1787" i="6"/>
  <c r="C1788" i="6"/>
  <c r="C1789" i="6"/>
  <c r="C1790" i="6"/>
  <c r="C1791" i="6"/>
  <c r="C1792" i="6"/>
  <c r="C1793" i="6"/>
  <c r="C1794" i="6"/>
  <c r="C1795" i="6"/>
  <c r="C1796" i="6"/>
  <c r="C1797" i="6"/>
  <c r="C1798" i="6"/>
  <c r="C1799" i="6"/>
  <c r="C1800" i="6"/>
  <c r="C1801" i="6"/>
  <c r="C1802" i="6"/>
  <c r="C1803" i="6"/>
  <c r="C1804" i="6"/>
  <c r="C1805" i="6"/>
  <c r="C1806" i="6"/>
  <c r="C1807" i="6"/>
  <c r="C1808" i="6"/>
  <c r="C1809" i="6"/>
  <c r="C1810" i="6"/>
  <c r="C1811" i="6"/>
  <c r="C1812" i="6"/>
  <c r="C1813" i="6"/>
  <c r="C1814" i="6"/>
  <c r="C1815" i="6"/>
  <c r="C1816" i="6"/>
  <c r="C1817" i="6"/>
  <c r="C1818" i="6"/>
  <c r="C1819" i="6"/>
  <c r="C1820" i="6"/>
  <c r="C1821" i="6"/>
  <c r="C1822" i="6"/>
  <c r="C1823" i="6"/>
  <c r="C1824" i="6"/>
  <c r="C1825" i="6"/>
  <c r="C1826" i="6"/>
  <c r="C1827" i="6"/>
  <c r="C1828" i="6"/>
  <c r="C1829" i="6"/>
  <c r="C1830" i="6"/>
  <c r="C1831" i="6"/>
  <c r="C1832" i="6"/>
  <c r="C1833" i="6"/>
  <c r="C1834" i="6"/>
  <c r="C1835" i="6"/>
  <c r="C1836" i="6"/>
  <c r="C1837" i="6"/>
  <c r="C1838" i="6"/>
  <c r="C1839" i="6"/>
  <c r="C1840" i="6"/>
  <c r="C1841" i="6"/>
  <c r="C1842" i="6"/>
  <c r="C1843" i="6"/>
  <c r="C1844" i="6"/>
  <c r="C1845" i="6"/>
  <c r="C1846" i="6"/>
  <c r="C1847" i="6"/>
  <c r="C1848" i="6"/>
  <c r="C1849" i="6"/>
  <c r="C1850" i="6"/>
  <c r="C1851" i="6"/>
  <c r="C1852" i="6"/>
  <c r="C1853" i="6"/>
  <c r="C1854" i="6"/>
  <c r="C1855" i="6"/>
  <c r="C1856" i="6"/>
  <c r="C1857" i="6"/>
  <c r="C1858" i="6"/>
  <c r="C1859" i="6"/>
  <c r="C1860" i="6"/>
  <c r="C1861" i="6"/>
  <c r="C1862" i="6"/>
  <c r="C1863" i="6"/>
  <c r="C1864" i="6"/>
  <c r="C1865" i="6"/>
  <c r="C1866" i="6"/>
  <c r="C1867" i="6"/>
  <c r="C1868" i="6"/>
  <c r="C1869" i="6"/>
  <c r="C1870" i="6"/>
  <c r="C1871" i="6"/>
  <c r="C1872" i="6"/>
  <c r="C1873" i="6"/>
  <c r="C1874" i="6"/>
  <c r="C1875" i="6"/>
  <c r="C1876" i="6"/>
  <c r="C1877" i="6"/>
  <c r="C1878" i="6"/>
  <c r="C1879" i="6"/>
  <c r="C1880" i="6"/>
  <c r="C1881" i="6"/>
  <c r="C1882" i="6"/>
  <c r="C1883" i="6"/>
  <c r="C1884" i="6"/>
  <c r="C1885" i="6"/>
  <c r="C1886" i="6"/>
  <c r="C1887" i="6"/>
  <c r="C1888" i="6"/>
  <c r="C1889" i="6"/>
  <c r="C1890" i="6"/>
  <c r="C1891" i="6"/>
  <c r="C1892" i="6"/>
  <c r="C1893" i="6"/>
  <c r="C1894" i="6"/>
  <c r="C1895" i="6"/>
  <c r="C1896" i="6"/>
  <c r="C1897" i="6"/>
  <c r="C1898" i="6"/>
  <c r="C1899" i="6"/>
  <c r="C1900" i="6"/>
  <c r="C1901" i="6"/>
  <c r="C1902" i="6"/>
  <c r="C1903" i="6"/>
  <c r="C1904" i="6"/>
  <c r="C1905" i="6"/>
  <c r="C1906" i="6"/>
  <c r="C1907" i="6"/>
  <c r="C1908" i="6"/>
  <c r="C1909" i="6"/>
  <c r="C1910" i="6"/>
  <c r="C1911" i="6"/>
  <c r="C1912" i="6"/>
  <c r="C1913" i="6"/>
  <c r="C1914" i="6"/>
  <c r="C1915" i="6"/>
  <c r="C1916" i="6"/>
  <c r="C1917" i="6"/>
  <c r="C1918" i="6"/>
  <c r="C1919" i="6"/>
  <c r="C1920" i="6"/>
  <c r="C1921" i="6"/>
  <c r="C1922" i="6"/>
  <c r="C1923" i="6"/>
  <c r="C1924" i="6"/>
  <c r="C1925" i="6"/>
  <c r="C1926" i="6"/>
  <c r="C1927" i="6"/>
  <c r="C1928" i="6"/>
  <c r="C1929" i="6"/>
  <c r="C1930" i="6"/>
  <c r="C1931" i="6"/>
  <c r="C1932" i="6"/>
  <c r="C1933" i="6"/>
  <c r="C1934" i="6"/>
  <c r="C1935" i="6"/>
  <c r="C1936" i="6"/>
  <c r="C1937" i="6"/>
  <c r="C1938" i="6"/>
  <c r="C1939" i="6"/>
  <c r="C1940" i="6"/>
  <c r="C1941" i="6"/>
  <c r="C1942" i="6"/>
  <c r="C1943" i="6"/>
  <c r="C1944" i="6"/>
  <c r="C1945" i="6"/>
  <c r="C1946" i="6"/>
  <c r="C1947" i="6"/>
  <c r="C1948" i="6"/>
  <c r="C1949" i="6"/>
  <c r="C1950" i="6"/>
  <c r="C1951" i="6"/>
  <c r="C1952" i="6"/>
  <c r="C1953" i="6"/>
  <c r="C1954" i="6"/>
  <c r="C1955" i="6"/>
  <c r="C1956" i="6"/>
  <c r="C1957" i="6"/>
  <c r="C1958" i="6"/>
  <c r="C1959" i="6"/>
  <c r="C1960" i="6"/>
  <c r="C1961" i="6"/>
  <c r="C1962" i="6"/>
  <c r="C1963" i="6"/>
  <c r="C1964" i="6"/>
  <c r="C1965" i="6"/>
  <c r="C1966" i="6"/>
  <c r="C1967" i="6"/>
  <c r="C1968" i="6"/>
  <c r="C1969" i="6"/>
  <c r="C1970" i="6"/>
  <c r="C1971" i="6"/>
  <c r="C1972" i="6"/>
  <c r="C1973" i="6"/>
  <c r="C1974" i="6"/>
  <c r="C1975" i="6"/>
  <c r="C1976" i="6"/>
  <c r="C1977" i="6"/>
  <c r="C1978" i="6"/>
  <c r="C1979" i="6"/>
  <c r="C1980" i="6"/>
  <c r="C1981" i="6"/>
  <c r="C1982" i="6"/>
  <c r="C1983" i="6"/>
  <c r="C1984" i="6"/>
  <c r="C1985" i="6"/>
  <c r="C1986" i="6"/>
  <c r="C1987" i="6"/>
  <c r="C1988" i="6"/>
  <c r="C1989" i="6"/>
  <c r="C1990" i="6"/>
  <c r="C1991" i="6"/>
  <c r="C1992" i="6"/>
  <c r="C1993" i="6"/>
  <c r="C1994" i="6"/>
  <c r="C1995" i="6"/>
  <c r="C1996" i="6"/>
  <c r="C1997" i="6"/>
  <c r="C1998" i="6"/>
  <c r="C1999" i="6"/>
  <c r="C12" i="8"/>
  <c r="C10" i="8"/>
  <c r="C20" i="8"/>
  <c r="J6" i="3"/>
  <c r="B727" i="3"/>
  <c r="B726" i="3"/>
  <c r="D12" i="8"/>
  <c r="D6" i="8"/>
  <c r="D5" i="8"/>
  <c r="D20" i="8"/>
  <c r="D11" i="8"/>
  <c r="D10" i="8"/>
  <c r="B8" i="6"/>
  <c r="G1234" i="15" l="1"/>
  <c r="G4" i="15" s="1"/>
</calcChain>
</file>

<file path=xl/sharedStrings.xml><?xml version="1.0" encoding="utf-8"?>
<sst xmlns="http://schemas.openxmlformats.org/spreadsheetml/2006/main" count="37657" uniqueCount="9126">
  <si>
    <t>Nhánh rạch Bàng 3 (nhánh rạch trước cửa xả số 3 đường Lê Văn Lương)</t>
  </si>
  <si>
    <t>Cửa xả số 3 đường Lê Văn Lương</t>
  </si>
  <si>
    <t>Cửa xả số nhà 1727 - Huỳnh Tấn Phát</t>
  </si>
  <si>
    <t xml:space="preserve"> Rạch 7/10B Huỳnh Tấn Phát</t>
  </si>
  <si>
    <t>Cửa Xả</t>
  </si>
  <si>
    <t>Sông</t>
  </si>
  <si>
    <t>Rạch số 12/9 Huỳnh Tấn Phát</t>
  </si>
  <si>
    <t>Rạch Nguyễn Văn Quỳ</t>
  </si>
  <si>
    <t>Rạch Ông Tư Dinh nhánh 1</t>
  </si>
  <si>
    <t>Rạch Cả Cấm nhánh 1</t>
  </si>
  <si>
    <t>Rạch Cả Cấm nhánh 2</t>
  </si>
  <si>
    <t>Rạch Cả Cấm nhánh 3</t>
  </si>
  <si>
    <t>Rạch Cả Cấm nhánh 4</t>
  </si>
  <si>
    <t>Rạch Cả Cấm nhánh 5</t>
  </si>
  <si>
    <t>Rạch Cả Cấm nhánh 6</t>
  </si>
  <si>
    <t>Rạch Ngã Tư nhánh 1</t>
  </si>
  <si>
    <t>Cách QL 1A 12 m</t>
  </si>
  <si>
    <t>Sông Chợ Đệm</t>
  </si>
  <si>
    <t>Rạch Chín Do</t>
  </si>
  <si>
    <t>Đường liên ấp 3</t>
  </si>
  <si>
    <t>Sông Cần Giộc</t>
  </si>
  <si>
    <t>Kênh Đất sét</t>
  </si>
  <si>
    <t>Tỉnh lộ 10</t>
  </si>
  <si>
    <t>Kênh số 4</t>
  </si>
  <si>
    <t xml:space="preserve">Rạch Ông Cốm </t>
  </si>
  <si>
    <t>Ranh Long An</t>
  </si>
  <si>
    <t>Sông chợ Đệm</t>
  </si>
  <si>
    <t>Bình Chánh</t>
  </si>
  <si>
    <t>Chi lưu rạch Ông Đồ</t>
  </si>
  <si>
    <t>Rạch Ông Đồ</t>
  </si>
  <si>
    <t>Rạch Bình Lộc</t>
  </si>
  <si>
    <t>Cửa xả số 1 Quốc lộ 50</t>
  </si>
  <si>
    <t>Rạch Xã Tớn</t>
  </si>
  <si>
    <t xml:space="preserve"> 5-15</t>
  </si>
  <si>
    <t>Rạch Phong Phú</t>
  </si>
  <si>
    <t>Cửa xả số 2 Quốc lộ 50</t>
  </si>
  <si>
    <t>Đường Thành Long</t>
  </si>
  <si>
    <t>Rạch Út nói</t>
  </si>
  <si>
    <t>Đường Quách Điêu</t>
  </si>
  <si>
    <t>Rạch Cầu Suối</t>
  </si>
  <si>
    <t>Rạch Chiểu</t>
  </si>
  <si>
    <t>Cửa xả số 4 Quốc lộ 50</t>
  </si>
  <si>
    <t xml:space="preserve"> 7-10</t>
  </si>
  <si>
    <t>Rạch Ông Lung</t>
  </si>
  <si>
    <t>Gần Rạch Cầu Suối</t>
  </si>
  <si>
    <t>Kênh liên vùng</t>
  </si>
  <si>
    <t>Nhánh R Tắc Bến Rô 1</t>
  </si>
  <si>
    <t>Chi lưu rạch Thủ Đảo</t>
  </si>
  <si>
    <t xml:space="preserve">Khu dân cư Ấp 3 </t>
  </si>
  <si>
    <t xml:space="preserve">Kênh liên vùng </t>
  </si>
  <si>
    <t xml:space="preserve">Đầu tuyến </t>
  </si>
  <si>
    <t>Rạch Lồng Đèn - Bà Đập</t>
  </si>
  <si>
    <t>Ngả ba sông Cần Guộc</t>
  </si>
  <si>
    <t>Rạch Thủ Đào</t>
  </si>
  <si>
    <t>Ngả ba rạch Bà Tờn</t>
  </si>
  <si>
    <t>18-35</t>
  </si>
  <si>
    <t>Nhánh rạch Thủ Đào 1</t>
  </si>
  <si>
    <t>Rạch Cầu Gia</t>
  </si>
  <si>
    <t>Kênh T17</t>
  </si>
  <si>
    <t>Ranh xã Phạm Văn Hai</t>
  </si>
  <si>
    <t>Rạch Ông Bé</t>
  </si>
  <si>
    <t>Ngả ba rạch Ông Lớn</t>
  </si>
  <si>
    <t>Ngả ba rạch Ông Nhỏ</t>
  </si>
  <si>
    <t>Rạch Đắp Ông Hiền - Ông Niệm</t>
  </si>
  <si>
    <t>Nhánh rạch Đắp Ô Hiền-Ô Niệm 1</t>
  </si>
  <si>
    <t>Nhánh rạch Đắp Ô Hiền-Ô Niệm 2</t>
  </si>
  <si>
    <t>Nhánh rạch Đắp Ô Hiền-Ô Niệm 3</t>
  </si>
  <si>
    <t>Nhánh rạch Đắp Ô Hiền-Ô Niệm 4</t>
  </si>
  <si>
    <t>Kênh ấp 4 - xã Bình Chánh</t>
  </si>
  <si>
    <t>Cửa xả Trịnh Như Huê</t>
  </si>
  <si>
    <t>Kênh ấp 4 - xã Bình Hưng</t>
  </si>
  <si>
    <t>Cửa xả Phạm Hùng</t>
  </si>
  <si>
    <t>Rạch Xóm Củi</t>
  </si>
  <si>
    <t>Rạch Bà Môn</t>
  </si>
  <si>
    <t>Cửa xả Quốc lộ 1A</t>
  </si>
  <si>
    <t>Giao thông hào ấp 2 (rạch R4-Quốc lộ 1A)</t>
  </si>
  <si>
    <t>Kênh Miếu Ông Đá (rạch R5-Quốc lộ 1A)</t>
  </si>
  <si>
    <t>Rạch Ông Thòan</t>
  </si>
  <si>
    <t>Nhánh rạch Bà Lào 1</t>
  </si>
  <si>
    <t>Đường phân lưu</t>
  </si>
  <si>
    <t>Rạch Bà Lào</t>
  </si>
  <si>
    <t>Nhánh rạch Bà Lào 2</t>
  </si>
  <si>
    <t>Nhánh rạch Bà Lào 3</t>
  </si>
  <si>
    <t>Nhánh rạch Bà Lào 4</t>
  </si>
  <si>
    <t>Kênh Cây Khô</t>
  </si>
  <si>
    <t>Nhánh rạch Bà Lào 5</t>
  </si>
  <si>
    <t>Nhánh rạch Bà Lào 6</t>
  </si>
  <si>
    <t>Nhánh rạch Bà Lào-Xà Tờn 1</t>
  </si>
  <si>
    <t>Nhánh rạch Bà Lào-Xà Tờn 2</t>
  </si>
  <si>
    <t>Nhánh rạch Bà Lào-Xà Tờn 3</t>
  </si>
  <si>
    <t>Nhánh rạch Bà Lào-Xà Tờn 4</t>
  </si>
  <si>
    <t>Nhánh rạch Bà Lào-Xà Tờn 6</t>
  </si>
  <si>
    <t>Nhánh rạch Bà Lào-Xà Tờn 14</t>
  </si>
  <si>
    <t>Nhánh sông Cần Giuộc 1</t>
  </si>
  <si>
    <t>Nhánh sông Cần Giuộc 2</t>
  </si>
  <si>
    <t>Rạch Cống Vinh - Ông Bốn</t>
  </si>
  <si>
    <t>Nhà Bè</t>
  </si>
  <si>
    <t>Ngã ba sông Phước Kiểng</t>
  </si>
  <si>
    <t>Ngã ba rạch Ông Lớn</t>
  </si>
  <si>
    <t>Rạch Mỏ Neo - Bà Tranh</t>
  </si>
  <si>
    <t>Rạch Ông Lớn</t>
  </si>
  <si>
    <t>Nhánh sông Nhà Bè 7</t>
  </si>
  <si>
    <t xml:space="preserve">Sông Nhà Nhè </t>
  </si>
  <si>
    <t>Nhánh sông Nhà Bè 8</t>
  </si>
  <si>
    <t>Nhánh sông Nhà Bè 10</t>
  </si>
  <si>
    <t>Nhánh sông Nhà Bè 15</t>
  </si>
  <si>
    <t>Nhánh sông Nhà Bè 16</t>
  </si>
  <si>
    <t>Nhánh sông Nhà Bè 17</t>
  </si>
  <si>
    <t>Nhánh sông Nhà Bè 19</t>
  </si>
  <si>
    <t>Rạch Nò</t>
  </si>
  <si>
    <t xml:space="preserve"> Cầu rạch Nò</t>
  </si>
  <si>
    <t xml:space="preserve"> 6-15</t>
  </si>
  <si>
    <t>Rạch Bần Bông</t>
  </si>
  <si>
    <t>Rạch Mương Ngang</t>
  </si>
  <si>
    <t xml:space="preserve">   3-10</t>
  </si>
  <si>
    <t>Rạch Đình</t>
  </si>
  <si>
    <t>Hẻm 263-Ng.Bình</t>
  </si>
  <si>
    <t>Sông mương chuối</t>
  </si>
  <si>
    <t xml:space="preserve">  2-6</t>
  </si>
  <si>
    <t>Nhánh sông Sòai Rạp 1</t>
  </si>
  <si>
    <t xml:space="preserve"> 10-15</t>
  </si>
  <si>
    <t>Nhánh sông Phước Kiểng-Mương Chuối 2</t>
  </si>
  <si>
    <t>Sông Phước Kiểng</t>
  </si>
  <si>
    <t>Nhánh sông Phước Kiểng-Mương Chuối 10</t>
  </si>
  <si>
    <t>Nhánh sông Phước Kiểng-Mương Chuối 13</t>
  </si>
  <si>
    <t>Nhánh sông Phước Kiểng-Mương Chuối 15</t>
  </si>
  <si>
    <t>Sông Mương Chuối</t>
  </si>
  <si>
    <t>Sông Soài Rạp</t>
  </si>
  <si>
    <t>Sông Kinh</t>
  </si>
  <si>
    <t>Nhánh Kinh Cây Khô 2</t>
  </si>
  <si>
    <t>Rạch Thầy Cai - Tắc Thầy Cai</t>
  </si>
  <si>
    <t>Ngã ba rạch Tôm</t>
  </si>
  <si>
    <t>Rạch Tôm</t>
  </si>
  <si>
    <t>Rạch Dinh Ông</t>
  </si>
  <si>
    <t>Rạch Rộp</t>
  </si>
  <si>
    <t>Cửa xả số 4  Nguyễn Hữu Thọ</t>
  </si>
  <si>
    <t>Nhánh rạch Bà Chiêm (rạch trước cửa xả số 6  Nguyễn Hữu Thọ)</t>
  </si>
  <si>
    <t>Cửa xả số 6  Nguyễn Hữu Thọ</t>
  </si>
  <si>
    <t>Rạch Bà Chiêm</t>
  </si>
  <si>
    <t>Rạch trước cửa xả số 2  Nguyễn Hữu Thọ</t>
  </si>
  <si>
    <t>Cửa xả số 2  Nguyễn Hữu Thọ</t>
  </si>
  <si>
    <t>Rạch</t>
  </si>
  <si>
    <t>Rạch trước cửa xả số 3  Nguyễn Hữu Thọ</t>
  </si>
  <si>
    <t>Cửa xả số 3  Nguyễn Hữu Thọ</t>
  </si>
  <si>
    <t>Rạch Cây Bông</t>
  </si>
  <si>
    <t>Nhánh Sông Phú Xuân 1</t>
  </si>
  <si>
    <t>Nhánh Sông Phú Xuân 2</t>
  </si>
  <si>
    <t>Lý trình</t>
  </si>
  <si>
    <t>Hiện trạng</t>
  </si>
  <si>
    <t>4-10</t>
  </si>
  <si>
    <t>15</t>
  </si>
  <si>
    <t>10-30</t>
  </si>
  <si>
    <t>6</t>
  </si>
  <si>
    <t>12</t>
  </si>
  <si>
    <t>10</t>
  </si>
  <si>
    <t>25</t>
  </si>
  <si>
    <t>20</t>
  </si>
  <si>
    <t>18</t>
  </si>
  <si>
    <t>40</t>
  </si>
  <si>
    <t>35</t>
  </si>
  <si>
    <t>42</t>
  </si>
  <si>
    <t>22</t>
  </si>
  <si>
    <t>8</t>
  </si>
  <si>
    <t>30</t>
  </si>
  <si>
    <t>4</t>
  </si>
  <si>
    <t>16</t>
  </si>
  <si>
    <t>7 - 15</t>
  </si>
  <si>
    <t>10 - 20</t>
  </si>
  <si>
    <t>10 - 15</t>
  </si>
  <si>
    <t>7 -15</t>
  </si>
  <si>
    <t>10 - 30</t>
  </si>
  <si>
    <t>10 - 25</t>
  </si>
  <si>
    <t>5 - 10</t>
  </si>
  <si>
    <t>10 - 40</t>
  </si>
  <si>
    <t>5 - 20</t>
  </si>
  <si>
    <t>6 - 10</t>
  </si>
  <si>
    <t xml:space="preserve"> </t>
  </si>
  <si>
    <t>1</t>
  </si>
  <si>
    <t>1,5</t>
  </si>
  <si>
    <t>2-6</t>
  </si>
  <si>
    <t>4-27</t>
  </si>
  <si>
    <t>6-10</t>
  </si>
  <si>
    <t>3-10</t>
  </si>
  <si>
    <t>3</t>
  </si>
  <si>
    <t>5</t>
  </si>
  <si>
    <t>2 - 5</t>
  </si>
  <si>
    <t>2</t>
  </si>
  <si>
    <t>6 - 8</t>
  </si>
  <si>
    <t>4-6</t>
  </si>
  <si>
    <t>2-3</t>
  </si>
  <si>
    <t>3 - 4</t>
  </si>
  <si>
    <t>3 - 6</t>
  </si>
  <si>
    <t>2 -4</t>
  </si>
  <si>
    <t>4 - 8</t>
  </si>
  <si>
    <t>8 - 10</t>
  </si>
  <si>
    <t>10 - 12</t>
  </si>
  <si>
    <t>4 - 10</t>
  </si>
  <si>
    <t>8 - 12</t>
  </si>
  <si>
    <t>6 - 12</t>
  </si>
  <si>
    <t>3 - 20</t>
  </si>
  <si>
    <t>3 - 15</t>
  </si>
  <si>
    <t>2 - 3</t>
  </si>
  <si>
    <t>7</t>
  </si>
  <si>
    <t>14</t>
  </si>
  <si>
    <t>2-4</t>
  </si>
  <si>
    <t>4-15</t>
  </si>
  <si>
    <t>3-18</t>
  </si>
  <si>
    <t>3-4</t>
  </si>
  <si>
    <t>90</t>
  </si>
  <si>
    <t>8-20</t>
  </si>
  <si>
    <t>3-5</t>
  </si>
  <si>
    <t>1-10</t>
  </si>
  <si>
    <t>50</t>
  </si>
  <si>
    <t>10-15</t>
  </si>
  <si>
    <t>75</t>
  </si>
  <si>
    <t>2-5</t>
  </si>
  <si>
    <t>3,5</t>
  </si>
  <si>
    <t>21</t>
  </si>
  <si>
    <t>24</t>
  </si>
  <si>
    <t>6-15</t>
  </si>
  <si>
    <t>3-6</t>
  </si>
  <si>
    <t>5-6</t>
  </si>
  <si>
    <t>5-20</t>
  </si>
  <si>
    <t>8-15</t>
  </si>
  <si>
    <t>5-10</t>
  </si>
  <si>
    <t>8-40</t>
  </si>
  <si>
    <t>10-20</t>
  </si>
  <si>
    <t>23</t>
  </si>
  <si>
    <t>6-8</t>
  </si>
  <si>
    <t>13</t>
  </si>
  <si>
    <t>28</t>
  </si>
  <si>
    <t>Rạch trước cửa xả số nhà 1727 Đường Huỳnh Tấn Phát</t>
  </si>
  <si>
    <t>Chi lưu rạch Cầu Bà Cơ</t>
  </si>
  <si>
    <t>Nhánh Sông Phước Kiểng 1 (rạch trước cửa xả số  4  Nguyễn Hữu Thọ)</t>
  </si>
  <si>
    <t>Đường Huỳnh Tấn Phát</t>
  </si>
  <si>
    <t>Rạch Mương Chuối - rạch Ngang</t>
  </si>
  <si>
    <t>Rạch Bầu Dừa</t>
  </si>
  <si>
    <t>ỦY BAN NHÂN DÂN THÀNH PHỐ</t>
  </si>
  <si>
    <t>Hẻm 209 Tôn Thất Thuyết</t>
  </si>
  <si>
    <t>Địa điểm (quận - huyện)</t>
  </si>
  <si>
    <t>Kênh T12</t>
  </si>
  <si>
    <t>Rạch Gia (Cầu Già)</t>
  </si>
  <si>
    <t>Rạch Cung</t>
  </si>
  <si>
    <t>Bình Chánh</t>
  </si>
  <si>
    <t>Cuối tuyến</t>
  </si>
  <si>
    <t>Xã Tân Quý Tây</t>
  </si>
  <si>
    <t>Xã Hưng Long</t>
  </si>
  <si>
    <t>Xã An Phú Tây</t>
  </si>
  <si>
    <t>Ranh Xã Tân, Quí Tây</t>
  </si>
  <si>
    <t>Rạch Lòng Đèn</t>
  </si>
  <si>
    <t>Kênh tiêu liên xã</t>
  </si>
  <si>
    <t xml:space="preserve"> Đoạn nối rạch cầu Sa</t>
  </si>
  <si>
    <t>Từ Rạch Tra</t>
  </si>
  <si>
    <t>Tổng Công ty Kho xăng dầu C</t>
  </si>
  <si>
    <t>Sông Sài Gòn</t>
  </si>
  <si>
    <t>Rạch Cầu Ngang</t>
  </si>
  <si>
    <t>Rạch Lùng</t>
  </si>
  <si>
    <t>Nhà số 94/19 (nhà Bà Dung)</t>
  </si>
  <si>
    <t>Đường Bình Phú, khu phố 2, phường Tam Phú</t>
  </si>
  <si>
    <t>Rạch Gò Dưa</t>
  </si>
  <si>
    <t>Rạch Bàng</t>
  </si>
  <si>
    <t>Rạch Ông Kích</t>
  </si>
  <si>
    <t>Rạch Ông Lớn</t>
  </si>
  <si>
    <t>Sông Phú Xuân</t>
  </si>
  <si>
    <t>Sau lưng nhà 611/19, Phạm văn Chiêu, phường 14</t>
  </si>
  <si>
    <t>80/61A Dương Quảng Hàm, phường 5</t>
  </si>
  <si>
    <t>Rạch Dừa (đoạn mương hở)</t>
  </si>
  <si>
    <t>Rạch Bà Miêng (đoạn 1)</t>
  </si>
  <si>
    <t>Rạch Bà Miêng (đoạn 2)</t>
  </si>
  <si>
    <t>Cuối hẻm 730 Lê Đức Thọ</t>
  </si>
  <si>
    <t>Rạch Ông Bàu</t>
  </si>
  <si>
    <t>Rạch Ông Bàu nhánh 1</t>
  </si>
  <si>
    <t>Rạch Ông Tổng (ngã ba giao với rạch Ông Tổng và Ông Tổng nhánh 3)</t>
  </si>
  <si>
    <t>Cuối hẻm 496/1 Dương Quảng Hàm, phường 6</t>
  </si>
  <si>
    <t>Rạch Ông Tổng (ngã ba giao với rạch Ông Tổng và Ông Tổng nhánh 1)</t>
  </si>
  <si>
    <t>Sau lưng trại gia cầm (148/11/54, đường số 59, phường 14)</t>
  </si>
  <si>
    <t>Hẻm 106 Phạm Văn Chiêu, phường 14</t>
  </si>
  <si>
    <t>Cống Hộp Huỳnh Tấn Phát</t>
  </si>
  <si>
    <t>2-34</t>
  </si>
  <si>
    <t>Ao số 3 từ cống thoát nước đường 17</t>
  </si>
  <si>
    <t>10-70</t>
  </si>
  <si>
    <t>Góc đường số 6 và đường 69 nối dài</t>
  </si>
  <si>
    <t>10-90</t>
  </si>
  <si>
    <t>748/50/6E Lê Đức Thọ, phường 15</t>
  </si>
  <si>
    <t>Rạch bà Bếp</t>
  </si>
  <si>
    <t>SamYang</t>
  </si>
  <si>
    <t xml:space="preserve">Kênh tiêu KCN Tân Qui </t>
  </si>
  <si>
    <t>Quốc lộ 22</t>
  </si>
  <si>
    <t xml:space="preserve">Trường ĐHDL Kỹ Nghệ </t>
  </si>
  <si>
    <t>Mương Liêu Bình Hương</t>
  </si>
  <si>
    <t>Nhánh rạch Bà Bướm 5</t>
  </si>
  <si>
    <t>Nhánh rạch Bà Bướm 4</t>
  </si>
  <si>
    <t xml:space="preserve">Nhánh rạch Bà Bướm 1 </t>
  </si>
  <si>
    <t>Rạch Khu phố 4</t>
  </si>
  <si>
    <t>Rạch Cầu Đa Khoa</t>
  </si>
  <si>
    <t>2-15</t>
  </si>
  <si>
    <t>1-2</t>
  </si>
  <si>
    <t>6-12</t>
  </si>
  <si>
    <t>1.5-3</t>
  </si>
  <si>
    <t>Rạch số 10</t>
  </si>
  <si>
    <t>7,5</t>
  </si>
  <si>
    <t>Rạch số 9</t>
  </si>
  <si>
    <t>Rạch số 8</t>
  </si>
  <si>
    <t>Rạch số 7</t>
  </si>
  <si>
    <t>Rạch số 6</t>
  </si>
  <si>
    <t>Rạch số 5</t>
  </si>
  <si>
    <t>9</t>
  </si>
  <si>
    <t xml:space="preserve">Rạch  Cả Cấm </t>
  </si>
  <si>
    <t>Rạch số 4</t>
  </si>
  <si>
    <t>Rạch số 3</t>
  </si>
  <si>
    <t>Rạch số 2</t>
  </si>
  <si>
    <t xml:space="preserve">Rạch số 1 </t>
  </si>
  <si>
    <t>3-8</t>
  </si>
  <si>
    <t>Khu dân cư Khu phố 5</t>
  </si>
  <si>
    <t>Rạch  Kênh thoát nước khu phố 5</t>
  </si>
  <si>
    <t>Nhánh Kinh Cây Khô 4</t>
  </si>
  <si>
    <t>Nhánh Kinh Cây Khô 3</t>
  </si>
  <si>
    <t>Nhánh Kinh Cây Khô 1</t>
  </si>
  <si>
    <t>Nhánh rạch Bà Lào 7</t>
  </si>
  <si>
    <t>Nhánh sông Phước Kiểng-Mương Chuối 14</t>
  </si>
  <si>
    <t>Nhánh sông Phước Kiểng-Mương Chuối 12</t>
  </si>
  <si>
    <t>Nhánh sông Phước Kiểng-Mương Chuối 11</t>
  </si>
  <si>
    <t>Nhánh sông Phước Kiểng-Mương Chuối 9</t>
  </si>
  <si>
    <t>Nhánh sông Phước Kiểng-Mương Chuối 7</t>
  </si>
  <si>
    <t>Nhánh sông Phước Kiểng-Mương Chuối 6</t>
  </si>
  <si>
    <t>Nhánh sông Phước Kiểng-Mương Chuối 5</t>
  </si>
  <si>
    <t>19</t>
  </si>
  <si>
    <t>Nhánh sông Phước Kiểng-Mương Chuối 4</t>
  </si>
  <si>
    <t>Nhánh sông Phước Kiểng-Mương Chuối 3</t>
  </si>
  <si>
    <t>17</t>
  </si>
  <si>
    <t>Nhánh sông Phước Kiểng-Mương Chuối 1</t>
  </si>
  <si>
    <t>Đầu Ụ (hẻm 606/20)</t>
  </si>
  <si>
    <t>Rạch Đào (nhánh sông Sài Gòn)</t>
  </si>
  <si>
    <t>Rạch Cống Vinh</t>
  </si>
  <si>
    <t>Nhánh rạch Cống Vinh - Ông Bốn 13</t>
  </si>
  <si>
    <t>Nhánh rạch Cống Vinh - Ông Bốn 11</t>
  </si>
  <si>
    <t>Nháng rạch Cống Vinh - Ông Bốn 10</t>
  </si>
  <si>
    <t>Rạch Bà Thanh</t>
  </si>
  <si>
    <t>Nhánh rạch Cống Vinh - Ông Bốn 8</t>
  </si>
  <si>
    <t>Nhánh rạch Cống Vinh - Ông Bốn 7</t>
  </si>
  <si>
    <t>Nhánh rạch Cống Vinh - Ông Bốn 6</t>
  </si>
  <si>
    <t>Nhánh rạch Cống Vinh - Ông Bốn 5</t>
  </si>
  <si>
    <t>Nhánh rạch Cống Vinh - Ông Bốn 4</t>
  </si>
  <si>
    <t>Nhánh rạch Cống Vinh - Ông Bốn 3</t>
  </si>
  <si>
    <t>Nhánh rạch Cống Vinh - Ông Bốn 2</t>
  </si>
  <si>
    <t>Nhánh rạch Cống Vinh - Ông Bốn 1</t>
  </si>
  <si>
    <t>26</t>
  </si>
  <si>
    <t>Cống hộp Suối Ba Bột</t>
  </si>
  <si>
    <t>Suối Linh Tây</t>
  </si>
  <si>
    <t>Khu Quân Sự</t>
  </si>
  <si>
    <t>Trường THCS Linh Đông</t>
  </si>
  <si>
    <t xml:space="preserve"> KP5, P.Hiệp Bình Phước (thửa 18 tờ 95 TL đo mới)</t>
  </si>
  <si>
    <t>Rạch Đá</t>
  </si>
  <si>
    <t>Rạch Ung Văn Khiêm</t>
  </si>
  <si>
    <t>Nhánh rạch Gò Dưa 19</t>
  </si>
  <si>
    <t>Nhánh rạch Gò Dưa 20</t>
  </si>
  <si>
    <t>Nhánh rạch ông Nhiêu 21</t>
  </si>
  <si>
    <t>Nhánh rạch ông Nhiêu 22</t>
  </si>
  <si>
    <t>Kênh Tham Lương - Bến Cát - rạch Nước Lên</t>
  </si>
  <si>
    <t>Bùi Cẩm Hổ</t>
  </si>
  <si>
    <t>5+6</t>
  </si>
  <si>
    <t>Phạm Đình Hổ</t>
  </si>
  <si>
    <t>Cuối kênh Hiệp Tân</t>
  </si>
  <si>
    <t>Đường 42 (Thanh Niên)</t>
  </si>
  <si>
    <t>Hồ Học Lãm</t>
  </si>
  <si>
    <t>Sông Chùa 2 (Sông Kinh)</t>
  </si>
  <si>
    <t>Rạch Lê Công Phép</t>
  </si>
  <si>
    <t>Rạch Nước Lên</t>
  </si>
  <si>
    <t>Cửa xả cống hộp Kênh Nước Đen (trước Trạm xử lý Bình Hưng Hòa)</t>
  </si>
  <si>
    <t>Ngã 3 Bến Bồi - Bà Láng</t>
  </si>
  <si>
    <t>Văn Thánh</t>
  </si>
  <si>
    <t>Văn Thánh (cầu Văn Thánh 2)</t>
  </si>
  <si>
    <t>Cầu gỗ Mai Thị Lựu</t>
  </si>
  <si>
    <t>1-3,5</t>
  </si>
  <si>
    <t>Gần SN 45/4 Trần Thái Tông</t>
  </si>
  <si>
    <t>Đường Quốc Hương</t>
  </si>
  <si>
    <t>Hẻm 97</t>
  </si>
  <si>
    <t>Rạch Thảo Điền</t>
  </si>
  <si>
    <t>Đường Song hành Xa lộ Hà Nội</t>
  </si>
  <si>
    <t>Rạch Cầu Dừa</t>
  </si>
  <si>
    <t>Rạch Cầu Dừa nhánh 1</t>
  </si>
  <si>
    <t>Rạch Cầu Dừa nhánh 2</t>
  </si>
  <si>
    <t>Ngã 3 kênh Tân Hóa - Bàu Trâu</t>
  </si>
  <si>
    <t>Minh Phụng</t>
  </si>
  <si>
    <t>Kênh Tàu Hủ</t>
  </si>
  <si>
    <t>Rạch Bàu Trâu</t>
  </si>
  <si>
    <t>Kênh Tân Hóa</t>
  </si>
  <si>
    <t>Đầu tuyến</t>
  </si>
  <si>
    <t>Rạch Ruột Ngựa</t>
  </si>
  <si>
    <t>Rạch Ruột Ngựa (nhánh 1)</t>
  </si>
  <si>
    <t>Rạch Nhảy</t>
  </si>
  <si>
    <t>Rạch Bà Cả</t>
  </si>
  <si>
    <t>Rạch Nhỏ (Bà Lựu nối dài)</t>
  </si>
  <si>
    <t xml:space="preserve">Kênh Ụ Cây </t>
  </si>
  <si>
    <t>Rạch Ông Lớn nhánh 5</t>
  </si>
  <si>
    <t>Ông Lớn nhánh 1</t>
  </si>
  <si>
    <t>Rạch Ông Nhỏ</t>
  </si>
  <si>
    <t>Rạch Ông Nhỏ nhánh 1</t>
  </si>
  <si>
    <t>Rạch Ông Nhỏ nhánh 2</t>
  </si>
  <si>
    <t>Rạch Ông Nhỏ nhánh 3</t>
  </si>
  <si>
    <t>Rạch Ông Nhỏ nhánh 4</t>
  </si>
  <si>
    <t>Rạch Ông Nhỏ nhánh 5</t>
  </si>
  <si>
    <t>Rạch Ông Nhỏ nhánh 6</t>
  </si>
  <si>
    <t>Rạch Du</t>
  </si>
  <si>
    <t xml:space="preserve">Rạch Hố Đen </t>
  </si>
  <si>
    <t>Đường 42</t>
  </si>
  <si>
    <t>Cuối tuyến (Nguyễn Văn Linh)</t>
  </si>
  <si>
    <t>Cuối tuyến</t>
  </si>
  <si>
    <t>Rạch Đầm Sen</t>
  </si>
  <si>
    <t xml:space="preserve">Chùa Giác Viên </t>
  </si>
  <si>
    <t>Ngã 3 kênh Tân Hóa - rạch Đầm Sen</t>
  </si>
  <si>
    <t>Bình Tân</t>
  </si>
  <si>
    <t>Rạch Nhảy nhánh 1</t>
  </si>
  <si>
    <t>Rạch Nhảy nhánh 2</t>
  </si>
  <si>
    <t>Rạch Ông Búp</t>
  </si>
  <si>
    <t>Kênh Nội Đồng</t>
  </si>
  <si>
    <t>Kênh Lộ Tẻ</t>
  </si>
  <si>
    <t>Rạch Đuôi Trâu</t>
  </si>
  <si>
    <t>Hương Lộ 3 (Tân Kỳ Tân Quý)</t>
  </si>
  <si>
    <t>Kênh Nước Đen</t>
  </si>
  <si>
    <t>Kênh Mương Lệ</t>
  </si>
  <si>
    <t>Kênh Lương Bèo</t>
  </si>
  <si>
    <t>Tham Lương - Bến Cát - Vàm Nước Lên</t>
  </si>
  <si>
    <t>Rạch Bà Tiếng</t>
  </si>
  <si>
    <t>Rạch Bà Tiếng nhánh 1</t>
  </si>
  <si>
    <t>Rạch Bà Tiếng nhánh 2</t>
  </si>
  <si>
    <t>Vàm Nước Lên</t>
  </si>
  <si>
    <t>Rạch Nhảy 2</t>
  </si>
  <si>
    <t>Đầu Nguồn Kinh Dương Vương</t>
  </si>
  <si>
    <t xml:space="preserve">Kênh Liên Xã </t>
  </si>
  <si>
    <t>Rạch Cầu Bông</t>
  </si>
  <si>
    <t xml:space="preserve">Bình Thạnh </t>
  </si>
  <si>
    <t>Sông Bình Lợi</t>
  </si>
  <si>
    <t>Sông Sài Gòn</t>
  </si>
  <si>
    <t>Sông Bình Triệu (Hữu Tắc)</t>
  </si>
  <si>
    <t>Rạch Tam Vàm Tắc</t>
  </si>
  <si>
    <t>Rạch Lăng 1</t>
  </si>
  <si>
    <t>Rạch Bà Láng</t>
  </si>
  <si>
    <t>Ngã 3 Cầu Sơn - Cầu Bông</t>
  </si>
  <si>
    <t>Cầu Sơn</t>
  </si>
  <si>
    <t>sông Sài Gòn</t>
  </si>
  <si>
    <t xml:space="preserve">Rạch Bùi Hữu Nghĩa </t>
  </si>
  <si>
    <t>Cửa Xả Diên Hồng</t>
  </si>
  <si>
    <t>Cầu Bùi Hữu Nghĩa</t>
  </si>
  <si>
    <t>Rạch Lăng 2</t>
  </si>
  <si>
    <t xml:space="preserve">Gò Vấp </t>
  </si>
  <si>
    <t>Rạch Lăng nhánh 1</t>
  </si>
  <si>
    <t>Trường Đai nhánh 1</t>
  </si>
  <si>
    <t>Trường Đai nhánh 2</t>
  </si>
  <si>
    <t>Rạch Cầu Cụt nhánh 1</t>
  </si>
  <si>
    <t>Rạch Cầu Cụt</t>
  </si>
  <si>
    <t>Rạch Chín Xiểng</t>
  </si>
  <si>
    <t>Dương Quảng Hàm</t>
  </si>
  <si>
    <t>Rạch Bà Miêng</t>
  </si>
  <si>
    <t>Rạch Bà Miêng nhánh 1</t>
  </si>
  <si>
    <t>Rạch Bà Miêng nhánh 2</t>
  </si>
  <si>
    <t>Rạch Ông Tổng nhánh 1</t>
  </si>
  <si>
    <t xml:space="preserve">Rạch Ông Tổng </t>
  </si>
  <si>
    <t>Rạch Ông Tổng nhánh 2</t>
  </si>
  <si>
    <t>Rạch Ông Tổng nhánh 3</t>
  </si>
  <si>
    <t>Rạch Phạm Văn Chiêu</t>
  </si>
  <si>
    <t>Sông Vàm Thuật</t>
  </si>
  <si>
    <t>Rạch Chùa Chiêm Phước</t>
  </si>
  <si>
    <t>Rạch Làng Lớn</t>
  </si>
  <si>
    <t xml:space="preserve">Tân Bình </t>
  </si>
  <si>
    <t>Cộng Hoà</t>
  </si>
  <si>
    <t>Kênh Hy Vọng</t>
  </si>
  <si>
    <t>Vành Đai Sân Bay</t>
  </si>
  <si>
    <t>Kênh Tân Trụ</t>
  </si>
  <si>
    <t>Kênh Tây Thạnh</t>
  </si>
  <si>
    <t>Tân Phú</t>
  </si>
  <si>
    <t>Chế Lan Viên (đường 30/4)</t>
  </si>
  <si>
    <t>Kênh 19/5</t>
  </si>
  <si>
    <t>Kênh Hiệp Tân</t>
  </si>
  <si>
    <t>STT</t>
  </si>
  <si>
    <t>Rạch Dừa</t>
  </si>
  <si>
    <t>Rạch Cá Trê</t>
  </si>
  <si>
    <t>Cầu Cá Trê 1</t>
  </si>
  <si>
    <t>Rạch Cầu Ông Cậy</t>
  </si>
  <si>
    <t>Rạch Cá Trê Nhỏ</t>
  </si>
  <si>
    <t>Rạch Ngo (Rạch Cầu Phao)</t>
  </si>
  <si>
    <t>Đường Nguyễn Duy Trinh</t>
  </si>
  <si>
    <t>Sông Đồng Nai</t>
  </si>
  <si>
    <t>Rạch Ông Dí</t>
  </si>
  <si>
    <t>Đường Nguyễn Văn Hưởng</t>
  </si>
  <si>
    <t>Sông Giồng Ông Tố</t>
  </si>
  <si>
    <t>Ngã 3 rạch Đồng Trong</t>
  </si>
  <si>
    <t>Rạch Cầu Cống</t>
  </si>
  <si>
    <t>Ngả 3 rạch Cầu Ông Cậy</t>
  </si>
  <si>
    <t>Rạch Ông Sầm</t>
  </si>
  <si>
    <t>Cầu Ông Sầm</t>
  </si>
  <si>
    <t>Rạch Cầu Phao 13</t>
  </si>
  <si>
    <t>Ngả 3 rạch Cá Trê</t>
  </si>
  <si>
    <t>Rạch Cầu Phao 11</t>
  </si>
  <si>
    <t>Ngã 3 Rạch Cầu Phao 13</t>
  </si>
  <si>
    <t>Rạch Kinh</t>
  </si>
  <si>
    <t>Rạch Cá Trê Lớn</t>
  </si>
  <si>
    <t>Nhánh sông Sài Gòn 1</t>
  </si>
  <si>
    <t>Nhánh sông Sài Gòn 2</t>
  </si>
  <si>
    <t>Nhánh sông Sài Gòn 3</t>
  </si>
  <si>
    <t>Nhánh sông Sài Gòn 4</t>
  </si>
  <si>
    <t>Nhánh sông Sài Gòn 5</t>
  </si>
  <si>
    <t>Nhánh sông Sài Gòn 7</t>
  </si>
  <si>
    <t>Nhánh sông Sài Gòn 8</t>
  </si>
  <si>
    <t>Sông Kỳ Hà</t>
  </si>
  <si>
    <t>Nhánh sông Sài Gòn 18</t>
  </si>
  <si>
    <t>Nhánh sông Sài Gòn 19</t>
  </si>
  <si>
    <t>Nhánh sông Sài Gòn 20</t>
  </si>
  <si>
    <t>Rạch Chiếc</t>
  </si>
  <si>
    <t>Nhánh Rạch Chiếc 4</t>
  </si>
  <si>
    <t>Nhánh Rạch Chiếc 5</t>
  </si>
  <si>
    <t>Nhánh Rạch Chiếc 6</t>
  </si>
  <si>
    <t>Nhánh Rạch Chiếc 7</t>
  </si>
  <si>
    <t>Rạch Phước Long A</t>
  </si>
  <si>
    <t>Nhánh Sông Tắc 3</t>
  </si>
  <si>
    <t>Nhánh Rạch Chiếc 1</t>
  </si>
  <si>
    <t>Nhánh Rạch Chiếc 2</t>
  </si>
  <si>
    <t>20 - 25</t>
  </si>
  <si>
    <t>15 - 20</t>
  </si>
  <si>
    <t>Nhánh rạch Bà Cua 2</t>
  </si>
  <si>
    <t>Rạch Bà Cua</t>
  </si>
  <si>
    <t>20 - 40</t>
  </si>
  <si>
    <t>20 - 30</t>
  </si>
  <si>
    <t>Kênh Một Tấn</t>
  </si>
  <si>
    <t>Rạch Ông Nhiêu</t>
  </si>
  <si>
    <t>Nhánh Sông Kinh 1</t>
  </si>
  <si>
    <t>Sông Kênh</t>
  </si>
  <si>
    <t>Nhánh Sông Kinh 2</t>
  </si>
  <si>
    <t>Nhánh Sông Kinh 3</t>
  </si>
  <si>
    <t>Nhánh rạch Cây Cam</t>
  </si>
  <si>
    <t>Nhánh Sông Tắc 1</t>
  </si>
  <si>
    <t>Sông Tắc</t>
  </si>
  <si>
    <t>Nhánh Sông Tắc 2</t>
  </si>
  <si>
    <t>Nhánh Sông Tắc 5</t>
  </si>
  <si>
    <t>Nhánh rạch Trau Trảu</t>
  </si>
  <si>
    <t>30 - 35</t>
  </si>
  <si>
    <t>Nhánh Sông Tắc 8</t>
  </si>
  <si>
    <t>Nhánh Sông Tắc 10</t>
  </si>
  <si>
    <t>Rạch Cây Cam</t>
  </si>
  <si>
    <t>Rạch Bà Di</t>
  </si>
  <si>
    <t>Rạch Mương</t>
  </si>
  <si>
    <t>15 - 25</t>
  </si>
  <si>
    <t>Rạch Sỏi</t>
  </si>
  <si>
    <t>Rạch Gò Công</t>
  </si>
  <si>
    <t>Cầu Bến Nọc</t>
  </si>
  <si>
    <t>Suối Gò Cát</t>
  </si>
  <si>
    <t>Rạch Cau</t>
  </si>
  <si>
    <t>Nhánh sông Sài Gòn 21</t>
  </si>
  <si>
    <t>Nhánh sông Sài Gòn 22</t>
  </si>
  <si>
    <t>Nhánh sông Sài Gòn 23</t>
  </si>
  <si>
    <t>Rạch Cầu Giông</t>
  </si>
  <si>
    <t>Rạch Cầu Ông Bông</t>
  </si>
  <si>
    <t>Rạch Cầu Bầu Hòn</t>
  </si>
  <si>
    <t>Rạch Nước Trong</t>
  </si>
  <si>
    <t>Rạch Cầu Đất</t>
  </si>
  <si>
    <t>Rạch Cầu Quay</t>
  </si>
  <si>
    <t>Rạch Quốc lộ 13-71/2</t>
  </si>
  <si>
    <t>Rạch Quốc lộ 13-7/8</t>
  </si>
  <si>
    <t>Rạch Cầu Đúc Nhỏ</t>
  </si>
  <si>
    <t>Rạch Bình Thái</t>
  </si>
  <si>
    <t>Ngaõ Tö Bình Thaùi</t>
  </si>
  <si>
    <t>Raïch OÂâng Daàu</t>
  </si>
  <si>
    <t>Quốc lộ 1A</t>
  </si>
  <si>
    <t>Quốc lộ 13</t>
  </si>
  <si>
    <t>Rạch Ông Dầu - Rạch Đĩa</t>
  </si>
  <si>
    <t>Đường Kha Vạn Cân</t>
  </si>
  <si>
    <t>Rạch Mỏ Heo</t>
  </si>
  <si>
    <t xml:space="preserve"> 3 - 4</t>
  </si>
  <si>
    <t>Rạch Cầu Nhúng</t>
  </si>
  <si>
    <t>Rạch Gò Dưa</t>
  </si>
  <si>
    <t>Sông Vĩnh Bình</t>
  </si>
  <si>
    <t xml:space="preserve"> 10 - 15</t>
  </si>
  <si>
    <t>Rạch Bình Thủy</t>
  </si>
  <si>
    <t>Rạch Bà Đá</t>
  </si>
  <si>
    <t>Rạch Ông Bông</t>
  </si>
  <si>
    <t>Thủ Đức</t>
  </si>
  <si>
    <t>Ngã 3 sông Sài Gòn</t>
  </si>
  <si>
    <t>Rạch Ông Dầu</t>
  </si>
  <si>
    <t>Đường ray xe lửa</t>
  </si>
  <si>
    <t>Rạch Môn</t>
  </si>
  <si>
    <t>Suối Gà Quay</t>
  </si>
  <si>
    <t>Nghĩa Trang Liệt  Sỹ Thủ Đức</t>
  </si>
  <si>
    <t>Chùa Ông</t>
  </si>
  <si>
    <t>Điểm đầu</t>
  </si>
  <si>
    <t>Điểm cuối</t>
  </si>
  <si>
    <t>Dài (m)</t>
  </si>
  <si>
    <t>Rộng (m)</t>
  </si>
  <si>
    <t>Ghi chú</t>
  </si>
  <si>
    <t>Rạch Ghe Máy</t>
  </si>
  <si>
    <t xml:space="preserve">Sông Sài Gòn </t>
  </si>
  <si>
    <t>Rạch Lớn</t>
  </si>
  <si>
    <t>Rạch Tư Trang</t>
  </si>
  <si>
    <t>3÷15</t>
  </si>
  <si>
    <t>3÷10</t>
  </si>
  <si>
    <t>Rạch Gia</t>
  </si>
  <si>
    <t>Kênh Đất Sét</t>
  </si>
  <si>
    <t>Rạch Thợ Bột</t>
  </si>
  <si>
    <t>Kênh Tham Lương</t>
  </si>
  <si>
    <t>Rạch Út Bon</t>
  </si>
  <si>
    <t>Rạch Sâu</t>
  </si>
  <si>
    <t>Rạch Giao Khẩu</t>
  </si>
  <si>
    <t>Rạch Bà Đương</t>
  </si>
  <si>
    <t>Mương Cầu Võ</t>
  </si>
  <si>
    <t>Rạch Cầu Võ Tây</t>
  </si>
  <si>
    <t>Rạch Cam</t>
  </si>
  <si>
    <t>Rạch Bà Ngâu</t>
  </si>
  <si>
    <t>Sông Đá Hàn</t>
  </si>
  <si>
    <t>Sông Rỗng Trâu</t>
  </si>
  <si>
    <t>Sông Ông Đụng</t>
  </si>
  <si>
    <t>Sông Sơ Rơ</t>
  </si>
  <si>
    <t>Rạch Trùm Bích</t>
  </si>
  <si>
    <t>Sông Rỗng Tùng</t>
  </si>
  <si>
    <t>Rạch Cầu Móng</t>
  </si>
  <si>
    <t>Rạch Ông Bảy Còi</t>
  </si>
  <si>
    <t>Rạch Quản</t>
  </si>
  <si>
    <t>Rạch Ông Trực</t>
  </si>
  <si>
    <t>Rạch Lò Heo</t>
  </si>
  <si>
    <t>Rạch Trâm</t>
  </si>
  <si>
    <t>Rạch Thầy Tư</t>
  </si>
  <si>
    <t>Rạch Nam Lô</t>
  </si>
  <si>
    <t>Rạch Ông Học</t>
  </si>
  <si>
    <t>Đường Hà Huy Giáp</t>
  </si>
  <si>
    <t>Rạch Rỗng Lớn</t>
  </si>
  <si>
    <t>Rạch Ba Thôn</t>
  </si>
  <si>
    <t>Mương Riêu</t>
  </si>
  <si>
    <t>1,5÷3,5</t>
  </si>
  <si>
    <t>Đường Bà Triệu</t>
  </si>
  <si>
    <t>3÷5</t>
  </si>
  <si>
    <t>2÷3</t>
  </si>
  <si>
    <t xml:space="preserve">Đường Lê Lợi </t>
  </si>
  <si>
    <t>Kênh Xáng</t>
  </si>
  <si>
    <t>Rạch Chợ Mới</t>
  </si>
  <si>
    <t>Hóc Môn</t>
  </si>
  <si>
    <t>Ngã 3 sông Trường Đay</t>
  </si>
  <si>
    <t>Đường Quang Trung</t>
  </si>
  <si>
    <t>Sông Cầu Sáng - Rạch Tra Nhỏ</t>
  </si>
  <si>
    <t>Ngả 3 rạch Tra</t>
  </si>
  <si>
    <t>Rạch Cầu Mênh (đoạn cuối)</t>
  </si>
  <si>
    <t>Ngã ba kênh Trần Quang Cơ</t>
  </si>
  <si>
    <t>13-37</t>
  </si>
  <si>
    <t>Rạch Kè</t>
  </si>
  <si>
    <t>Củ Chi</t>
  </si>
  <si>
    <t>Cầu Sắt</t>
  </si>
  <si>
    <t>Rạch Láng The</t>
  </si>
  <si>
    <t>1,5÷5</t>
  </si>
  <si>
    <t>20-30</t>
  </si>
  <si>
    <t>Rạch Suối Cụt</t>
  </si>
  <si>
    <t>Kênh K17</t>
  </si>
  <si>
    <t>Kênh K38</t>
  </si>
  <si>
    <t>Sông Cầu Kinh</t>
  </si>
  <si>
    <t>Sông cầu kinh</t>
  </si>
  <si>
    <t xml:space="preserve">Rạch Bến Ngựa </t>
  </si>
  <si>
    <t>Nhánh rạch Thủy Tiêu</t>
  </si>
  <si>
    <t>Cửa xả số 2 Nguyễn Thị Thập</t>
  </si>
  <si>
    <t>Rạch Thủy Tiêu</t>
  </si>
  <si>
    <t>Rạch Thủy Tiêu nhánh 1</t>
  </si>
  <si>
    <t>Rạch Thủy Tiêu nhánh 2</t>
  </si>
  <si>
    <t>Rạch  Sông Tân</t>
  </si>
  <si>
    <t>Đường Lâm Văn Bền</t>
  </si>
  <si>
    <t>Rạch Tư Dinh</t>
  </si>
  <si>
    <t>Rạch Bàng</t>
  </si>
  <si>
    <t>Rạch Đĩa</t>
  </si>
  <si>
    <t>15-30</t>
  </si>
  <si>
    <t>Rạch Ông Đội 1</t>
  </si>
  <si>
    <t>Cầu Kênh Tẻ</t>
  </si>
  <si>
    <t>Sông Ông Lớn</t>
  </si>
  <si>
    <t>20-35</t>
  </si>
  <si>
    <t>Rạch Ông Đội 2</t>
  </si>
  <si>
    <t>Chùa Long Hoà</t>
  </si>
  <si>
    <t>Sông Phú Xuân</t>
  </si>
  <si>
    <t>15-20</t>
  </si>
  <si>
    <t>Rạch Ông Đội nhánh 1</t>
  </si>
  <si>
    <t xml:space="preserve"> Đầu Khu dân cư </t>
  </si>
  <si>
    <t xml:space="preserve">Cầu Kênh Tẻ </t>
  </si>
  <si>
    <t>Rạch Ông Đội nhánh 11</t>
  </si>
  <si>
    <t xml:space="preserve">Khu dân cư </t>
  </si>
  <si>
    <t>Rạch Ông Đội</t>
  </si>
  <si>
    <t xml:space="preserve">Rạch Ấp Chiến lược </t>
  </si>
  <si>
    <t>Rạch Bàng (đoạn cuối)</t>
  </si>
  <si>
    <t>Rạch Thầy Tiêu</t>
  </si>
  <si>
    <t>Rạch Bàng nhánh 1</t>
  </si>
  <si>
    <t>Khu phố 1</t>
  </si>
  <si>
    <t>Rạch Bàng nhánh 2</t>
  </si>
  <si>
    <t>Rạch Bàng nhánh 6</t>
  </si>
  <si>
    <t>Rạch Cả Cấm (đoạn cuối)</t>
  </si>
  <si>
    <t>Rạch Bần Đôn</t>
  </si>
  <si>
    <t>Cầu Đa Khoa</t>
  </si>
  <si>
    <t>50-60</t>
  </si>
  <si>
    <t>Rạch Ngã Tư</t>
  </si>
  <si>
    <t>Rạch Rơi</t>
  </si>
  <si>
    <t>Huỳnh Tấn Phát</t>
  </si>
  <si>
    <t>Sông Nhà Bè</t>
  </si>
  <si>
    <t>Rạch Bà Bướm nhánh 2</t>
  </si>
  <si>
    <t xml:space="preserve">Rạch Bà Bướm </t>
  </si>
  <si>
    <t>Rạch Bà Bướm nhánh 3</t>
  </si>
  <si>
    <t>Rạch cây me</t>
  </si>
  <si>
    <t xml:space="preserve">Cống xả Mai Văn Vĩnh </t>
  </si>
  <si>
    <t xml:space="preserve">Rạch Thuỷ Tiên </t>
  </si>
  <si>
    <t>40-50</t>
  </si>
  <si>
    <t>Rạch Thầy Tiêu nhánh 1</t>
  </si>
  <si>
    <t>Rạch Thầy Tiêu nhánh 2</t>
  </si>
  <si>
    <t>Rạch Thầy Tiêu nhánh 3</t>
  </si>
  <si>
    <t>Rạch Thầy Tiêu nhánh 4</t>
  </si>
  <si>
    <t>Rạch Thầy Tiêu nhánh 5</t>
  </si>
  <si>
    <t>Rạch Dừa Sụp</t>
  </si>
  <si>
    <t>Rạch Ông Kích</t>
  </si>
  <si>
    <t>Rạch Thuỷ Tiêu</t>
  </si>
  <si>
    <t>Rạch Ông Kích nhánh 1</t>
  </si>
  <si>
    <t>Rạch Ông Kích nhánh 2</t>
  </si>
  <si>
    <t>Rạch Ông Kích nhánh 3</t>
  </si>
  <si>
    <t>Rạch Ông Kích nhánh 4</t>
  </si>
  <si>
    <t>Ao cá Hương Tràm</t>
  </si>
  <si>
    <t>Nhánh rạch Bàng 2 (nhánh rạch trước cửa xả số 2 Nguyễn Hữu Thọ)</t>
  </si>
  <si>
    <t>Cửa xả số 2 Nguyễn Hữu Thọ</t>
  </si>
  <si>
    <t>Quản lý ngành</t>
  </si>
  <si>
    <t>Quản lý trực tiếp</t>
  </si>
  <si>
    <t>Sở Giao thông vận tải</t>
  </si>
  <si>
    <t>Sông Bãi Tiên</t>
  </si>
  <si>
    <t>Cần Giờ</t>
  </si>
  <si>
    <t>Sông An Hoà</t>
  </si>
  <si>
    <t>29</t>
  </si>
  <si>
    <t>Sông Đồng Đình</t>
  </si>
  <si>
    <t>Ngọn Rạch</t>
  </si>
  <si>
    <t>Rạch So Đũa Lớn</t>
  </si>
  <si>
    <t>Rạch So Đũa</t>
  </si>
  <si>
    <t>57</t>
  </si>
  <si>
    <t>Cửa Cần Giờ</t>
  </si>
  <si>
    <t>Sông Dinh Bà</t>
  </si>
  <si>
    <t>Rạch Năm Bến</t>
  </si>
  <si>
    <t>38</t>
  </si>
  <si>
    <t>Rạch Cá Heo</t>
  </si>
  <si>
    <t>70</t>
  </si>
  <si>
    <t>Sông Gò Gia</t>
  </si>
  <si>
    <t>Sông Thị Vải</t>
  </si>
  <si>
    <t>Tắc Ông Cỏ</t>
  </si>
  <si>
    <t>80</t>
  </si>
  <si>
    <t>Sông Gò Gia - Tắc Hồng</t>
  </si>
  <si>
    <t>Tắc Hồng - Tắc Rạch</t>
  </si>
  <si>
    <t>Sông Thêu</t>
  </si>
  <si>
    <t>Sông Lòng Tàu</t>
  </si>
  <si>
    <t>Tắc Cù Bắp</t>
  </si>
  <si>
    <t>60</t>
  </si>
  <si>
    <t>Sông Cái Mép</t>
  </si>
  <si>
    <t>Rạch Cá Nhám</t>
  </si>
  <si>
    <t>Tắc Cá Chổn</t>
  </si>
  <si>
    <t>Tắc Câu</t>
  </si>
  <si>
    <t>Tắc Đòi Nợ</t>
  </si>
  <si>
    <t>Rạch Tắc Hẹp</t>
  </si>
  <si>
    <t>Tắc Hồng</t>
  </si>
  <si>
    <t>Rạch Tắc Cau</t>
  </si>
  <si>
    <t>45</t>
  </si>
  <si>
    <t>Rạch Thiềng Liềng</t>
  </si>
  <si>
    <t>Rạch Ông Múng</t>
  </si>
  <si>
    <t xml:space="preserve">Sông Đồng Tranh </t>
  </si>
  <si>
    <t>Tắc Bài</t>
  </si>
  <si>
    <t>Rạch Ông Cu</t>
  </si>
  <si>
    <t>Rạch Đòi Nợ</t>
  </si>
  <si>
    <t>Sông Đồng Tranh</t>
  </si>
  <si>
    <t>Rạch Ngọn Hốt Quả</t>
  </si>
  <si>
    <t>150</t>
  </si>
  <si>
    <t>Rạch Cá Nhám 3</t>
  </si>
  <si>
    <t>Rạch Bùn</t>
  </si>
  <si>
    <t>Rạch Bàu Học</t>
  </si>
  <si>
    <t>Khu Dân Cư</t>
  </si>
  <si>
    <t>Rạch Ba Giòng</t>
  </si>
  <si>
    <t>Ngọn Nhau Mèo</t>
  </si>
  <si>
    <t>Rạch Ngọn Hốc Hỏa</t>
  </si>
  <si>
    <t>Ngọn Hốc Hỏa</t>
  </si>
  <si>
    <t>Rạch Bùn Tam Thôn Hiệp</t>
  </si>
  <si>
    <t>Rạch Vọp</t>
  </si>
  <si>
    <t>Rạch Dừa Chà Là</t>
  </si>
  <si>
    <t>Rạch Vàm Tượng</t>
  </si>
  <si>
    <t>Sông Dừa</t>
  </si>
  <si>
    <t>Rạch Tràm</t>
  </si>
  <si>
    <t>41-20</t>
  </si>
  <si>
    <t>Rạch Tắc Bé</t>
  </si>
  <si>
    <t>64</t>
  </si>
  <si>
    <t>Rạch Tắc Cầu Kho</t>
  </si>
  <si>
    <t>Rạch Tắc Bà Kiêu</t>
  </si>
  <si>
    <t>Rạch Sói Lớn</t>
  </si>
  <si>
    <t>Rạch Ngã Bắc</t>
  </si>
  <si>
    <t>Rạch Mu Rùa</t>
  </si>
  <si>
    <t>36</t>
  </si>
  <si>
    <t>Tắc Tây Đen</t>
  </si>
  <si>
    <t>Rạch Móng Keo Lớn</t>
  </si>
  <si>
    <t>Rạch Ăn Thịt</t>
  </si>
  <si>
    <t>Rạch Gốc Tre</t>
  </si>
  <si>
    <t>Rạch Giữa</t>
  </si>
  <si>
    <t>Rạch Già Cua</t>
  </si>
  <si>
    <t>27</t>
  </si>
  <si>
    <t>Rạch Con Chó</t>
  </si>
  <si>
    <t>Tắc Cá Đao</t>
  </si>
  <si>
    <t>Rạch Cái Vồ</t>
  </si>
  <si>
    <t>Rạch Cá Nhám 2</t>
  </si>
  <si>
    <t>41</t>
  </si>
  <si>
    <t>37</t>
  </si>
  <si>
    <t>Rạch Bùng</t>
  </si>
  <si>
    <t>Rạch Bìa</t>
  </si>
  <si>
    <t>30-60</t>
  </si>
  <si>
    <t>Rạch Tắc lớn</t>
  </si>
  <si>
    <t>Rạch Bắc Ngoại</t>
  </si>
  <si>
    <t>Sông Vàm Sát</t>
  </si>
  <si>
    <t>Rạch Gốc Tre nhỏ</t>
  </si>
  <si>
    <t>Rạch Gốc Tre lớn</t>
  </si>
  <si>
    <t>94</t>
  </si>
  <si>
    <t>54</t>
  </si>
  <si>
    <t>Sông Mũi Nai</t>
  </si>
  <si>
    <t>Rạch Tượng</t>
  </si>
  <si>
    <t>53</t>
  </si>
  <si>
    <t>Rạch Sấu</t>
  </si>
  <si>
    <t>46</t>
  </si>
  <si>
    <t>Rạch Đầm Bích</t>
  </si>
  <si>
    <t>Sông Cá Nhám Lớn</t>
  </si>
  <si>
    <t>Rạch Múc Mú lớn</t>
  </si>
  <si>
    <t>32</t>
  </si>
  <si>
    <t>Rạch Gành Hào bé</t>
  </si>
  <si>
    <t>Sông Cát Lái</t>
  </si>
  <si>
    <t>Rạch Cá Lái lớn</t>
  </si>
  <si>
    <t>Rạch Cá Lái bé</t>
  </si>
  <si>
    <t>Rạch Cá Nháp bé</t>
  </si>
  <si>
    <t>Rạch Cá Nháp</t>
  </si>
  <si>
    <t>Sông Lò Rèn</t>
  </si>
  <si>
    <t>Rạch Cá Gáy lớn</t>
  </si>
  <si>
    <t>Rạch Cây Sung</t>
  </si>
  <si>
    <t>34</t>
  </si>
  <si>
    <t>Kênh Phụ Nữ 2</t>
  </si>
  <si>
    <t>Rạch Mồng Gà</t>
  </si>
  <si>
    <t>Rạch Cá Nhám 1</t>
  </si>
  <si>
    <t>Sông Đồng Hòa</t>
  </si>
  <si>
    <t>Rạch Cây Đa</t>
  </si>
  <si>
    <t>Rạch Khe Đôi lớn</t>
  </si>
  <si>
    <t>Rạch Láng Bai</t>
  </si>
  <si>
    <t>Rạch Khe Đôi nhỏ</t>
  </si>
  <si>
    <t>Rạch Ốc</t>
  </si>
  <si>
    <t>Rạch Ông Nhàn Bé</t>
  </si>
  <si>
    <t>Rạch Ông Nhàn Lớn</t>
  </si>
  <si>
    <t>Rạch So Đũa lớn</t>
  </si>
  <si>
    <t>Rạch So Đũa nhỏ</t>
  </si>
  <si>
    <t>Đường Rừng Sác</t>
  </si>
  <si>
    <t>Rạch Rô</t>
  </si>
  <si>
    <t>74</t>
  </si>
  <si>
    <t>Sông Mùn Năm</t>
  </si>
  <si>
    <t>Tắc Ông Trâu</t>
  </si>
  <si>
    <t>Sông Bà Yến</t>
  </si>
  <si>
    <t>Sông Lò Vôi</t>
  </si>
  <si>
    <t>Tắc Lâm Sâu</t>
  </si>
  <si>
    <t>Sông Hào Võ</t>
  </si>
  <si>
    <t>Tắc Cạn</t>
  </si>
  <si>
    <t>Rạch Bà Yến</t>
  </si>
  <si>
    <t>Rạch Vân</t>
  </si>
  <si>
    <t>Sông Cá Gáu</t>
  </si>
  <si>
    <t>Rạch Tắc Ngọn</t>
  </si>
  <si>
    <t>47</t>
  </si>
  <si>
    <t>Sông Mùng Năm</t>
  </si>
  <si>
    <t>Sông Ông Tiên</t>
  </si>
  <si>
    <t>Rạch Đầm</t>
  </si>
  <si>
    <t>Sông Hà Thanh</t>
  </si>
  <si>
    <t>Rạch Lò Han</t>
  </si>
  <si>
    <t>Rạch Bà Tiến</t>
  </si>
  <si>
    <t>Rạch Lá Buông</t>
  </si>
  <si>
    <t>Rạch Giông</t>
  </si>
  <si>
    <t>Rạch Già Bùn</t>
  </si>
  <si>
    <t>Sông Đồng Tranh 2</t>
  </si>
  <si>
    <t>Rạch Cổ Cò</t>
  </si>
  <si>
    <t>Rạch Cá Trang</t>
  </si>
  <si>
    <t>Sông Bà Vú</t>
  </si>
  <si>
    <t>Rạch Cá  Móng</t>
  </si>
  <si>
    <t>Rạch Cá</t>
  </si>
  <si>
    <t>Ngọn Sông</t>
  </si>
  <si>
    <t>Rạch Cây Tràm Lớn</t>
  </si>
  <si>
    <t>Rạch Cây Tràm Bé</t>
  </si>
  <si>
    <t>Rạch Cầu Nò</t>
  </si>
  <si>
    <t>Sông Bà Vũ</t>
  </si>
  <si>
    <t>Rạch Bà Thiện</t>
  </si>
  <si>
    <t>Rạch Bà Lưới</t>
  </si>
  <si>
    <t>Sông An Hòa</t>
  </si>
  <si>
    <t>Mương Cây Rạch</t>
  </si>
  <si>
    <t>Rạch Lá</t>
  </si>
  <si>
    <t>Rạch Cây Cui</t>
  </si>
  <si>
    <t>Rạch Lập Dời</t>
  </si>
  <si>
    <t>Rạch Xóm Quán</t>
  </si>
  <si>
    <t>Sông Chà</t>
  </si>
  <si>
    <t>Rạch Sông Tân</t>
  </si>
  <si>
    <t>Rạch Cá Sức</t>
  </si>
  <si>
    <t>Rạch Cá Gâu</t>
  </si>
  <si>
    <t>Rạch Bông Giếng Nhỏ</t>
  </si>
  <si>
    <t>Rạch Bà Đo</t>
  </si>
  <si>
    <t>Rạch Bà Xán</t>
  </si>
  <si>
    <t>Rạch Bà Đèo</t>
  </si>
  <si>
    <t>Kinh Ngay</t>
  </si>
  <si>
    <t>Kênh Ông Cả</t>
  </si>
  <si>
    <t>Rạch Đôn</t>
  </si>
  <si>
    <t>Rạch Tắc Ông Nghĩa</t>
  </si>
  <si>
    <t>Rạch Tắc Múc Bột</t>
  </si>
  <si>
    <t>Tắc Tràng</t>
  </si>
  <si>
    <t>48</t>
  </si>
  <si>
    <t>Sông Lôi Giang</t>
  </si>
  <si>
    <t>Tắc Ráng</t>
  </si>
  <si>
    <t>33</t>
  </si>
  <si>
    <t>Rạch Bà Giòng</t>
  </si>
  <si>
    <t>Tắc Ông Địa</t>
  </si>
  <si>
    <t>Rạch Đước</t>
  </si>
  <si>
    <t>Rạch Lá Bé</t>
  </si>
  <si>
    <t>Sông Cái Mết</t>
  </si>
  <si>
    <t>Rạch Tắc Mới</t>
  </si>
  <si>
    <t>Rạch Tắc Bà Tùng</t>
  </si>
  <si>
    <t>Rạch Cái Mép</t>
  </si>
  <si>
    <t>Đường Lý Nhơn</t>
  </si>
  <si>
    <t>Rạch Kho Mắm</t>
  </si>
  <si>
    <t>Rạch Hóc Hỏa Nhỏ</t>
  </si>
  <si>
    <t>Rạch Hóc Hỏa Lớn</t>
  </si>
  <si>
    <t>Rạch Giồng</t>
  </si>
  <si>
    <t>Rạch Bàu Thơ</t>
  </si>
  <si>
    <t>Kênh Chủ</t>
  </si>
  <si>
    <t>Kênh Thỏ</t>
  </si>
  <si>
    <t>Kênh Son</t>
  </si>
  <si>
    <t>Kênh Ông Chủ</t>
  </si>
  <si>
    <t>Kênh Ngay</t>
  </si>
  <si>
    <t>Kênh Kho Đá</t>
  </si>
  <si>
    <t>Kênh Nhỏ</t>
  </si>
  <si>
    <t>UBND huyện Cần Giờ</t>
  </si>
  <si>
    <t>Trung tâm ĐHCT chống ngập nước TP</t>
  </si>
  <si>
    <t>Tên sông, kênh, rạch</t>
  </si>
  <si>
    <t>Rạch Phố Nhà Trà</t>
  </si>
  <si>
    <t>Cầu phố Nhà Trà</t>
  </si>
  <si>
    <t>Rạch Võ</t>
  </si>
  <si>
    <t>KP8, P.Hiệp Bình Phước (thửa 294 tờ 1TL cũ)</t>
  </si>
  <si>
    <t xml:space="preserve">Rạch Cầu Làng </t>
  </si>
  <si>
    <t>Cống hộp đường Hiệp Bình</t>
  </si>
  <si>
    <t>Rạch tổ 26-27A (nhánh sông Sài Gòn)</t>
  </si>
  <si>
    <t>Ngã ba sông Sài Gòn</t>
  </si>
  <si>
    <t>Khu dân cư KP4</t>
  </si>
  <si>
    <t>Rạch Năm Diệm</t>
  </si>
  <si>
    <t>Ụ Năm Diệm</t>
  </si>
  <si>
    <t>Rạch nhánh rạch Đá</t>
  </si>
  <si>
    <t>Thửa 2 tờ 94</t>
  </si>
  <si>
    <t xml:space="preserve">Nhà 24 đường số 3 </t>
  </si>
  <si>
    <t>Rạch nhánh của rạch Đĩa</t>
  </si>
  <si>
    <t>Nhà 109/27 đường Hiệp Bình</t>
  </si>
  <si>
    <t>Nhà 43/24 đường Hiệp Bình</t>
  </si>
  <si>
    <t>Rạch hẻm 520 (nhánh rạch Đỉa)</t>
  </si>
  <si>
    <t>Hẻm 520</t>
  </si>
  <si>
    <t xml:space="preserve">Rạch Cùng </t>
  </si>
  <si>
    <t xml:space="preserve">Rạch Lùng </t>
  </si>
  <si>
    <t>Đường số 22</t>
  </si>
  <si>
    <t>Khu Quân sự, qua đường Tô Ngọc Vân</t>
  </si>
  <si>
    <t>Rạch Cống Quay</t>
  </si>
  <si>
    <t>Rạch Đường 40 (Rạch Cầu miếu)</t>
  </si>
  <si>
    <t>Đường số 39</t>
  </si>
  <si>
    <t>Rạch Tám Táng (Nhánh rạch Lùng)</t>
  </si>
  <si>
    <t>Chia nhánh ra Đường số 28-đường Linh Đông-cặp Đường số 22</t>
  </si>
  <si>
    <t>Nhánh rạch Thủ Đức</t>
  </si>
  <si>
    <t>Rạch Thủ Đức</t>
  </si>
  <si>
    <t>Rạch Cây Sơn Máu</t>
  </si>
  <si>
    <t>Cuối đường 6</t>
  </si>
  <si>
    <t>Rạch Nhà Trà</t>
  </si>
  <si>
    <t>Rạch số 7 (Nhánh Rạch Gò Dưa)</t>
  </si>
  <si>
    <t xml:space="preserve">Rạch Gò Dưa (Đất ông Hoa) </t>
  </si>
  <si>
    <t>Cuối rạch</t>
  </si>
  <si>
    <t>Ngã 3 rạch mương Cầu Suối</t>
  </si>
  <si>
    <t>Đường Tô Ký</t>
  </si>
  <si>
    <t>Trung tâm ĐHCT chống ngập nước</t>
  </si>
  <si>
    <t>Quận 12</t>
  </si>
  <si>
    <t>Nhánh Mương Cầu Suối (nhánh 2)</t>
  </si>
  <si>
    <t>4-5</t>
  </si>
  <si>
    <t>Quốc Lộ 1A</t>
  </si>
  <si>
    <t>Đầu Tuyến</t>
  </si>
  <si>
    <t>Kênh Đồng Tiến</t>
  </si>
  <si>
    <t>10-45</t>
  </si>
  <si>
    <t>Kênh Trần Quang Cơ</t>
  </si>
  <si>
    <t>Nguyễn Ảnh Thủ</t>
  </si>
  <si>
    <t>Nhánh Mương Cầu Suối (Nhánh 1)</t>
  </si>
  <si>
    <t>Cầu Bình Phú Tây</t>
  </si>
  <si>
    <t>Mương Cầu Suối</t>
  </si>
  <si>
    <t>Mương Mười Nghĩa</t>
  </si>
  <si>
    <t>5-12</t>
  </si>
  <si>
    <t>Quốc lộ 1</t>
  </si>
  <si>
    <t>Kênh Lê Thị Riêng</t>
  </si>
  <si>
    <t>Kênh Dơi</t>
  </si>
  <si>
    <t>5-8</t>
  </si>
  <si>
    <t>Rạch Ba ton - Cầu Tre</t>
  </si>
  <si>
    <t>Mương Nơ</t>
  </si>
  <si>
    <t>Rạch Rỗng Hóa</t>
  </si>
  <si>
    <t>Đường TA09</t>
  </si>
  <si>
    <t>250</t>
  </si>
  <si>
    <t>Sông Cầu Võng</t>
  </si>
  <si>
    <t>2-10</t>
  </si>
  <si>
    <t>Rạch Ụ Ông Bông</t>
  </si>
  <si>
    <t>12-26</t>
  </si>
  <si>
    <t>7-20</t>
  </si>
  <si>
    <t>Rạch Cầu Kinh</t>
  </si>
  <si>
    <t>4-37</t>
  </si>
  <si>
    <t>Rạch Ụ Tư Vựng</t>
  </si>
  <si>
    <t>Rạch Cầu Xây</t>
  </si>
  <si>
    <t>Rạch Láng Le</t>
  </si>
  <si>
    <t>10-25</t>
  </si>
  <si>
    <t>Rạch Cầu Đò</t>
  </si>
  <si>
    <t>4-20</t>
  </si>
  <si>
    <t>Đường Vườn Lài</t>
  </si>
  <si>
    <t>4-28</t>
  </si>
  <si>
    <t>50-100</t>
  </si>
  <si>
    <t>Rạch Cả Bốn</t>
  </si>
  <si>
    <t>Đường TL31</t>
  </si>
  <si>
    <t>2-8</t>
  </si>
  <si>
    <t>Rạch Chú Kỳ</t>
  </si>
  <si>
    <t>3-15</t>
  </si>
  <si>
    <t>Rạch Tư Hổ</t>
  </si>
  <si>
    <t>2-30</t>
  </si>
  <si>
    <t>9-30</t>
  </si>
  <si>
    <t>Cầu Ga</t>
  </si>
  <si>
    <t>Rạch Mướp</t>
  </si>
  <si>
    <t>Cầu Cả Bốn</t>
  </si>
  <si>
    <t>Rạch Cầu Cả Bốn</t>
  </si>
  <si>
    <t>2-20</t>
  </si>
  <si>
    <t>Rạch Chín Chuyện</t>
  </si>
  <si>
    <t>Rạch Giao Khầu</t>
  </si>
  <si>
    <t>18-30</t>
  </si>
  <si>
    <t>Rạch Ông Sỏi</t>
  </si>
  <si>
    <t>Cầu Thơ Du</t>
  </si>
  <si>
    <t>6-13</t>
  </si>
  <si>
    <t>Rạch Út Hoảnh</t>
  </si>
  <si>
    <t>5-21</t>
  </si>
  <si>
    <t>14-26</t>
  </si>
  <si>
    <t>Rạch Cù Lao Bá Hộ</t>
  </si>
  <si>
    <t>Rạch Rỗng Trâm</t>
  </si>
  <si>
    <t>Đường TX 21</t>
  </si>
  <si>
    <t>Rạch Tám Giáo - Tâm Mập</t>
  </si>
  <si>
    <t>6-20</t>
  </si>
  <si>
    <t>Cầu Ba Sóc</t>
  </si>
  <si>
    <t>Rạch Thầy Quyền</t>
  </si>
  <si>
    <t>Rạch Kênh Mới</t>
  </si>
  <si>
    <t>Đường TX14</t>
  </si>
  <si>
    <t>Rạch Rỗng Hầm</t>
  </si>
  <si>
    <t>6-25</t>
  </si>
  <si>
    <t>33-39</t>
  </si>
  <si>
    <t>Cầu Dừa</t>
  </si>
  <si>
    <t>Rạch Bà Lựu (rạch Năng)</t>
  </si>
  <si>
    <t>đường An Dương Vương</t>
  </si>
  <si>
    <t xml:space="preserve">Sông Chùa </t>
  </si>
  <si>
    <t>Quận Bình Tân</t>
  </si>
  <si>
    <t>Kênh C (cống kiểm soát triều)</t>
  </si>
  <si>
    <t>Kênh Tham Lương-Bến Cát-rạch Nước Lên</t>
  </si>
  <si>
    <t>Kênh C (gần Cầu Tân Tạo)</t>
  </si>
  <si>
    <t>Cuối tuyến (gần giáp ranh Bình Trị Đông A)</t>
  </si>
  <si>
    <t>Khu dân cư Lý Chiêu Hoàng</t>
  </si>
  <si>
    <t>Sông Cái Trung</t>
  </si>
  <si>
    <t>Sông Đập</t>
  </si>
  <si>
    <t>Kênh số 1</t>
  </si>
  <si>
    <t>Sông Phướng</t>
  </si>
  <si>
    <t>Kênh C</t>
  </si>
  <si>
    <t>12-14</t>
  </si>
  <si>
    <t>Rạch Lương Sầm</t>
  </si>
  <si>
    <t>Hẻm 144/18 đường số 6</t>
  </si>
  <si>
    <t>Hẻm 129/95</t>
  </si>
  <si>
    <t>Rạch khu phố 3-4</t>
  </si>
  <si>
    <t>Rạch Ruột Ngụa</t>
  </si>
  <si>
    <t>Hẻm 36/45 Bùi Tư Toàn</t>
  </si>
  <si>
    <t>Rạch Năm Thang</t>
  </si>
  <si>
    <t>Đường Tập đoàn 6B</t>
  </si>
  <si>
    <t>4-7</t>
  </si>
  <si>
    <t>Rạch Hai Lớn</t>
  </si>
  <si>
    <t>2.5-5</t>
  </si>
  <si>
    <t>Kênh Hãng Giấy</t>
  </si>
  <si>
    <t>Chợ Khu phố 2</t>
  </si>
  <si>
    <t>4-9</t>
  </si>
  <si>
    <t>Rạch Ruột Ngựa nhánh 1 (Kênh Năm Sao)</t>
  </si>
  <si>
    <t>Hẻm số 27/36/75/12/4 đường Bùi Tư Toàn</t>
  </si>
  <si>
    <t>Rạch Khu phố 3-4 (nhánh 1)</t>
  </si>
  <si>
    <t>Hẻm số 36/45</t>
  </si>
  <si>
    <t>Rạch Khu phố 3-4 (nhánh 2)</t>
  </si>
  <si>
    <t>Hẻm số 50/1/57</t>
  </si>
  <si>
    <t>Mương thoát nước Liên Khu 3-4-10-11-12</t>
  </si>
  <si>
    <t>Hẻm 105 Phan Anh</t>
  </si>
  <si>
    <t>Hẻm 137/107 Phan Anh</t>
  </si>
  <si>
    <t>0,8-4</t>
  </si>
  <si>
    <t>Kênh Tham Lương (Giao đường CN5 - CN3)</t>
  </si>
  <si>
    <t>Rạch nhánh đường Cộng Hoà</t>
  </si>
  <si>
    <t>Kênh Liên Ấp (nhánh Ông Búp)</t>
  </si>
  <si>
    <t>Kênh Mười Xà</t>
  </si>
  <si>
    <t>Kênh T10</t>
  </si>
  <si>
    <t>Sông Vàm Tắc</t>
  </si>
  <si>
    <t>Rạch Chiếu</t>
  </si>
  <si>
    <t>Sông Cần Giuộc</t>
  </si>
  <si>
    <t>Quốc lộ 50</t>
  </si>
  <si>
    <t>Ranh xã Tân Nhựt</t>
  </si>
  <si>
    <t xml:space="preserve">Rạch Bào Gốc </t>
  </si>
  <si>
    <t>Thị trấn Tân Túc</t>
  </si>
  <si>
    <t>Bình Tân + Bình Chánh</t>
  </si>
  <si>
    <t>Cửa xả cầu mới Bạch Đằng</t>
  </si>
  <si>
    <t>Cuối đường Vành Đai Trong</t>
  </si>
  <si>
    <t>1,5-22</t>
  </si>
  <si>
    <t>Đường Sinco nối dài</t>
  </si>
  <si>
    <t>Đường Sinco (cống Bà Mua)</t>
  </si>
  <si>
    <t>8-12</t>
  </si>
  <si>
    <t>Hẻm 295 đường Tân Hòa Đông</t>
  </si>
  <si>
    <t>Đường Mã Lò</t>
  </si>
  <si>
    <t>Nhánh 3 rạch Ông Búp (cuối hẻm 242 đường Lê Đình Cẩn)</t>
  </si>
  <si>
    <t>Quốc lô 1A (gần nút giao Tân Tạo)</t>
  </si>
  <si>
    <t xml:space="preserve">Bình Tân +Tân Phú </t>
  </si>
  <si>
    <t>Quận 12 + Hóc Môn</t>
  </si>
  <si>
    <t>Ngã ba sông Đá Hàn</t>
  </si>
  <si>
    <t>Từ Trạm bơm Tân Thới Nhì</t>
  </si>
  <si>
    <t>Kênh Trung Ương</t>
  </si>
  <si>
    <t>Hóc Môn + Bình Chánh</t>
  </si>
  <si>
    <t>Từ kênh Trần Quang Cơ</t>
  </si>
  <si>
    <t>Rạch Bến Đá</t>
  </si>
  <si>
    <t>Quận 12, Hóc Môn</t>
  </si>
  <si>
    <t xml:space="preserve">Rạch Cầu Dừa </t>
  </si>
  <si>
    <t>Phụ lục 2: Danh mục các tuyến sông, kênh, rạch có chức năng giao thông thủy trên địa bàn Thành phố</t>
  </si>
  <si>
    <t>Chiều dài
 (m)</t>
  </si>
  <si>
    <t>I</t>
  </si>
  <si>
    <t>Kênh Thầy Cai</t>
  </si>
  <si>
    <t>Kênh Đông</t>
  </si>
  <si>
    <t>Kênh Địa Phận</t>
  </si>
  <si>
    <t>II</t>
  </si>
  <si>
    <t>Rạch Tra</t>
  </si>
  <si>
    <t>IV</t>
  </si>
  <si>
    <t>Kênh An Hạ</t>
  </si>
  <si>
    <t>III</t>
  </si>
  <si>
    <t>Kênh Đôi</t>
  </si>
  <si>
    <t>Rạch Bến Nghé</t>
  </si>
  <si>
    <t>Rạch Bà Tàng - Cầu Sập</t>
  </si>
  <si>
    <t>Rạch Bà Tỵ</t>
  </si>
  <si>
    <t>Rạch Giồng Ông Tố</t>
  </si>
  <si>
    <t>Rạch Trau Trảu</t>
  </si>
  <si>
    <t>Rạch Ông Tư Dinh</t>
  </si>
  <si>
    <t>Rạch Đỉa</t>
  </si>
  <si>
    <t>Rạch Dơi</t>
  </si>
  <si>
    <t>Sông Dinh Bà 1</t>
  </si>
  <si>
    <t>Rạch Gốc Tre Nhỏ</t>
  </si>
  <si>
    <t>Rạch Năm Mươi</t>
  </si>
  <si>
    <t>Sông Dần Xây</t>
  </si>
  <si>
    <t>Tắc Cua</t>
  </si>
  <si>
    <t>Phụ lục 3: Danh mục các tuyến kênh, rạch có chức năng tưới tiêu phục vụ sản xuất nông nghiệp, nuôi trồng thủy sản, phát triển rừng và sản xuất muối trên địa bàn Thành phố</t>
  </si>
  <si>
    <t>Tên kênh, rạch</t>
  </si>
  <si>
    <t>Tổng cộng: 1.992 tuyến, tổng chiều dài 2.299.133m</t>
  </si>
  <si>
    <t>Sở Nông nghiệp và Phát triển nông thôn</t>
  </si>
  <si>
    <t>Công ty TNHH MTV QLKTDV Thủy lợi TP</t>
  </si>
  <si>
    <t xml:space="preserve">Cầu Tân Tạo </t>
  </si>
  <si>
    <t>Kênh số 1 (Kênh C3)</t>
  </si>
  <si>
    <t xml:space="preserve">Kênh C </t>
  </si>
  <si>
    <t>Kênh số 2 (Kênh C5)</t>
  </si>
  <si>
    <t>Kênh số 3 (Kênh C7)</t>
  </si>
  <si>
    <t>Đường Nguyễn Cửu Phú</t>
  </si>
  <si>
    <t>Kênh số 4 (Kênh C9)</t>
  </si>
  <si>
    <t>Kênh số 5 (Kênh C11)</t>
  </si>
  <si>
    <t>Nhánh kênh số 3</t>
  </si>
  <si>
    <t>Nguyễn Cữu Phú</t>
  </si>
  <si>
    <t>Nhánh kênh số 4</t>
  </si>
  <si>
    <t>Nhánh kênh số 5</t>
  </si>
  <si>
    <t>Suối Nhum</t>
  </si>
  <si>
    <t>Ngã ba sông Xuân Trường</t>
  </si>
  <si>
    <t>Xa lộ Hà Nội</t>
  </si>
  <si>
    <t>Suối Cái</t>
  </si>
  <si>
    <t xml:space="preserve"> Kênh Liên Vùng (kênh AH-KC)</t>
  </si>
  <si>
    <t xml:space="preserve"> Kênh C</t>
  </si>
  <si>
    <t xml:space="preserve"> Đường Võ Văn Vân (ranh Bình Chánh-Bình Tân)</t>
  </si>
  <si>
    <t xml:space="preserve"> Kênh tiêu T46</t>
  </si>
  <si>
    <t xml:space="preserve"> Quốc Lộ 22 </t>
  </si>
  <si>
    <t xml:space="preserve"> Kênh N43</t>
  </si>
  <si>
    <t xml:space="preserve"> Kênh tiêu TCC 1-2</t>
  </si>
  <si>
    <t xml:space="preserve"> Kênh Đông </t>
  </si>
  <si>
    <t xml:space="preserve"> Cuối tuyến</t>
  </si>
  <si>
    <t>Kênh An Hạ</t>
  </si>
  <si>
    <t>Cầu An Hạ</t>
  </si>
  <si>
    <t>Kênh Xáng Đứng</t>
  </si>
  <si>
    <t>Kênh AH14 (K9)</t>
  </si>
  <si>
    <t>Kênh AH16 (K8)</t>
  </si>
  <si>
    <t>Kênh AH18 (K7)</t>
  </si>
  <si>
    <t>Kênh AH19</t>
  </si>
  <si>
    <t>Kênh Liên Vùng</t>
  </si>
  <si>
    <t>Kênh AH20 (K6)</t>
  </si>
  <si>
    <t>Kênh AH21 (T6)</t>
  </si>
  <si>
    <t>Kênh AH22 (K5)</t>
  </si>
  <si>
    <t>Kênh AH23 (T5)</t>
  </si>
  <si>
    <t>Kênh AH24 (K4)</t>
  </si>
  <si>
    <t>Kênh AH25 (T4)</t>
  </si>
  <si>
    <t>Kênh AH26 (K3)</t>
  </si>
  <si>
    <t>Kênh AH27 (T3)</t>
  </si>
  <si>
    <t>Kênh AH28 (K2)</t>
  </si>
  <si>
    <t>Kênh AH29 (T2)</t>
  </si>
  <si>
    <t>Kênh AH31 (T1)</t>
  </si>
  <si>
    <t>Kênh AH33 (To)</t>
  </si>
  <si>
    <t>Kênh AH35 (T11)</t>
  </si>
  <si>
    <t>Kênh AH37 (T12)</t>
  </si>
  <si>
    <t>Kênh AH39 (T13)</t>
  </si>
  <si>
    <t>Kênh AH41(T14)</t>
  </si>
  <si>
    <t>Kênh NT3</t>
  </si>
  <si>
    <t>Kênh NT4</t>
  </si>
  <si>
    <t>Kênh NT5</t>
  </si>
  <si>
    <t>Kênh NT6</t>
  </si>
  <si>
    <t>Kênh NT7</t>
  </si>
  <si>
    <t>Kênh L10 (T18)</t>
  </si>
  <si>
    <t>Kênh AH-KC</t>
  </si>
  <si>
    <t>Kênh T15B</t>
  </si>
  <si>
    <t>Kênh T15 A</t>
  </si>
  <si>
    <t>Kênh L8 (T16)</t>
  </si>
  <si>
    <t>Kênh A</t>
  </si>
  <si>
    <t>Kênh Xáng Ngang</t>
  </si>
  <si>
    <t>Kênh A2</t>
  </si>
  <si>
    <t>Kênh A4</t>
  </si>
  <si>
    <t>Kênh A6</t>
  </si>
  <si>
    <t>Kênh A8</t>
  </si>
  <si>
    <t>Kênh A10</t>
  </si>
  <si>
    <t>Kênh A12</t>
  </si>
  <si>
    <t>Kênh A14</t>
  </si>
  <si>
    <t>Kênh A16</t>
  </si>
  <si>
    <t>Kênh A18</t>
  </si>
  <si>
    <t>Kênh A20</t>
  </si>
  <si>
    <t>Kênh A22</t>
  </si>
  <si>
    <t>Kênh B</t>
  </si>
  <si>
    <t>Cống ĐKT1</t>
  </si>
  <si>
    <t>Kênh B0</t>
  </si>
  <si>
    <t>Kênh B2</t>
  </si>
  <si>
    <t>Kênh B4</t>
  </si>
  <si>
    <t>Kênh B6</t>
  </si>
  <si>
    <t>Kênh B8</t>
  </si>
  <si>
    <t>Kênh B10</t>
  </si>
  <si>
    <t>Kênh B12</t>
  </si>
  <si>
    <t>Kênh B14</t>
  </si>
  <si>
    <t>Kênh B16</t>
  </si>
  <si>
    <t>Kênh B18</t>
  </si>
  <si>
    <t>Kênh B20</t>
  </si>
  <si>
    <t>Kênh B22</t>
  </si>
  <si>
    <t>Kênh C1</t>
  </si>
  <si>
    <t>Kênh C2</t>
  </si>
  <si>
    <t>Kênh C4</t>
  </si>
  <si>
    <t>Kênh C6</t>
  </si>
  <si>
    <t>Kênh C8</t>
  </si>
  <si>
    <t>Kênh C9</t>
  </si>
  <si>
    <t>Kênh C10</t>
  </si>
  <si>
    <t>Kênh C11</t>
  </si>
  <si>
    <t>Kênh C12</t>
  </si>
  <si>
    <t>Kênh C13</t>
  </si>
  <si>
    <t>Kênh C15</t>
  </si>
  <si>
    <t>Kênh C16</t>
  </si>
  <si>
    <t>Kênh C17</t>
  </si>
  <si>
    <t>Kênh C18</t>
  </si>
  <si>
    <t>Kênh C19</t>
  </si>
  <si>
    <t>Kênh C20</t>
  </si>
  <si>
    <t>Kênh C21</t>
  </si>
  <si>
    <t>Kênh C22</t>
  </si>
  <si>
    <t>Kênh C23</t>
  </si>
  <si>
    <t>Kênh C24</t>
  </si>
  <si>
    <t>Kênh C25</t>
  </si>
  <si>
    <t>Kênh T1-1</t>
  </si>
  <si>
    <t>Kênh T1</t>
  </si>
  <si>
    <t>Kênh T1-3</t>
  </si>
  <si>
    <t>Kênh T1-5</t>
  </si>
  <si>
    <t>Kênh T1-7</t>
  </si>
  <si>
    <t>Kênh T1-9</t>
  </si>
  <si>
    <t>Kênh T1-11</t>
  </si>
  <si>
    <t>Kênh T1-13</t>
  </si>
  <si>
    <t>Kênh T1-15</t>
  </si>
  <si>
    <t>Kênh T2-1</t>
  </si>
  <si>
    <t>Kênh T2</t>
  </si>
  <si>
    <t>Kênh T2-2</t>
  </si>
  <si>
    <t>Kênh T2-3</t>
  </si>
  <si>
    <t>Kênh T2-4</t>
  </si>
  <si>
    <t>Kênh T2-5</t>
  </si>
  <si>
    <t>Kênh T2-6</t>
  </si>
  <si>
    <t>Kênh T2-7</t>
  </si>
  <si>
    <t>Kênh T2-8</t>
  </si>
  <si>
    <t>Kênh T2-9</t>
  </si>
  <si>
    <t>Kênh T2-10</t>
  </si>
  <si>
    <t>Kênh T2-11</t>
  </si>
  <si>
    <t>Kênh T2-12</t>
  </si>
  <si>
    <t>Kênh T2-13</t>
  </si>
  <si>
    <t>Kênh T2-14</t>
  </si>
  <si>
    <t>Kênh T2-15</t>
  </si>
  <si>
    <t>Kênh T2-16</t>
  </si>
  <si>
    <t>Kênh T3-1</t>
  </si>
  <si>
    <t>Kênh T3</t>
  </si>
  <si>
    <t>Kênh T3-2</t>
  </si>
  <si>
    <t>Kênh T3-3</t>
  </si>
  <si>
    <t>Kênh T3-4</t>
  </si>
  <si>
    <t>Kênh T3-5</t>
  </si>
  <si>
    <t>Kênh T3-6</t>
  </si>
  <si>
    <t>Kênh T3-7</t>
  </si>
  <si>
    <t>Kênh T3-8</t>
  </si>
  <si>
    <t>Kênh T3-9</t>
  </si>
  <si>
    <t>Kênh T3-10</t>
  </si>
  <si>
    <t>Kênh T3-11</t>
  </si>
  <si>
    <t>Kênh T3-12</t>
  </si>
  <si>
    <t>Kênh T3-13</t>
  </si>
  <si>
    <t>Kênh T3-14</t>
  </si>
  <si>
    <t>Kênh T3-15</t>
  </si>
  <si>
    <t>Kênh T3-16</t>
  </si>
  <si>
    <t>Kênh T4-1</t>
  </si>
  <si>
    <t>Kênh T4</t>
  </si>
  <si>
    <t>Kênh T4-2</t>
  </si>
  <si>
    <t>Kênh T4-3</t>
  </si>
  <si>
    <t>Kênh T4-4</t>
  </si>
  <si>
    <t>Kênh T4-5</t>
  </si>
  <si>
    <t>Kênh T4-6</t>
  </si>
  <si>
    <t>Kênh T4-7</t>
  </si>
  <si>
    <t>Kênh T4-8</t>
  </si>
  <si>
    <t>Kênh T4-9</t>
  </si>
  <si>
    <t>Kênh T4-10</t>
  </si>
  <si>
    <t>Kênh T4-11</t>
  </si>
  <si>
    <t>Kênh T4-12</t>
  </si>
  <si>
    <t>Kênh T4-13</t>
  </si>
  <si>
    <t>Kênh T4-14</t>
  </si>
  <si>
    <t>Kênh T4-15</t>
  </si>
  <si>
    <t>Kênh T4-16</t>
  </si>
  <si>
    <t>Kênh T5-1</t>
  </si>
  <si>
    <t>Kênh T5</t>
  </si>
  <si>
    <t>Kênh T5-2</t>
  </si>
  <si>
    <t>Kênh T5-3</t>
  </si>
  <si>
    <t>Kênh T5-4</t>
  </si>
  <si>
    <t>Kênh T5-5</t>
  </si>
  <si>
    <t>Kênh T5-6</t>
  </si>
  <si>
    <t>Kênh T5-7</t>
  </si>
  <si>
    <t>Kênh T5-8</t>
  </si>
  <si>
    <t>Kênh T5-9</t>
  </si>
  <si>
    <t>Kênh T5-10</t>
  </si>
  <si>
    <t>Kênh T5-11</t>
  </si>
  <si>
    <t>Kênh T5-12</t>
  </si>
  <si>
    <t>Kênh T5-13</t>
  </si>
  <si>
    <t>Kênh T5-14</t>
  </si>
  <si>
    <t>Kênh T5-15</t>
  </si>
  <si>
    <t>Kênh T5-16</t>
  </si>
  <si>
    <t>Kênh T6-1</t>
  </si>
  <si>
    <t>Kênh T6</t>
  </si>
  <si>
    <t>Kênh T6-2</t>
  </si>
  <si>
    <t>Kênh T6-3</t>
  </si>
  <si>
    <t>Kênh T6-4</t>
  </si>
  <si>
    <t>Kênh T6-5</t>
  </si>
  <si>
    <t>Kênh T6-6</t>
  </si>
  <si>
    <t>Kênh T6-7</t>
  </si>
  <si>
    <t>Kênh T6-8</t>
  </si>
  <si>
    <t>Kênh T6-9</t>
  </si>
  <si>
    <t>Kênh T6-10</t>
  </si>
  <si>
    <t>Kênh T6-11</t>
  </si>
  <si>
    <t>Kênh T6-12</t>
  </si>
  <si>
    <t>Kênh T6-13</t>
  </si>
  <si>
    <t>Kênh T6-14</t>
  </si>
  <si>
    <t>Kênh T6-15</t>
  </si>
  <si>
    <t>Kênh T6-16</t>
  </si>
  <si>
    <t>Kênh T7-1</t>
  </si>
  <si>
    <t>Kênh T7</t>
  </si>
  <si>
    <t>Kênh T7-2</t>
  </si>
  <si>
    <t>Kênh T7-3</t>
  </si>
  <si>
    <t>Kênh T7-4</t>
  </si>
  <si>
    <t>Kênh T7-5</t>
  </si>
  <si>
    <t>Kênh T7-6</t>
  </si>
  <si>
    <t>Kênh T7-7</t>
  </si>
  <si>
    <t>Kênh T7-8</t>
  </si>
  <si>
    <t>Kênh T7-9</t>
  </si>
  <si>
    <t>Kênh T7-10</t>
  </si>
  <si>
    <t>Kênh T7-11</t>
  </si>
  <si>
    <t>Kênh T7-12</t>
  </si>
  <si>
    <t>Kênh T7-13</t>
  </si>
  <si>
    <t>Kênh T7-14</t>
  </si>
  <si>
    <t>Kênh T7-15</t>
  </si>
  <si>
    <t>Kênh T7-16</t>
  </si>
  <si>
    <t>Kênh AH20-1</t>
  </si>
  <si>
    <t>Kênh AH20</t>
  </si>
  <si>
    <t>Kênh AH20-2</t>
  </si>
  <si>
    <t>Kênh AH20-3</t>
  </si>
  <si>
    <t>Kênh AH20-4</t>
  </si>
  <si>
    <t>Kênh AH20-5</t>
  </si>
  <si>
    <t>Kênh AH20-6</t>
  </si>
  <si>
    <t>Kênh AH20-7</t>
  </si>
  <si>
    <t>Kênh AH20-8</t>
  </si>
  <si>
    <t>Kênh AH22-1</t>
  </si>
  <si>
    <t>Kênh AH22</t>
  </si>
  <si>
    <t>Kênh AH22-2</t>
  </si>
  <si>
    <t>Kênh AH22-3</t>
  </si>
  <si>
    <t>Kênh AH22-4</t>
  </si>
  <si>
    <t>Kênh AH22-5</t>
  </si>
  <si>
    <t>Kênh AH22-6</t>
  </si>
  <si>
    <t>Kênh AH22-7</t>
  </si>
  <si>
    <t>Kênh AH22-8</t>
  </si>
  <si>
    <t>Kênh AH24-1</t>
  </si>
  <si>
    <t>Kênh AH24</t>
  </si>
  <si>
    <t>Kênh AH24-2</t>
  </si>
  <si>
    <t>Kênh AH24-3</t>
  </si>
  <si>
    <t>Kênh AH24-4</t>
  </si>
  <si>
    <t>Kênh AH24-5</t>
  </si>
  <si>
    <t>Kênh AH24-6</t>
  </si>
  <si>
    <t>Kênh AH24-7</t>
  </si>
  <si>
    <t>Kênh AH24-8</t>
  </si>
  <si>
    <t>Kênh AH24-9</t>
  </si>
  <si>
    <t>Kênh AH26-1</t>
  </si>
  <si>
    <t>Kênh AH26</t>
  </si>
  <si>
    <t>Kênh AH26-2</t>
  </si>
  <si>
    <t>Kênh AH26-3</t>
  </si>
  <si>
    <t>Kênh AH26-4</t>
  </si>
  <si>
    <t>Kênh AH26-5</t>
  </si>
  <si>
    <t>Kênh AH26-6</t>
  </si>
  <si>
    <t>Kênh AH26-7</t>
  </si>
  <si>
    <t>Kênh AH26-8</t>
  </si>
  <si>
    <t>Kênh AH26-9</t>
  </si>
  <si>
    <t>Kênh AH28-2</t>
  </si>
  <si>
    <t>Kênh AH28</t>
  </si>
  <si>
    <t>Kênh AH28-4</t>
  </si>
  <si>
    <t>Kênh AH28-6</t>
  </si>
  <si>
    <t>Kênh T11-1</t>
  </si>
  <si>
    <t>Kênh T11</t>
  </si>
  <si>
    <t>Kênh T11-2</t>
  </si>
  <si>
    <t>Kênh T11-3</t>
  </si>
  <si>
    <t>Kênh T11-4</t>
  </si>
  <si>
    <t>Kênh T11-5</t>
  </si>
  <si>
    <t>Kênh T12 -1</t>
  </si>
  <si>
    <t>Kênh T12 -2</t>
  </si>
  <si>
    <t>Kênh T12 -3</t>
  </si>
  <si>
    <t>Kênh T12 -4</t>
  </si>
  <si>
    <t>Kênh T12 -5</t>
  </si>
  <si>
    <t>Kênh T12 -6</t>
  </si>
  <si>
    <t>Kênh T13-1</t>
  </si>
  <si>
    <t>Kênh T13</t>
  </si>
  <si>
    <t>Kênh T13-2</t>
  </si>
  <si>
    <t>Kênh T13-3</t>
  </si>
  <si>
    <t>Kênh T13-4</t>
  </si>
  <si>
    <t>Kênh T14-1</t>
  </si>
  <si>
    <t>Kênh T14</t>
  </si>
  <si>
    <t>Kênh T15A</t>
  </si>
  <si>
    <t>Kênh NT3 -1</t>
  </si>
  <si>
    <t>Kênh NT3 -3</t>
  </si>
  <si>
    <t>Kênh NT3 -5</t>
  </si>
  <si>
    <t>Kênh NT4 -1</t>
  </si>
  <si>
    <t>Kênh NT4 -2</t>
  </si>
  <si>
    <t>Kênh NT4 -3</t>
  </si>
  <si>
    <t>Kênh NT4 -4</t>
  </si>
  <si>
    <t>Kênh NT5 -1</t>
  </si>
  <si>
    <t>Kênh NT5 -2</t>
  </si>
  <si>
    <t>Kênh NT5 -3</t>
  </si>
  <si>
    <t>Kênh NT5 -4</t>
  </si>
  <si>
    <t>Kênh NT6-1</t>
  </si>
  <si>
    <t>Kênh NT6-2</t>
  </si>
  <si>
    <t>Kênh NT6-3</t>
  </si>
  <si>
    <t>Kênh NT6-4</t>
  </si>
  <si>
    <t>Kênh NT7-1</t>
  </si>
  <si>
    <t>Kênh NT7-2</t>
  </si>
  <si>
    <t>Kênh NT7-3</t>
  </si>
  <si>
    <t>Kênh NT7-4</t>
  </si>
  <si>
    <t>Kênh NT8-1</t>
  </si>
  <si>
    <t>Kênh NT8</t>
  </si>
  <si>
    <t>Kênh NT8-2</t>
  </si>
  <si>
    <t>Kênh NT8-3</t>
  </si>
  <si>
    <t>Kênh NT8-4</t>
  </si>
  <si>
    <t>Kênh NT8a</t>
  </si>
  <si>
    <t>Kênh NT8a-1</t>
  </si>
  <si>
    <t>Kênh NT8a-2</t>
  </si>
  <si>
    <t>Kênh NT8a-3</t>
  </si>
  <si>
    <t>Kênh NT8a-4</t>
  </si>
  <si>
    <t>Kênh NT9</t>
  </si>
  <si>
    <t>Kênh NT9-1</t>
  </si>
  <si>
    <t>Kênh NT9-2</t>
  </si>
  <si>
    <t>Kênh NT9-3</t>
  </si>
  <si>
    <t>Kênh NT9-4</t>
  </si>
  <si>
    <t>Kênh NT9a</t>
  </si>
  <si>
    <t>Kênh NT9a-1</t>
  </si>
  <si>
    <t>Kênh NT9a-2</t>
  </si>
  <si>
    <t>Kênh NT9a-3</t>
  </si>
  <si>
    <t>Kênh NT9a-4</t>
  </si>
  <si>
    <t>Kênh NT10a</t>
  </si>
  <si>
    <t>Kênh NT10a-1</t>
  </si>
  <si>
    <t>Kênh NT10a-2</t>
  </si>
  <si>
    <t>Kênh NT10a-3</t>
  </si>
  <si>
    <t>Kênh NT10a-4</t>
  </si>
  <si>
    <t>Ranh xã Xuân Thới Sơn</t>
  </si>
  <si>
    <t>Ranh Quận Bình Tân</t>
  </si>
  <si>
    <t>Kênh Ranh Long An</t>
  </si>
  <si>
    <t>Kênh Rau Răm</t>
  </si>
  <si>
    <t>Kênh dẫn trạm bơm Tân Thới Nhì</t>
  </si>
  <si>
    <t xml:space="preserve">Từ cầu An hạ </t>
  </si>
  <si>
    <t>Trạm bơm TT2</t>
  </si>
  <si>
    <t>Kênh AH 1</t>
  </si>
  <si>
    <t xml:space="preserve">Từ đường Dương Công Khi </t>
  </si>
  <si>
    <t>K. Trung Ương</t>
  </si>
  <si>
    <t>Kênh AH 1A</t>
  </si>
  <si>
    <t xml:space="preserve">Từ Đ. Dương Công Khi </t>
  </si>
  <si>
    <t xml:space="preserve"> Mương số 1</t>
  </si>
  <si>
    <t>Kênh AH 1B</t>
  </si>
  <si>
    <t>Từ Đ. Dương Công Khi -</t>
  </si>
  <si>
    <t>Mương số 2</t>
  </si>
  <si>
    <t>Kênh AH 2</t>
  </si>
  <si>
    <t>Kênh AH 3 (02 tuyến AH3)</t>
  </si>
  <si>
    <t>Kênh AH 3A</t>
  </si>
  <si>
    <t>Kênh AH 4</t>
  </si>
  <si>
    <t xml:space="preserve">Kênh An Hạ </t>
  </si>
  <si>
    <t xml:space="preserve"> Kênh Thầy Cai</t>
  </si>
  <si>
    <t>Kênh AH 5 (02 tuyến AH5)</t>
  </si>
  <si>
    <t>Từ Đ. Dương Công Khi</t>
  </si>
  <si>
    <t>Kênh AH 6</t>
  </si>
  <si>
    <t xml:space="preserve"> Kênh AH 6B</t>
  </si>
  <si>
    <t>Kênh AH 6A</t>
  </si>
  <si>
    <t xml:space="preserve">Kênh AH6 </t>
  </si>
  <si>
    <t>Kênh AH 6B</t>
  </si>
  <si>
    <t>Kênh AH6</t>
  </si>
  <si>
    <t xml:space="preserve"> Kênh TK1</t>
  </si>
  <si>
    <t>Kênh AH 8 (02 tuyến AH8)</t>
  </si>
  <si>
    <t xml:space="preserve"> Ranh Long An</t>
  </si>
  <si>
    <t>Kênh AH 3</t>
  </si>
  <si>
    <t xml:space="preserve">Kênh Thầy Cai </t>
  </si>
  <si>
    <t>Kênh AH5(T13)</t>
  </si>
  <si>
    <t xml:space="preserve"> Kênh Liên Vùng</t>
  </si>
  <si>
    <t>Kênh AH 7( 02 tuyến AH7)</t>
  </si>
  <si>
    <t>Kênh AH 11(T10)</t>
  </si>
  <si>
    <t>Từ Đ. Đặng. C. Bỉnh</t>
  </si>
  <si>
    <t xml:space="preserve"> Đ. CPSĐ</t>
  </si>
  <si>
    <t>Kênh AH 9(T11)</t>
  </si>
  <si>
    <t xml:space="preserve"> ruộng Ô. Xiêu</t>
  </si>
  <si>
    <t>Kênh AH 7(T12)</t>
  </si>
  <si>
    <t xml:space="preserve"> ruộng Ô. Thái</t>
  </si>
  <si>
    <t>Kênh AH 12</t>
  </si>
  <si>
    <t>Kênh AH 10</t>
  </si>
  <si>
    <t>Từ bờ bao lô C</t>
  </si>
  <si>
    <t>Kênh AH 8</t>
  </si>
  <si>
    <t>Kênh TK1</t>
  </si>
  <si>
    <t>Kênh TK3</t>
  </si>
  <si>
    <t>Kênh TK5</t>
  </si>
  <si>
    <t>Kênh TK7</t>
  </si>
  <si>
    <t>Kênh TK1 -1</t>
  </si>
  <si>
    <t>Kênh TK1 -2</t>
  </si>
  <si>
    <t>Kênh TK1 -3</t>
  </si>
  <si>
    <t>Kênh TK1 -4</t>
  </si>
  <si>
    <t>Kênh TK1-5</t>
  </si>
  <si>
    <t>Kênh TK3 -1</t>
  </si>
  <si>
    <t>Kênh TK3 -2</t>
  </si>
  <si>
    <t>Kênh TK3 -3</t>
  </si>
  <si>
    <t>Kênh TK3 -4</t>
  </si>
  <si>
    <t>Kênh TK5 -1</t>
  </si>
  <si>
    <t>Kênh TK5 -2</t>
  </si>
  <si>
    <t>Kênh TK5 -4</t>
  </si>
  <si>
    <t>Kênh TK7-1</t>
  </si>
  <si>
    <t>Kênh TK7-2</t>
  </si>
  <si>
    <t>Kênh AH11A</t>
  </si>
  <si>
    <t>Kênh AH13</t>
  </si>
  <si>
    <t>Kênh AH15</t>
  </si>
  <si>
    <t>Kênh AH17</t>
  </si>
  <si>
    <t>Kênh T8-1</t>
  </si>
  <si>
    <t>Kênh T8</t>
  </si>
  <si>
    <t>Kênh T8-2</t>
  </si>
  <si>
    <t>Kênh T8-3</t>
  </si>
  <si>
    <t>Kênh T8-4</t>
  </si>
  <si>
    <t>Kênh T8-5</t>
  </si>
  <si>
    <t>Kênh T8-6</t>
  </si>
  <si>
    <t>Kênh T8-7</t>
  </si>
  <si>
    <t>Kênh T8-8</t>
  </si>
  <si>
    <t>Kênh T8-9</t>
  </si>
  <si>
    <t>Kênh T8-10</t>
  </si>
  <si>
    <t>Kênh T8-11</t>
  </si>
  <si>
    <t>Kênh T8-12</t>
  </si>
  <si>
    <t>Kênh T8-13</t>
  </si>
  <si>
    <t>Kênh T8-14</t>
  </si>
  <si>
    <t>Kênh T8-15</t>
  </si>
  <si>
    <t>Kênh T8-16</t>
  </si>
  <si>
    <t>Kênh T9-1</t>
  </si>
  <si>
    <t>Kênh T9</t>
  </si>
  <si>
    <t>Kênh T9-2</t>
  </si>
  <si>
    <t>Kênh T9-3</t>
  </si>
  <si>
    <t>Kênh T9-4</t>
  </si>
  <si>
    <t>Kênh T9-5</t>
  </si>
  <si>
    <t>Kênh T9-6</t>
  </si>
  <si>
    <t>Kênh T9-7</t>
  </si>
  <si>
    <t>Kênh T9-8</t>
  </si>
  <si>
    <t>Kênh T9-9</t>
  </si>
  <si>
    <t>Kênh T9-10</t>
  </si>
  <si>
    <t>Kênh T9-11</t>
  </si>
  <si>
    <t>Kênh T9-12</t>
  </si>
  <si>
    <t>Kênh T9-13</t>
  </si>
  <si>
    <t>Kênh T9-14</t>
  </si>
  <si>
    <t>Kênh T9-15</t>
  </si>
  <si>
    <t>Kênh T9-16</t>
  </si>
  <si>
    <t>Kênh T10-2</t>
  </si>
  <si>
    <t>Kênh T10-4</t>
  </si>
  <si>
    <t>Kênh T10-6</t>
  </si>
  <si>
    <t>Kênh T10-8</t>
  </si>
  <si>
    <t>Kênh T10-10</t>
  </si>
  <si>
    <t>Kênh T10-12</t>
  </si>
  <si>
    <t>Kênh T10-14</t>
  </si>
  <si>
    <t>Kênh  AH 1A-2</t>
  </si>
  <si>
    <t>Kênh AH1A</t>
  </si>
  <si>
    <t>Kênh AH2-2</t>
  </si>
  <si>
    <t>Kênh AH2</t>
  </si>
  <si>
    <t>Kênh AH2-3</t>
  </si>
  <si>
    <t>Kênh AH2-4</t>
  </si>
  <si>
    <t>Kênh AH2-5</t>
  </si>
  <si>
    <t>Kênh AH 3-1</t>
  </si>
  <si>
    <t>Kênh AH3</t>
  </si>
  <si>
    <t>Kênh AH 3-2</t>
  </si>
  <si>
    <t>Kênh AH 3-3</t>
  </si>
  <si>
    <t>Kênh AH 3-4</t>
  </si>
  <si>
    <t>Kênh AH 3-5</t>
  </si>
  <si>
    <t>Kênh AH 3-6</t>
  </si>
  <si>
    <t>Kênh AH4-3</t>
  </si>
  <si>
    <t>Kênh AH4</t>
  </si>
  <si>
    <t>Kênh AH4-4</t>
  </si>
  <si>
    <t>Kênh AH4-5</t>
  </si>
  <si>
    <t>Kênh AH4-6</t>
  </si>
  <si>
    <t>Kênh AH4-7</t>
  </si>
  <si>
    <t>Kênh AH 5-1</t>
  </si>
  <si>
    <t>Kênh AH5</t>
  </si>
  <si>
    <t>Kênh AH 5-2</t>
  </si>
  <si>
    <t>Kênh AH 5-3</t>
  </si>
  <si>
    <t>Kênh AH 5-4</t>
  </si>
  <si>
    <t>Kênh AH 5-5</t>
  </si>
  <si>
    <t>Kênh AH 5-6</t>
  </si>
  <si>
    <t>Kênh AH 5-7</t>
  </si>
  <si>
    <t>Kênh AH 5-8</t>
  </si>
  <si>
    <t>Kênh AH8-1</t>
  </si>
  <si>
    <t>Kênh AH8</t>
  </si>
  <si>
    <t>Kênh AH8-2</t>
  </si>
  <si>
    <t>Kênh AH8-3</t>
  </si>
  <si>
    <t>Kênh AH8-4</t>
  </si>
  <si>
    <t>Kênh AH8-5</t>
  </si>
  <si>
    <t>Kênh AH8-6</t>
  </si>
  <si>
    <t>Kênh AH 9-1</t>
  </si>
  <si>
    <t>Kênh AH9</t>
  </si>
  <si>
    <t>Kênh AH 9-2</t>
  </si>
  <si>
    <t>Kênh AH 9-3</t>
  </si>
  <si>
    <t>Kênh AH 9-4</t>
  </si>
  <si>
    <t>Kênh AH 9-5</t>
  </si>
  <si>
    <t>Kênh AH 9-6</t>
  </si>
  <si>
    <t>Kênh AH 9-7</t>
  </si>
  <si>
    <t>Kênh AH 9-8</t>
  </si>
  <si>
    <t>Kênh AH 9-9</t>
  </si>
  <si>
    <t>Kênh AH 9-10</t>
  </si>
  <si>
    <t>Kênh AH 9-11</t>
  </si>
  <si>
    <t>Kênh AH 9-12</t>
  </si>
  <si>
    <t>Kênh AH 9-13</t>
  </si>
  <si>
    <t>Kênh AH 9-14</t>
  </si>
  <si>
    <t>Kênh AH 10-5</t>
  </si>
  <si>
    <t>Kênh AH10</t>
  </si>
  <si>
    <t>Kênh AH 10-6</t>
  </si>
  <si>
    <t>Kênh AH 12-2</t>
  </si>
  <si>
    <t>Kênh AH12</t>
  </si>
  <si>
    <t>Kênh AH 12-3</t>
  </si>
  <si>
    <t>Kênh AH 12-4</t>
  </si>
  <si>
    <t>Kênh AH 12 -5</t>
  </si>
  <si>
    <t>Kênh AH14-1</t>
  </si>
  <si>
    <t>Kênh AH14</t>
  </si>
  <si>
    <t>Kênh AH14-2</t>
  </si>
  <si>
    <t>Kênh AH14-3</t>
  </si>
  <si>
    <t>Kênh AH14-4</t>
  </si>
  <si>
    <t>Kênh AH14-5</t>
  </si>
  <si>
    <t>Kênh AH14-6</t>
  </si>
  <si>
    <t>Kênh AH14-7</t>
  </si>
  <si>
    <t>Kênh AH14-8</t>
  </si>
  <si>
    <t>Kênh AH16-1</t>
  </si>
  <si>
    <t>Kênh AH16</t>
  </si>
  <si>
    <t>Kênh AH16-2</t>
  </si>
  <si>
    <t>Kênh AH16-3</t>
  </si>
  <si>
    <t>Kênh AH16-4</t>
  </si>
  <si>
    <t>Kênh AH16-5</t>
  </si>
  <si>
    <t>Kênh AH16-6</t>
  </si>
  <si>
    <t>Kênh AH16-7</t>
  </si>
  <si>
    <t>Kênh AH16-8</t>
  </si>
  <si>
    <t>Kênh AH18-1</t>
  </si>
  <si>
    <t>Kênh AH18</t>
  </si>
  <si>
    <t>Kênh AH18-2</t>
  </si>
  <si>
    <t>Kênh AH18-3</t>
  </si>
  <si>
    <t>Kênh AH18-4</t>
  </si>
  <si>
    <t>Kênh AH18-5</t>
  </si>
  <si>
    <t>Kênh AH18-6</t>
  </si>
  <si>
    <t>Kênh AH18-7</t>
  </si>
  <si>
    <t>Kênh AH18-8</t>
  </si>
  <si>
    <t>Kênh Chính Đông</t>
  </si>
  <si>
    <t>Trung Lập Thượng</t>
  </si>
  <si>
    <t>Phước Hiệp</t>
  </si>
  <si>
    <t>Kênh N23A</t>
  </si>
  <si>
    <t>Ranh Trảng Bàng</t>
  </si>
  <si>
    <t>Xã Phú Mỹ Hưng</t>
  </si>
  <si>
    <t>Kênh N25</t>
  </si>
  <si>
    <t>Ranh Nhuận Đức</t>
  </si>
  <si>
    <t>Kênh N27</t>
  </si>
  <si>
    <t>Kênh N27B</t>
  </si>
  <si>
    <t>Kênh N28</t>
  </si>
  <si>
    <t>Kênh N28-VC1</t>
  </si>
  <si>
    <t>Kênh N28-VC2</t>
  </si>
  <si>
    <t>Kênh N29</t>
  </si>
  <si>
    <t>Kênh N30</t>
  </si>
  <si>
    <t>Kênh N31</t>
  </si>
  <si>
    <t>Kênh N31A</t>
  </si>
  <si>
    <t>Kênh N32</t>
  </si>
  <si>
    <t>Kênh N33</t>
  </si>
  <si>
    <t>Kênh N34</t>
  </si>
  <si>
    <t>Kênh N35</t>
  </si>
  <si>
    <t>Kênh N36</t>
  </si>
  <si>
    <t>Kênh N37</t>
  </si>
  <si>
    <t>Kênh N38</t>
  </si>
  <si>
    <t>T38</t>
  </si>
  <si>
    <t>Kênh N39</t>
  </si>
  <si>
    <t>Kênh N40</t>
  </si>
  <si>
    <t>Kênh N41</t>
  </si>
  <si>
    <t>Kênh N41A</t>
  </si>
  <si>
    <t>Kênh N42</t>
  </si>
  <si>
    <t>Kênh N43</t>
  </si>
  <si>
    <t>Kênh N44</t>
  </si>
  <si>
    <t>Kênh N46</t>
  </si>
  <si>
    <t>Kênh TC2-18</t>
  </si>
  <si>
    <t>Kênh N23A-2</t>
  </si>
  <si>
    <t>Kênh N23A-4</t>
  </si>
  <si>
    <t>Kênh N23A-8</t>
  </si>
  <si>
    <t>Kênh N23A-12</t>
  </si>
  <si>
    <t>Kênh N23A-14</t>
  </si>
  <si>
    <t>Kênh N23A-3</t>
  </si>
  <si>
    <t>Kênh N23A-5</t>
  </si>
  <si>
    <t>Kênh N25-1</t>
  </si>
  <si>
    <t>Kênh N25-2</t>
  </si>
  <si>
    <t>Kênh N25-1A</t>
  </si>
  <si>
    <t>Kênh N25-1B</t>
  </si>
  <si>
    <t>Kênh N25-5</t>
  </si>
  <si>
    <t>Kênh N25-6</t>
  </si>
  <si>
    <t>Kênh N25-7</t>
  </si>
  <si>
    <t>Kênh N25-7A</t>
  </si>
  <si>
    <t>Kênh N25-7B</t>
  </si>
  <si>
    <t>Kênh N25-7C</t>
  </si>
  <si>
    <t>Kênh N25-7D</t>
  </si>
  <si>
    <t>Kênh N25-8</t>
  </si>
  <si>
    <t>Kênh N25-10</t>
  </si>
  <si>
    <t>Kênh N25-12</t>
  </si>
  <si>
    <t>Kênh N25-14</t>
  </si>
  <si>
    <t>Kênh N25-16</t>
  </si>
  <si>
    <t>Kênh N25-18</t>
  </si>
  <si>
    <t>Kênh N25-20B</t>
  </si>
  <si>
    <t>Kênh N25(FSC)</t>
  </si>
  <si>
    <t>Kênh N27-1</t>
  </si>
  <si>
    <t>Kênh N27-3</t>
  </si>
  <si>
    <t>Kênh N27-5</t>
  </si>
  <si>
    <t>Kênh N27-7</t>
  </si>
  <si>
    <t>Kênh N28-1</t>
  </si>
  <si>
    <t>Kênh N28-2</t>
  </si>
  <si>
    <t>Kênh N28-3</t>
  </si>
  <si>
    <t>Kênh N28-4</t>
  </si>
  <si>
    <t>Kênh N29-1</t>
  </si>
  <si>
    <t>Kênh N29-2</t>
  </si>
  <si>
    <t>Kênh N30-1</t>
  </si>
  <si>
    <t>Kênh N30-2</t>
  </si>
  <si>
    <t>Kênh N30-3</t>
  </si>
  <si>
    <t>Kênh N30-4</t>
  </si>
  <si>
    <t>Kênh N31-2</t>
  </si>
  <si>
    <t>Kênh N31-4</t>
  </si>
  <si>
    <t>Kênh N31-6</t>
  </si>
  <si>
    <t>Kênh N31A-1</t>
  </si>
  <si>
    <t>Kênh N31A-3</t>
  </si>
  <si>
    <t>Kênh N31A-3A</t>
  </si>
  <si>
    <t>Kênh N31A-5</t>
  </si>
  <si>
    <t>Kênh N31A-5A</t>
  </si>
  <si>
    <t>Kênh N31A-7</t>
  </si>
  <si>
    <t>Kênh N31A-9A</t>
  </si>
  <si>
    <t>Kênh N31A-9</t>
  </si>
  <si>
    <t>Kênh N31A-11</t>
  </si>
  <si>
    <t>Kênh N31A-13</t>
  </si>
  <si>
    <t>Kênh N31A-15</t>
  </si>
  <si>
    <t>Kênh N31A-17</t>
  </si>
  <si>
    <t>Kênh N31A-23</t>
  </si>
  <si>
    <t>Kênh N31A-27V</t>
  </si>
  <si>
    <t>Kênh N31A-27</t>
  </si>
  <si>
    <t>Kênh N31A-2F</t>
  </si>
  <si>
    <t>Kênh N31A-VC1</t>
  </si>
  <si>
    <t>Kênh N31A-2B</t>
  </si>
  <si>
    <t>Kênh N31A-2C</t>
  </si>
  <si>
    <t>Kênh N31A-2D</t>
  </si>
  <si>
    <t>Kênh N31A-2A</t>
  </si>
  <si>
    <t>Kênh N31A-2</t>
  </si>
  <si>
    <t>Kênh N31A-8</t>
  </si>
  <si>
    <t>Kênh N31A-16</t>
  </si>
  <si>
    <t>Kênh N32-1</t>
  </si>
  <si>
    <t>Kênh N33-1</t>
  </si>
  <si>
    <t>Kênh N33-2</t>
  </si>
  <si>
    <t>Kênh N33-3</t>
  </si>
  <si>
    <t>Kênh N33-4</t>
  </si>
  <si>
    <t>Kênh N33-6</t>
  </si>
  <si>
    <t>Kênh N33-8</t>
  </si>
  <si>
    <t>Kênh N34-1</t>
  </si>
  <si>
    <t>Kênh N34-2</t>
  </si>
  <si>
    <t>Kênh N34-4</t>
  </si>
  <si>
    <t>Kênh N35-4</t>
  </si>
  <si>
    <t>Kênh N35-6</t>
  </si>
  <si>
    <t>Kênh N35-8</t>
  </si>
  <si>
    <t>Kênh N35-10</t>
  </si>
  <si>
    <t>Kênh N35-12</t>
  </si>
  <si>
    <t>Kênh N35-14</t>
  </si>
  <si>
    <t>Kênh N36-1</t>
  </si>
  <si>
    <t>Kênh N36-2</t>
  </si>
  <si>
    <t>Kênh N36-3</t>
  </si>
  <si>
    <t>Kênh N36-4</t>
  </si>
  <si>
    <t>Kênh N36-5</t>
  </si>
  <si>
    <t>Kênh N36-6</t>
  </si>
  <si>
    <t>Kênh N36-8</t>
  </si>
  <si>
    <t>Kênh N36-10</t>
  </si>
  <si>
    <t>Kênh N36-12</t>
  </si>
  <si>
    <t>Kênh N37-2</t>
  </si>
  <si>
    <t>Kênh N37-4</t>
  </si>
  <si>
    <t>Kênh N37-6</t>
  </si>
  <si>
    <t>Kênh N37-8</t>
  </si>
  <si>
    <t>Kênh N38-2A</t>
  </si>
  <si>
    <t>Kênh N38-1</t>
  </si>
  <si>
    <t>Kênh N38-3</t>
  </si>
  <si>
    <t>Kênh N38-5</t>
  </si>
  <si>
    <t>Kênh N38-7B</t>
  </si>
  <si>
    <t>Kênh N38-4A</t>
  </si>
  <si>
    <t>Kênh N38-7A</t>
  </si>
  <si>
    <t>Kênh N38-7</t>
  </si>
  <si>
    <t>Kênh N38-5B</t>
  </si>
  <si>
    <t>Kênh N38-4</t>
  </si>
  <si>
    <t>Kênh N38-9A</t>
  </si>
  <si>
    <t>Kênh N38-9</t>
  </si>
  <si>
    <t>Kênh N38-6A</t>
  </si>
  <si>
    <t>Kênh N38-6</t>
  </si>
  <si>
    <t>Kênh N38-6B</t>
  </si>
  <si>
    <t>Kênh N38-8B</t>
  </si>
  <si>
    <t>Kênh N38-11</t>
  </si>
  <si>
    <t>Kênh N38-8</t>
  </si>
  <si>
    <t>Kênh N38-11B</t>
  </si>
  <si>
    <t>Kênh N39-2</t>
  </si>
  <si>
    <t>Kênh N39-4</t>
  </si>
  <si>
    <t>Kênh N39-6</t>
  </si>
  <si>
    <t>Kênh N40-1</t>
  </si>
  <si>
    <t>Kênh N40-2</t>
  </si>
  <si>
    <t>Kênh N40-4</t>
  </si>
  <si>
    <t>Kênh N41-2</t>
  </si>
  <si>
    <t>Kênh N41-4</t>
  </si>
  <si>
    <t>Kênh N41-6</t>
  </si>
  <si>
    <t>Kênh N41-8</t>
  </si>
  <si>
    <t>Kênh N41-10</t>
  </si>
  <si>
    <t>Kênh N41A-2</t>
  </si>
  <si>
    <t>Kênh N41A-4</t>
  </si>
  <si>
    <t>Kênh N41A-6</t>
  </si>
  <si>
    <t>Kênh N41A-8</t>
  </si>
  <si>
    <t>Kênh N41A-10</t>
  </si>
  <si>
    <t>Kênh N41A-12</t>
  </si>
  <si>
    <t>Kênh N42-2</t>
  </si>
  <si>
    <t>Kênh N42-4</t>
  </si>
  <si>
    <t>Kênh N42-6</t>
  </si>
  <si>
    <t>Kênh N42-8</t>
  </si>
  <si>
    <t>Kênh N42-10</t>
  </si>
  <si>
    <t>Kênh N43-1</t>
  </si>
  <si>
    <t>Kênh N43-2</t>
  </si>
  <si>
    <t>Kênh N43-4</t>
  </si>
  <si>
    <t>Kênh N43-6</t>
  </si>
  <si>
    <t>Kênh N44-3</t>
  </si>
  <si>
    <t>Kênh N44-4</t>
  </si>
  <si>
    <t>Kênh N44-5</t>
  </si>
  <si>
    <t>Kênh N44-6</t>
  </si>
  <si>
    <t>Kênh N44-7</t>
  </si>
  <si>
    <t>Kênh N44-8</t>
  </si>
  <si>
    <t>Kênh N44-9</t>
  </si>
  <si>
    <t>Kênh N46-2</t>
  </si>
  <si>
    <t>Kênh N46-4</t>
  </si>
  <si>
    <t>Kênh N46-6</t>
  </si>
  <si>
    <t>Kênh N46-10</t>
  </si>
  <si>
    <t>Kênh N46-12</t>
  </si>
  <si>
    <t>Kênh N46-1</t>
  </si>
  <si>
    <t>Kênh N46-3</t>
  </si>
  <si>
    <t>Kênh N46-14A</t>
  </si>
  <si>
    <t>Kênh N46-14</t>
  </si>
  <si>
    <t>Kênh N46-16</t>
  </si>
  <si>
    <t>Kênh N46-18</t>
  </si>
  <si>
    <t>Kênh N46-18A</t>
  </si>
  <si>
    <t>Kênh N46-5</t>
  </si>
  <si>
    <t>Kênh N46-7</t>
  </si>
  <si>
    <t>Kênh N23A-2-1</t>
  </si>
  <si>
    <t>Kênh N23A-3-1</t>
  </si>
  <si>
    <t>Kênh N25-2-1</t>
  </si>
  <si>
    <t>Kênh N25-2-1B</t>
  </si>
  <si>
    <t>Kênh N25-2-4</t>
  </si>
  <si>
    <t>Kênh N25-2-3</t>
  </si>
  <si>
    <t>Kênh N25-2-5</t>
  </si>
  <si>
    <t>Kênh N25-2-7</t>
  </si>
  <si>
    <t>Kênh N25-2-8</t>
  </si>
  <si>
    <t>Kênh N25-2-9</t>
  </si>
  <si>
    <t>Kênh N25-2-10</t>
  </si>
  <si>
    <t>Kênh N25-2-11</t>
  </si>
  <si>
    <t>Kênh N25-2-12</t>
  </si>
  <si>
    <t>Kênh N25-2-13</t>
  </si>
  <si>
    <t>Kênh N25-2-14</t>
  </si>
  <si>
    <t>Kênh N25-2-16</t>
  </si>
  <si>
    <t>Kênh N25-2-18</t>
  </si>
  <si>
    <t>Kênh N25-2-20</t>
  </si>
  <si>
    <t>Kênh N25-2-22</t>
  </si>
  <si>
    <t>Kênh N25-2-24</t>
  </si>
  <si>
    <t>Kênh N25-2-26</t>
  </si>
  <si>
    <t>Kênh N25-2-28</t>
  </si>
  <si>
    <t>Kênh N25-2-30</t>
  </si>
  <si>
    <t>Kênh N25-2-32</t>
  </si>
  <si>
    <t>Kênh N25-2-34</t>
  </si>
  <si>
    <t>Kênh N25-2-36</t>
  </si>
  <si>
    <t>Kênh N25-2-38</t>
  </si>
  <si>
    <t>Kênh N25-2-40</t>
  </si>
  <si>
    <t>Kênh N25-2-42</t>
  </si>
  <si>
    <t>Kênh N25-8-4</t>
  </si>
  <si>
    <t>Kênh N25-8-6</t>
  </si>
  <si>
    <t>Kênh N25-8-8</t>
  </si>
  <si>
    <t>Kênh N25-10-2</t>
  </si>
  <si>
    <t>Kênh N25-10-4</t>
  </si>
  <si>
    <t>Kênh N25-10-6</t>
  </si>
  <si>
    <t>Kênh N25-10-8</t>
  </si>
  <si>
    <t>Kênh N25-14-2</t>
  </si>
  <si>
    <t>Kênh N25-14-1</t>
  </si>
  <si>
    <t>Kênh N25-14-3</t>
  </si>
  <si>
    <t>Kênh N25-14-5</t>
  </si>
  <si>
    <t>Kênh N25-14-7</t>
  </si>
  <si>
    <t>Kênh N25-16-2TM</t>
  </si>
  <si>
    <t>Kênh N25-16-1</t>
  </si>
  <si>
    <t>Kênh N25-16-2</t>
  </si>
  <si>
    <t>Kênh N25-16-3</t>
  </si>
  <si>
    <t>Kênh N25-16-4</t>
  </si>
  <si>
    <t>Kênh N25-16-5</t>
  </si>
  <si>
    <t>Kênh N25-16-6</t>
  </si>
  <si>
    <t>Kênh N25-16-7</t>
  </si>
  <si>
    <t>Kênh N25-16-8</t>
  </si>
  <si>
    <t>Kênh N25-16-9</t>
  </si>
  <si>
    <t>Kênh N25-16-10</t>
  </si>
  <si>
    <t>Kênh N25-18-2</t>
  </si>
  <si>
    <t>Kênh N25-18-4</t>
  </si>
  <si>
    <t>Kênh N25-18-6</t>
  </si>
  <si>
    <t>Kênh N25-18-6A</t>
  </si>
  <si>
    <t>Kênh N25-18-8</t>
  </si>
  <si>
    <t>Kênh N25-18-8A</t>
  </si>
  <si>
    <t>Kênh N25-7-2</t>
  </si>
  <si>
    <t>Kênh N25-7-6</t>
  </si>
  <si>
    <t>Kênh N25-7-8</t>
  </si>
  <si>
    <t>Kênh N25-7-10</t>
  </si>
  <si>
    <t>Kênh N25-7A-1</t>
  </si>
  <si>
    <t>Kênh N25-7C-1</t>
  </si>
  <si>
    <t>Kênh N25-7B-1</t>
  </si>
  <si>
    <t>Kênh N25-7B-3</t>
  </si>
  <si>
    <t>Kênh N25-7B-5</t>
  </si>
  <si>
    <t>Kênh N25-7B-7</t>
  </si>
  <si>
    <t>Kênh N25-7B-7KD</t>
  </si>
  <si>
    <t>Kênh N28-1-1</t>
  </si>
  <si>
    <t>Kênh N28-VC1-1</t>
  </si>
  <si>
    <t>Kênh N28-VC1-2</t>
  </si>
  <si>
    <t>Kênh N29-2-1</t>
  </si>
  <si>
    <t>Kênh N29-2-2</t>
  </si>
  <si>
    <t>Kênh N29-2-3</t>
  </si>
  <si>
    <t>Kênh N29-2-4</t>
  </si>
  <si>
    <t>Kênh N29-2-5</t>
  </si>
  <si>
    <t>Kênh N29-2-6</t>
  </si>
  <si>
    <t>Kênh N29-2-8</t>
  </si>
  <si>
    <t>Kênh N29-2-10</t>
  </si>
  <si>
    <t>Kênh N31A-7-1</t>
  </si>
  <si>
    <t>Kênh N31A-9A-1</t>
  </si>
  <si>
    <t>Kênh N31A-9-4</t>
  </si>
  <si>
    <t>Kênh N31A-11-1</t>
  </si>
  <si>
    <t>Kênh N31A-17-2A</t>
  </si>
  <si>
    <t>Kênh N31A-17-2B</t>
  </si>
  <si>
    <t>Kênh N31A-17-4</t>
  </si>
  <si>
    <t>Kênh N31A-17-6</t>
  </si>
  <si>
    <t>Kênh N31A-17-8</t>
  </si>
  <si>
    <t>Kênh N31A-27-1</t>
  </si>
  <si>
    <t>Kênh N31A-27-2</t>
  </si>
  <si>
    <t>Kênh N31A-27-3</t>
  </si>
  <si>
    <t>Kênh N31A-27-4</t>
  </si>
  <si>
    <t>Kênh N31A-27-5</t>
  </si>
  <si>
    <t>Kênh N31A-27-6</t>
  </si>
  <si>
    <t>Kênh N31A-27-8</t>
  </si>
  <si>
    <t>Kênh N31A-27-9</t>
  </si>
  <si>
    <t>Kênh N31A-2C-1</t>
  </si>
  <si>
    <t>Kênh N31A-2C-2</t>
  </si>
  <si>
    <t>Kênh N31A-2-2</t>
  </si>
  <si>
    <t>Kênh N31A-2-4</t>
  </si>
  <si>
    <t>Kênh N31A-14-3</t>
  </si>
  <si>
    <t>Kênh N31A-14</t>
  </si>
  <si>
    <t>Kênh N33-2-1</t>
  </si>
  <si>
    <t>Kênh N33-2-2</t>
  </si>
  <si>
    <t>Kênh N33-2-3</t>
  </si>
  <si>
    <t>Kênh N33-2-4</t>
  </si>
  <si>
    <t>Kênh N33-2-5</t>
  </si>
  <si>
    <t>Kênh N33-2-6</t>
  </si>
  <si>
    <t>Kênh N33-2-8</t>
  </si>
  <si>
    <t>Kênh N36-2-3</t>
  </si>
  <si>
    <t>Kênh N36-2-5</t>
  </si>
  <si>
    <t>Kênh N38-2A-1</t>
  </si>
  <si>
    <t>Kênh N38-2A-2</t>
  </si>
  <si>
    <t>Kênh N38-2A-3</t>
  </si>
  <si>
    <t>Kênh N38-2A-4</t>
  </si>
  <si>
    <t>Kênh N38-2A-8</t>
  </si>
  <si>
    <t>Kênh N38-2A-10</t>
  </si>
  <si>
    <t>Kênh N38-4-1</t>
  </si>
  <si>
    <t>Kênh N38-4-2</t>
  </si>
  <si>
    <t>Kênh N38-4-3</t>
  </si>
  <si>
    <t>Kênh N38-4-4</t>
  </si>
  <si>
    <t>Kênh N38-6A-1</t>
  </si>
  <si>
    <t>Kênh N38-6A-2</t>
  </si>
  <si>
    <t>Kênh N38-6-1</t>
  </si>
  <si>
    <t>Kênh N38-6-2</t>
  </si>
  <si>
    <t>Kênh N38-6-3</t>
  </si>
  <si>
    <t>Kênh N38-6-4</t>
  </si>
  <si>
    <t>Kênh N38-6-6</t>
  </si>
  <si>
    <t>Kênh N38-8-1</t>
  </si>
  <si>
    <t>Kênh N38-8-2</t>
  </si>
  <si>
    <t>Kênh N38-8-3</t>
  </si>
  <si>
    <t>Kênh N38-8-4</t>
  </si>
  <si>
    <t>Kênh N38-1-2</t>
  </si>
  <si>
    <t>Kênh N38-1-4</t>
  </si>
  <si>
    <t>Kênh N38-5-1</t>
  </si>
  <si>
    <t>Kênh N38-5-3</t>
  </si>
  <si>
    <t>Kênh N38-5-5</t>
  </si>
  <si>
    <t>Kênh N38-5A</t>
  </si>
  <si>
    <t>Kênh N38-5-11</t>
  </si>
  <si>
    <t>Kênh N38-5A-2</t>
  </si>
  <si>
    <t>Kênh N38-5A-4</t>
  </si>
  <si>
    <t>Kênh N38-5A-6</t>
  </si>
  <si>
    <t>Kênh N38-7A-1</t>
  </si>
  <si>
    <t>Kênh N38-7A-3</t>
  </si>
  <si>
    <t>Kênh N38-7-3</t>
  </si>
  <si>
    <t>Kênh N38-7-5</t>
  </si>
  <si>
    <t>Kênh N38-7-7A</t>
  </si>
  <si>
    <t>Kênh N38-7-7</t>
  </si>
  <si>
    <t>Kênh N38-7-9</t>
  </si>
  <si>
    <t>Kênh N38-7-11</t>
  </si>
  <si>
    <t>Kênh N38-7-13</t>
  </si>
  <si>
    <t>Kênh N38-11-1</t>
  </si>
  <si>
    <t>Kênh N38-11-2</t>
  </si>
  <si>
    <t>Kênh N38-11-3</t>
  </si>
  <si>
    <t>Kênh N38-11-4</t>
  </si>
  <si>
    <t>Kênh N38-11B-1</t>
  </si>
  <si>
    <t>Kênh N38-11B-3</t>
  </si>
  <si>
    <t>Kênh N39-2-1</t>
  </si>
  <si>
    <t>Kênh N39-2-3</t>
  </si>
  <si>
    <t>Kênh N39-2-5</t>
  </si>
  <si>
    <t>Kênh N39-2-7</t>
  </si>
  <si>
    <t>Kênh N39-4-2</t>
  </si>
  <si>
    <t>Kênh N39-4-4</t>
  </si>
  <si>
    <t>Kênh N39-4-6</t>
  </si>
  <si>
    <t>Kênh N40-1-1</t>
  </si>
  <si>
    <t>Kênh N40-4-1</t>
  </si>
  <si>
    <t>Kênh N40-4-3</t>
  </si>
  <si>
    <t>Kênh N41A-12-1</t>
  </si>
  <si>
    <t>Kênh N41A-12-3</t>
  </si>
  <si>
    <t>Kênh N43-1-1</t>
  </si>
  <si>
    <t>Kênh N43-1-3</t>
  </si>
  <si>
    <t>Kênh N43-1-4</t>
  </si>
  <si>
    <t>Kênh N43-1-5</t>
  </si>
  <si>
    <t>Kênh N43-1-6</t>
  </si>
  <si>
    <t>Kênh N43-1-7</t>
  </si>
  <si>
    <t>Kênh N43-1-8</t>
  </si>
  <si>
    <t>Kênh N43-2-2</t>
  </si>
  <si>
    <t>Kênh N43-2-4</t>
  </si>
  <si>
    <t>Kênh N43-2-6</t>
  </si>
  <si>
    <t>Kênh N43-2-8</t>
  </si>
  <si>
    <t>Kênh N43-4-2</t>
  </si>
  <si>
    <t>Kênh N43-4-4</t>
  </si>
  <si>
    <t>Kênh N43-4-6</t>
  </si>
  <si>
    <t>Kênh N43-4-8</t>
  </si>
  <si>
    <t>Kênh N43-6-2</t>
  </si>
  <si>
    <t>Kênh N43-6-4</t>
  </si>
  <si>
    <t>Kênh N43-6-6</t>
  </si>
  <si>
    <t>Kênh N43-6-8</t>
  </si>
  <si>
    <t>Kênh N46-2-1</t>
  </si>
  <si>
    <t>Kênh N46-2-3</t>
  </si>
  <si>
    <t>Kênh N46-2-5</t>
  </si>
  <si>
    <t>Kênh N46-4-1</t>
  </si>
  <si>
    <t>Kênh N46-4-3</t>
  </si>
  <si>
    <t>Kênh N46-4-5</t>
  </si>
  <si>
    <t>Kênh N46-4-7</t>
  </si>
  <si>
    <t>Kênh N46-6-2</t>
  </si>
  <si>
    <t>Kênh N46-6-1</t>
  </si>
  <si>
    <t>Kênh N46-6-3</t>
  </si>
  <si>
    <t>Kênh N46-6-5</t>
  </si>
  <si>
    <t>Kênh N46-6-4</t>
  </si>
  <si>
    <t>Kênh N46-10-1</t>
  </si>
  <si>
    <t>Kênh N46-10-2</t>
  </si>
  <si>
    <t>Kênh N46-10-4</t>
  </si>
  <si>
    <t>Kênh N46-12-3</t>
  </si>
  <si>
    <t>Kênh N46-12-5</t>
  </si>
  <si>
    <t>Kênh N46-14-2</t>
  </si>
  <si>
    <t>Kênh N46-14-4</t>
  </si>
  <si>
    <t>Kênh N46-14-6</t>
  </si>
  <si>
    <t>Kênh N46-14-8</t>
  </si>
  <si>
    <t>Kênh N46-16-6</t>
  </si>
  <si>
    <t>Kênh N46-18-2</t>
  </si>
  <si>
    <t>Kênh N46-18-4</t>
  </si>
  <si>
    <t>Kênh N46-18-6</t>
  </si>
  <si>
    <t>Kênh N25-2-1B-2</t>
  </si>
  <si>
    <t>Kênh N25-2-1B-4</t>
  </si>
  <si>
    <t>Kênh N25-2-1B-1</t>
  </si>
  <si>
    <t>Kênh N25-2-4-1</t>
  </si>
  <si>
    <t>Kênh N25-2-4-3</t>
  </si>
  <si>
    <t>Kênh N25-2-4-2</t>
  </si>
  <si>
    <t>Kênh N25-2-1-1</t>
  </si>
  <si>
    <t>Kênh N25-2-1-3</t>
  </si>
  <si>
    <t>Kênh N25-2-1-5</t>
  </si>
  <si>
    <t>Kênh N25-2-1-7</t>
  </si>
  <si>
    <t>Kênh N25-2-1-9</t>
  </si>
  <si>
    <t>Kênh N25-2-1-2</t>
  </si>
  <si>
    <t>Kênh N25-2-1-4</t>
  </si>
  <si>
    <t>Kênh N25-2-3-2</t>
  </si>
  <si>
    <t>Kênh N25-2-3-4</t>
  </si>
  <si>
    <t>Kênh N25-2-3-6</t>
  </si>
  <si>
    <t>Kênh N25-2-3-8</t>
  </si>
  <si>
    <t>Kênh N25-2-3-1</t>
  </si>
  <si>
    <t>Kênh N25-2-3-3</t>
  </si>
  <si>
    <t>Kênh N25-2-5-3</t>
  </si>
  <si>
    <t>Kênh N25-2-5-5</t>
  </si>
  <si>
    <t>Kênh N25-2-12-1</t>
  </si>
  <si>
    <t>Kênh N25-2-12-3</t>
  </si>
  <si>
    <t>Kênh N25-2-12-5</t>
  </si>
  <si>
    <t>Kênh N25-2-12-7</t>
  </si>
  <si>
    <t>Kênh N25-2-12-9</t>
  </si>
  <si>
    <t>Kênh N25-2-14-1</t>
  </si>
  <si>
    <t>Kênh N25-2-14-3</t>
  </si>
  <si>
    <t>Kênh N25-2-14-5</t>
  </si>
  <si>
    <t>Kênh N25-2-14-7</t>
  </si>
  <si>
    <t>Kênh N25-2-14-9</t>
  </si>
  <si>
    <t>Kênh N25-2-7-4</t>
  </si>
  <si>
    <t>Kênh N25-2-7-6</t>
  </si>
  <si>
    <t>Kênh N25-2-34-1</t>
  </si>
  <si>
    <t>Kênh N25-2-9-2</t>
  </si>
  <si>
    <t>Kênh N25-2-42-1</t>
  </si>
  <si>
    <t>Kênh N25-2-42-3</t>
  </si>
  <si>
    <t>Kênh N25-2-42-2</t>
  </si>
  <si>
    <t>Kênh N25-2-9-2-1</t>
  </si>
  <si>
    <t>Kênh N25-2-9-2-3</t>
  </si>
  <si>
    <t>Kênh N25-2-9-2-5</t>
  </si>
  <si>
    <t>Kênh N25-8-4-2</t>
  </si>
  <si>
    <t>Kênh N25-8-4-1</t>
  </si>
  <si>
    <t>Kênh N25-14-7-2</t>
  </si>
  <si>
    <t>Kênh N25-16-2-1</t>
  </si>
  <si>
    <t>Kênh N25-7-2-2</t>
  </si>
  <si>
    <t>Kênh N25-7A-1-1</t>
  </si>
  <si>
    <t>Kênh N25-7B-1-1</t>
  </si>
  <si>
    <t>Kênh N25-7B-1-3</t>
  </si>
  <si>
    <t>Kênh N25-18-2-1</t>
  </si>
  <si>
    <t>Kênh N25-18-2-2</t>
  </si>
  <si>
    <t>Kênh N25-18-2-3</t>
  </si>
  <si>
    <t>Kênh N25-18-2-4</t>
  </si>
  <si>
    <t>Kênh N25-18-2-5</t>
  </si>
  <si>
    <t>Kênh N25-18-2-6</t>
  </si>
  <si>
    <t>Kênh N25-18-2-7</t>
  </si>
  <si>
    <t>Kênh N25-18-2-8</t>
  </si>
  <si>
    <t>Kênh N25-18-2-9</t>
  </si>
  <si>
    <t>Kênh N25-18-2-10</t>
  </si>
  <si>
    <t>Kênh N25-18-2-11</t>
  </si>
  <si>
    <t>Kênh N25-18-2-13</t>
  </si>
  <si>
    <t>Kênh N25-18-6-1</t>
  </si>
  <si>
    <t>Kênh N25-18-6-3</t>
  </si>
  <si>
    <t>Kênh N38-2A-10-1</t>
  </si>
  <si>
    <t>Kênh N38-1-2-1</t>
  </si>
  <si>
    <t>Kênh N38-1-4-2</t>
  </si>
  <si>
    <t>Kênh N38-5-1-1</t>
  </si>
  <si>
    <t>Kênh N38-5-1-2</t>
  </si>
  <si>
    <t>Kênh N39-2-1-2</t>
  </si>
  <si>
    <t>Kênh N39-2-1-4</t>
  </si>
  <si>
    <t>Kênh N39-2-1-6</t>
  </si>
  <si>
    <t>Kênh N39-2-1-8</t>
  </si>
  <si>
    <t>Kênh N39-2-3-2</t>
  </si>
  <si>
    <t>Kênh N39-2-3-4</t>
  </si>
  <si>
    <t>Kênh N39-2-3-6</t>
  </si>
  <si>
    <t>Kênh N39-2-3-8</t>
  </si>
  <si>
    <t>Kênh N39-2-5-2</t>
  </si>
  <si>
    <t>Kênh N39-2-5-4</t>
  </si>
  <si>
    <t>Kênh N39-2-5-6</t>
  </si>
  <si>
    <t>Kênh N39-2-7-2</t>
  </si>
  <si>
    <t>Kênh N39-2-7-4</t>
  </si>
  <si>
    <t>Kênh N43-1-7-1</t>
  </si>
  <si>
    <t>Kênh N46-2-1-1</t>
  </si>
  <si>
    <t>Kênh N46-2-1-2</t>
  </si>
  <si>
    <t>Kênh N46-2-1-4</t>
  </si>
  <si>
    <t>Kênh N46-2-5-2</t>
  </si>
  <si>
    <t>Kênh N46-2-5-4</t>
  </si>
  <si>
    <t>Kênh N46-2-1-2-1</t>
  </si>
  <si>
    <t>T23A-6</t>
  </si>
  <si>
    <t>T23A-10</t>
  </si>
  <si>
    <t>T23A-12</t>
  </si>
  <si>
    <t>T25</t>
  </si>
  <si>
    <t>T25-2-12</t>
  </si>
  <si>
    <t>T25-2-14</t>
  </si>
  <si>
    <t>T25-2-14A</t>
  </si>
  <si>
    <t>T25-2-20</t>
  </si>
  <si>
    <t>T25-2-3</t>
  </si>
  <si>
    <t>T25-2-5</t>
  </si>
  <si>
    <t>T25-7B</t>
  </si>
  <si>
    <t>T25-10</t>
  </si>
  <si>
    <t>T25-14</t>
  </si>
  <si>
    <t>T25-16</t>
  </si>
  <si>
    <t>T25-18</t>
  </si>
  <si>
    <t>T25-20B</t>
  </si>
  <si>
    <t>T31A</t>
  </si>
  <si>
    <t>T31A-1</t>
  </si>
  <si>
    <t>T31A-2</t>
  </si>
  <si>
    <t>T31A-4</t>
  </si>
  <si>
    <t>N31A-9</t>
  </si>
  <si>
    <t>T31A-11</t>
  </si>
  <si>
    <t>T31A-23</t>
  </si>
  <si>
    <t>T31A-25A</t>
  </si>
  <si>
    <t>T31A-27A</t>
  </si>
  <si>
    <t>T31A-27</t>
  </si>
  <si>
    <t>T33-4</t>
  </si>
  <si>
    <t>T35</t>
  </si>
  <si>
    <t>T36</t>
  </si>
  <si>
    <t>T36-2</t>
  </si>
  <si>
    <t>T37</t>
  </si>
  <si>
    <t>Kênh tiêu T38</t>
  </si>
  <si>
    <t>Ấp Phú Mỹ</t>
  </si>
  <si>
    <t>T38-1</t>
  </si>
  <si>
    <t>T38-2-1</t>
  </si>
  <si>
    <t>Kênh N38-2</t>
  </si>
  <si>
    <t>T38-6</t>
  </si>
  <si>
    <t>T39</t>
  </si>
  <si>
    <t>T40</t>
  </si>
  <si>
    <t>T42</t>
  </si>
  <si>
    <t>T41</t>
  </si>
  <si>
    <t>T43-4</t>
  </si>
  <si>
    <t>T43-1-8</t>
  </si>
  <si>
    <t>T43KD</t>
  </si>
  <si>
    <t>Tiêu Bàu Da</t>
  </si>
  <si>
    <t>K3 kênh N25</t>
  </si>
  <si>
    <t>Tiêu Hương lộ 2</t>
  </si>
  <si>
    <t>Rạch Bầu Trâm</t>
  </si>
  <si>
    <t>kênh tiêu Quyết Thắng xã Trung Lập Thượng</t>
  </si>
  <si>
    <t>Tiêu Mũi Côn Đại</t>
  </si>
  <si>
    <t>Tiêu Suối Sâu</t>
  </si>
  <si>
    <t>Quốc Lộ 22</t>
  </si>
  <si>
    <t>Tiêu Rọc Mía</t>
  </si>
  <si>
    <t>Tiêu Quảng Việt</t>
  </si>
  <si>
    <t>Đường Quãng Việt</t>
  </si>
  <si>
    <t>K6 kênh N46</t>
  </si>
  <si>
    <t>Tiêu cống Nước Nhĩ</t>
  </si>
  <si>
    <t>Tiêu Bàu Trâm</t>
  </si>
  <si>
    <t>ấp Ba Sa</t>
  </si>
  <si>
    <t>kênh tiêu Quyết Thắng xã Phước Hiệp</t>
  </si>
  <si>
    <t>Tiêu Lò Muối</t>
  </si>
  <si>
    <t>Tỉnh Lộ 8</t>
  </si>
  <si>
    <t>Tiêu Bàu Đá</t>
  </si>
  <si>
    <t>Hương Lộ 2</t>
  </si>
  <si>
    <t>Rạch Hố Bò (T8)</t>
  </si>
  <si>
    <t>Đường Nguyễn Thị Rành</t>
  </si>
  <si>
    <t>Tỉnh Lộ 15</t>
  </si>
  <si>
    <t>NT2</t>
  </si>
  <si>
    <t>NT3</t>
  </si>
  <si>
    <t>NT4</t>
  </si>
  <si>
    <t>NT5</t>
  </si>
  <si>
    <t>NT6</t>
  </si>
  <si>
    <t>NT7</t>
  </si>
  <si>
    <t>NT8</t>
  </si>
  <si>
    <t>NT9</t>
  </si>
  <si>
    <t>NT10</t>
  </si>
  <si>
    <t>NT11</t>
  </si>
  <si>
    <t>NT12</t>
  </si>
  <si>
    <t>NT13</t>
  </si>
  <si>
    <t>NT14</t>
  </si>
  <si>
    <t>NT14A</t>
  </si>
  <si>
    <t>NT15</t>
  </si>
  <si>
    <t>NT15A</t>
  </si>
  <si>
    <t>NT15B</t>
  </si>
  <si>
    <t>NT16</t>
  </si>
  <si>
    <t>R. T8-9</t>
  </si>
  <si>
    <t>Rạch T8</t>
  </si>
  <si>
    <t>R. T8-10</t>
  </si>
  <si>
    <t>T4-2</t>
  </si>
  <si>
    <t>T1-1</t>
  </si>
  <si>
    <t>Kênh NT1</t>
  </si>
  <si>
    <t>T2-1</t>
  </si>
  <si>
    <t>Kênh NT2</t>
  </si>
  <si>
    <t>T2-2</t>
  </si>
  <si>
    <t>T2-3</t>
  </si>
  <si>
    <t>T2-4</t>
  </si>
  <si>
    <t>T3-1</t>
  </si>
  <si>
    <t>T3-2</t>
  </si>
  <si>
    <t>T3-3</t>
  </si>
  <si>
    <t>T4-1</t>
  </si>
  <si>
    <t>T4-3</t>
  </si>
  <si>
    <t>T4-4</t>
  </si>
  <si>
    <t>T5-1</t>
  </si>
  <si>
    <t>T5-2</t>
  </si>
  <si>
    <t>T5-3</t>
  </si>
  <si>
    <t>T6-1</t>
  </si>
  <si>
    <t>T6-2</t>
  </si>
  <si>
    <t>T6-3</t>
  </si>
  <si>
    <t>T6-4</t>
  </si>
  <si>
    <t>T7-1</t>
  </si>
  <si>
    <t>T7-2</t>
  </si>
  <si>
    <t>T7-3</t>
  </si>
  <si>
    <t>T7-4</t>
  </si>
  <si>
    <t>T8-1</t>
  </si>
  <si>
    <t>T8-2</t>
  </si>
  <si>
    <t>T8-3</t>
  </si>
  <si>
    <t>T8-4</t>
  </si>
  <si>
    <t>T8-5</t>
  </si>
  <si>
    <t>T8-6</t>
  </si>
  <si>
    <t>T9-1</t>
  </si>
  <si>
    <t>T9-2</t>
  </si>
  <si>
    <t>T9-3</t>
  </si>
  <si>
    <t>T9-4</t>
  </si>
  <si>
    <t>T9-5</t>
  </si>
  <si>
    <t>NT2-2</t>
  </si>
  <si>
    <t>NT2-4</t>
  </si>
  <si>
    <t>NT3-2</t>
  </si>
  <si>
    <t>NT4-2</t>
  </si>
  <si>
    <t>NT6-1</t>
  </si>
  <si>
    <t>NT6-2</t>
  </si>
  <si>
    <t>NT6-4</t>
  </si>
  <si>
    <t>NT6-6</t>
  </si>
  <si>
    <t>NT8-1</t>
  </si>
  <si>
    <t>NT8-2</t>
  </si>
  <si>
    <t>NT8-3</t>
  </si>
  <si>
    <t>NT8-4</t>
  </si>
  <si>
    <t>NT9-1</t>
  </si>
  <si>
    <t>NT9-2</t>
  </si>
  <si>
    <t>NT9-3</t>
  </si>
  <si>
    <t>NT9-4</t>
  </si>
  <si>
    <t>NT9-5</t>
  </si>
  <si>
    <t>NT10-1</t>
  </si>
  <si>
    <t>Kênh NT10</t>
  </si>
  <si>
    <t>NT10-2</t>
  </si>
  <si>
    <t>NT10-3</t>
  </si>
  <si>
    <t>NT10-4</t>
  </si>
  <si>
    <t>NT10-5</t>
  </si>
  <si>
    <t>NT11-1</t>
  </si>
  <si>
    <t>Kênh NT11</t>
  </si>
  <si>
    <t>NT11-2</t>
  </si>
  <si>
    <t>NT11-3</t>
  </si>
  <si>
    <t>NT12-1</t>
  </si>
  <si>
    <t>Kênh NT12</t>
  </si>
  <si>
    <t>NT12-2</t>
  </si>
  <si>
    <t>NT12-4</t>
  </si>
  <si>
    <t>NT13-1</t>
  </si>
  <si>
    <t>Kênh NT13</t>
  </si>
  <si>
    <t>NT13-2</t>
  </si>
  <si>
    <t>NT14-1</t>
  </si>
  <si>
    <t>Kênh NT14</t>
  </si>
  <si>
    <t>NT14-2</t>
  </si>
  <si>
    <t>NT14-3</t>
  </si>
  <si>
    <t>NT14-4</t>
  </si>
  <si>
    <t>NT14-6</t>
  </si>
  <si>
    <t>NT14A-2</t>
  </si>
  <si>
    <t>Kênh NT14A</t>
  </si>
  <si>
    <t>NT14A-4</t>
  </si>
  <si>
    <t>NT14A-6</t>
  </si>
  <si>
    <t>NT15A-1</t>
  </si>
  <si>
    <t>Kênh NT15A</t>
  </si>
  <si>
    <t>NT15-2</t>
  </si>
  <si>
    <t>Kênh NT15</t>
  </si>
  <si>
    <t>NT15-4</t>
  </si>
  <si>
    <t>NT15-6</t>
  </si>
  <si>
    <t>NT16-1</t>
  </si>
  <si>
    <t>Kênh NT16</t>
  </si>
  <si>
    <t>NT16-2</t>
  </si>
  <si>
    <t>T9-3-1</t>
  </si>
  <si>
    <t>T9-3-3</t>
  </si>
  <si>
    <t>T9-3-5</t>
  </si>
  <si>
    <t>T4-2-2</t>
  </si>
  <si>
    <t>T4-2-4</t>
  </si>
  <si>
    <t>Kênh B1</t>
  </si>
  <si>
    <t>Rạch Bà Bếp</t>
  </si>
  <si>
    <t>Kênh B3</t>
  </si>
  <si>
    <t>Kênh B7</t>
  </si>
  <si>
    <t>Rạch Cây Xanh</t>
  </si>
  <si>
    <t>Kênh C1a</t>
  </si>
  <si>
    <t>Kênh C2a</t>
  </si>
  <si>
    <t>Kênh C3a</t>
  </si>
  <si>
    <t>Kênh C7</t>
  </si>
  <si>
    <t>Kênh C8a</t>
  </si>
  <si>
    <t>Rạch Đường Xuồng</t>
  </si>
  <si>
    <t>Kênh T1A</t>
  </si>
  <si>
    <t>Kênh Địa phận</t>
  </si>
  <si>
    <t>Kênh T1B</t>
  </si>
  <si>
    <t xml:space="preserve"> Kênh TĐĐ1</t>
  </si>
  <si>
    <t xml:space="preserve"> Kênh TĐĐ2</t>
  </si>
  <si>
    <t xml:space="preserve"> Kênh TĐĐ3</t>
  </si>
  <si>
    <t xml:space="preserve"> Kênh TĐĐ4</t>
  </si>
  <si>
    <t xml:space="preserve"> Kênh TĐĐ5</t>
  </si>
  <si>
    <t xml:space="preserve"> Kênh TĐĐ6</t>
  </si>
  <si>
    <t xml:space="preserve"> Kênh TĐĐ6A</t>
  </si>
  <si>
    <t xml:space="preserve"> Kênh TĐĐ6B</t>
  </si>
  <si>
    <t xml:space="preserve"> Kênh TĐĐ7</t>
  </si>
  <si>
    <t xml:space="preserve"> Kênh TĐĐ8</t>
  </si>
  <si>
    <t xml:space="preserve"> Kênh TĐĐ8A</t>
  </si>
  <si>
    <t xml:space="preserve"> Kênh TĐĐ9</t>
  </si>
  <si>
    <t>Kênh T2 - 12</t>
  </si>
  <si>
    <t>Kênh T2 - 13</t>
  </si>
  <si>
    <t>Kênh T2 - 15</t>
  </si>
  <si>
    <t>Kênh T3 - 3</t>
  </si>
  <si>
    <t>Kênh T3 - 7 và T2 - 8</t>
  </si>
  <si>
    <t>Kênh T3 - 4</t>
  </si>
  <si>
    <t>Kênh T2-2 và T3-1</t>
  </si>
  <si>
    <t>Kênh Thầy Cai</t>
  </si>
  <si>
    <t>Giáp ranh Tây Ninh</t>
  </si>
  <si>
    <t>Kênh TC0</t>
  </si>
  <si>
    <t>Kênh TC1</t>
  </si>
  <si>
    <t>Kênh TC1A</t>
  </si>
  <si>
    <t>Kênh TC2</t>
  </si>
  <si>
    <t>Kênh TC2A</t>
  </si>
  <si>
    <t>Kênh TC3</t>
  </si>
  <si>
    <t>Kênh TC4</t>
  </si>
  <si>
    <t>Kênh TC5</t>
  </si>
  <si>
    <t>Kênh TC5A</t>
  </si>
  <si>
    <t>Kênh TC6</t>
  </si>
  <si>
    <t>Kênh TC7</t>
  </si>
  <si>
    <t>Kênh TC7A</t>
  </si>
  <si>
    <t>Kênh TC8</t>
  </si>
  <si>
    <t>Kênh TC9</t>
  </si>
  <si>
    <t>Kênh TC10</t>
  </si>
  <si>
    <t>Kênh TC11</t>
  </si>
  <si>
    <t>Kênh TC12</t>
  </si>
  <si>
    <t>Kênh TC12A</t>
  </si>
  <si>
    <t>Kênh TC13</t>
  </si>
  <si>
    <t>Kênh TC14</t>
  </si>
  <si>
    <t>Kênh TC15</t>
  </si>
  <si>
    <t>Kênh TC16</t>
  </si>
  <si>
    <t>Kênh TC17</t>
  </si>
  <si>
    <t>Kênh TC18</t>
  </si>
  <si>
    <t>Kênh TC18A</t>
  </si>
  <si>
    <t>Kênh Tiêu Quyết Thắng</t>
  </si>
  <si>
    <t xml:space="preserve">Bờ kênh Đông </t>
  </si>
  <si>
    <t>Giao giữa cầu Quyết 
Thắng và cầu Gia Bẹ</t>
  </si>
  <si>
    <t>Kênh Đức Lập</t>
  </si>
  <si>
    <t>Rạch Bến Mương</t>
  </si>
  <si>
    <t>Kênh T31A-17</t>
  </si>
  <si>
    <t>Rạch láng The</t>
  </si>
  <si>
    <t>Kênh Tiêu T27 (Tiêu)</t>
  </si>
  <si>
    <t>Ấp cây da</t>
  </si>
  <si>
    <t>Kênh Tiêu Bàu Đinh</t>
  </si>
  <si>
    <t>Bàu Đinh</t>
  </si>
  <si>
    <t>Rạch Cầu Sen</t>
  </si>
  <si>
    <t>Kênh Tiêu T6</t>
  </si>
  <si>
    <t>Kênh T 38</t>
  </si>
  <si>
    <t>Kênh Tiêu T4</t>
  </si>
  <si>
    <t>Kênh tiêu T43</t>
  </si>
  <si>
    <t>Nguyễn Thị Rành</t>
  </si>
  <si>
    <t>Kênh tiêu Đức Lập</t>
  </si>
  <si>
    <t xml:space="preserve">Rạch Cầu Sa </t>
  </si>
  <si>
    <t>Rạch Ông Đụng</t>
  </si>
  <si>
    <t>Rạch Cầu Võng</t>
  </si>
  <si>
    <t xml:space="preserve">Rạch Miễu </t>
  </si>
  <si>
    <t>Rạch Rỗng Gòn</t>
  </si>
  <si>
    <t>Rạch Miễu</t>
  </si>
  <si>
    <t>Rạch Cầu Số 3</t>
  </si>
  <si>
    <t>Cầu Võng</t>
  </si>
  <si>
    <t>R Cầu Võng-Cầu Đình</t>
  </si>
  <si>
    <t>Rạch Thai Thai</t>
  </si>
  <si>
    <t>K34 Kênh Đông</t>
  </si>
  <si>
    <t>Rạch Sơn</t>
  </si>
  <si>
    <t>Sông Dương Đa-Rõng Trâu (rạch Đường Xuồng)</t>
  </si>
  <si>
    <t>Ngã ba Cầu Xáng</t>
  </si>
  <si>
    <t>Rạch Dứa - rạch Rữa</t>
  </si>
  <si>
    <t>Dỏng Dài</t>
  </si>
  <si>
    <t>Rạch Bà Mễn</t>
  </si>
  <si>
    <t xml:space="preserve">Sông Rạch Tra </t>
  </si>
  <si>
    <t>Cầu Bà Mễn</t>
  </si>
  <si>
    <t>Rạch Ông Bắc</t>
  </si>
  <si>
    <t>Rạch Đá Hàn</t>
  </si>
  <si>
    <t>Rạch Rõng Gan</t>
  </si>
  <si>
    <t>Rạch Đường Đò</t>
  </si>
  <si>
    <t>Cầu Đổ văn Dậy</t>
  </si>
  <si>
    <t>Rõng Dương Da (Đường Đò)</t>
  </si>
  <si>
    <t xml:space="preserve">Cầu Xáng </t>
  </si>
  <si>
    <t>Ngã tư rạch Rõng Trâu</t>
  </si>
  <si>
    <t>Rạch Bà Phước</t>
  </si>
  <si>
    <t>Đường đất</t>
  </si>
  <si>
    <t>Rạch Bà Hồng 20</t>
  </si>
  <si>
    <t xml:space="preserve">Rạch Bà Mễn </t>
  </si>
  <si>
    <t>Rạch Bà Hồng</t>
  </si>
  <si>
    <t xml:space="preserve">Rạch Bà Hồng </t>
  </si>
  <si>
    <t>Rạch Tra</t>
  </si>
  <si>
    <t xml:space="preserve">Rạch Cây Xanh </t>
  </si>
  <si>
    <t>Sông Rạch Tra</t>
  </si>
  <si>
    <t>Rạch Đá Hàn</t>
  </si>
  <si>
    <t>Đường Võ Văn Bích</t>
  </si>
  <si>
    <t>Đỗ văn Dậy</t>
  </si>
  <si>
    <t>Kênh T1 ( tưới tiêu)</t>
  </si>
  <si>
    <t>Kênh địa phận</t>
  </si>
  <si>
    <t>cuối tuyến</t>
  </si>
  <si>
    <t>Kênh T2 (tưới tiêu)</t>
  </si>
  <si>
    <t>Kênh T3 (tưới tiêu)</t>
  </si>
  <si>
    <t>Kênh T4 (tưới tiêu).</t>
  </si>
  <si>
    <t>Kênh T10 Rỗng Cát (tưới tiêu)</t>
  </si>
  <si>
    <t>Rạch Sóc Tràm</t>
  </si>
  <si>
    <t>Đường Đất</t>
  </si>
  <si>
    <t>Rạch Bò Cạp</t>
  </si>
  <si>
    <t>Đường MTVN</t>
  </si>
  <si>
    <t>Rạch Ông Lỡ</t>
  </si>
  <si>
    <t>Rạch Cây Xoài</t>
  </si>
  <si>
    <t>Rạch Bà Tài</t>
  </si>
  <si>
    <t>Rạch Cầu Đen</t>
  </si>
  <si>
    <t>Rạch Bến Đò</t>
  </si>
  <si>
    <t>Quận 9</t>
  </si>
  <si>
    <t>Nguyễn Xiển</t>
  </si>
  <si>
    <t>Rạch Đường Mương</t>
  </si>
  <si>
    <t>Rạch Giây Giếng</t>
  </si>
  <si>
    <t>Đường Lương Cát</t>
  </si>
  <si>
    <t>Sông Đồng Nai</t>
  </si>
  <si>
    <t>Đường Long Thuận</t>
  </si>
  <si>
    <t>Đường Long Thuận</t>
  </si>
  <si>
    <t>Sông Cây Cấm</t>
  </si>
  <si>
    <t>Rạch Sáu Đêm</t>
  </si>
  <si>
    <t>Rạch Hai Ức - Tư Bếp</t>
  </si>
  <si>
    <t>Rạch Cầu Số 4</t>
  </si>
  <si>
    <t>Rạch Cầu Số 2</t>
  </si>
  <si>
    <t>Rạch Cầu Số 1</t>
  </si>
  <si>
    <t>Rạch Ông Dầm</t>
  </si>
  <si>
    <t>Rạch Bà The</t>
  </si>
  <si>
    <t>Rạch Ba Vinh</t>
  </si>
  <si>
    <t>Rạch Hai Long</t>
  </si>
  <si>
    <t>Rạch Thống Nhất</t>
  </si>
  <si>
    <t>Rạch Tám Trung</t>
  </si>
  <si>
    <t>Rạch Tư Nhiều</t>
  </si>
  <si>
    <t>Rạch Chín Cầm</t>
  </si>
  <si>
    <t>Rạch Ụ Tám Lưới</t>
  </si>
  <si>
    <t>Rạch Ụ Năm Hối</t>
  </si>
  <si>
    <t>Rạch Tư Mao</t>
  </si>
  <si>
    <t>Rạch Đình An Phước</t>
  </si>
  <si>
    <t>Rạch Ụ Bảy Hoảnh</t>
  </si>
  <si>
    <t>Rạch Ụ Lò Đường</t>
  </si>
  <si>
    <t>Rạch Ụ Hai Ngởi</t>
  </si>
  <si>
    <t>Rạch Ụ Sáu Hồng</t>
  </si>
  <si>
    <t>Rạch Ụ Bảy Lẹ</t>
  </si>
  <si>
    <t>Rạch Dương Hà</t>
  </si>
  <si>
    <t>Rạch Ấp Tình</t>
  </si>
  <si>
    <t>Rạch Cầu Đồng</t>
  </si>
  <si>
    <t>Rạch Tám Quỳnh</t>
  </si>
  <si>
    <t>Rạch Cả Rạng</t>
  </si>
  <si>
    <t>Rạch Sáu Trình</t>
  </si>
  <si>
    <t>Rạch Cống Số 4</t>
  </si>
  <si>
    <t>Rạch Cầu Ván Chùa</t>
  </si>
  <si>
    <t>Rạch Cầu Lớn</t>
  </si>
  <si>
    <t>Rạch Bảy Để</t>
  </si>
  <si>
    <t>Rạch Thầy Bảo</t>
  </si>
  <si>
    <t>Cầu Thầy Bảo</t>
  </si>
  <si>
    <t>Rạch Cầu Võ</t>
  </si>
  <si>
    <t>Rạch Lò Than</t>
  </si>
  <si>
    <t>Rạch Tám Chà</t>
  </si>
  <si>
    <t>Rạch Rỗng Nháp</t>
  </si>
  <si>
    <t>Kênh Dừa</t>
  </si>
  <si>
    <t>Đường Bùi Văn Ngữ</t>
  </si>
  <si>
    <t>Rạch Võ Đông Nhì</t>
  </si>
  <si>
    <t>Rạch Thợ Ngựa</t>
  </si>
  <si>
    <t>Rạch Chín Bộ</t>
  </si>
  <si>
    <t>Rạch Võ Tây</t>
  </si>
  <si>
    <t>Rạch Cống Bảy Cá</t>
  </si>
  <si>
    <t>Rạch Tư Mành</t>
  </si>
  <si>
    <t>Rạch Vựa Khạp (ấp 3)</t>
  </si>
  <si>
    <t>Huyện Hóc Môn</t>
  </si>
  <si>
    <t>Rạch Vân Thành (ấp 3)</t>
  </si>
  <si>
    <t>Rạch cầu Cụt (ấp 3)</t>
  </si>
  <si>
    <t>Rạch Ba Khuôn (ấp 3)</t>
  </si>
  <si>
    <t>Rạch Bà Nga(ấp 3)</t>
  </si>
  <si>
    <t>Rạch Ba Cân (ấp 3)</t>
  </si>
  <si>
    <t>Rạch Năm Trị (ấp 4)</t>
  </si>
  <si>
    <t>Rạch Tư Dơn</t>
  </si>
  <si>
    <t>Rạch Bảo Hoàng</t>
  </si>
  <si>
    <t>Rạch Mười Hù (ấp 4)</t>
  </si>
  <si>
    <t>Rạch Bà Ranh</t>
  </si>
  <si>
    <t>Rạch Cầu Võng (ấp 3)</t>
  </si>
  <si>
    <t>Rạch Cầu Võ (ấp 4)</t>
  </si>
  <si>
    <t>Rạch Bà Liễu (ấp 4)</t>
  </si>
  <si>
    <t>Rạch Treo</t>
  </si>
  <si>
    <t>Rạch Năm Lý</t>
  </si>
  <si>
    <t>Rạch Út Dư</t>
  </si>
  <si>
    <t>Rạch cầu Kinh</t>
  </si>
  <si>
    <t>Rạch Cả Truyện</t>
  </si>
  <si>
    <t>Rạch Tư Hứa</t>
  </si>
  <si>
    <t>Rạch Hai Bửu (ấp 4)</t>
  </si>
  <si>
    <t>Rạch Tư Ớt</t>
  </si>
  <si>
    <t>Rạch Bảy Nhị</t>
  </si>
  <si>
    <t>Rạch Bảy Nghị</t>
  </si>
  <si>
    <t>Rạch Mười Mậu</t>
  </si>
  <si>
    <t>Rạch Nhà Lầu</t>
  </si>
  <si>
    <t>Rạch Ông Đẻo</t>
  </si>
  <si>
    <t>Rạch Tư Châu</t>
  </si>
  <si>
    <t>Rạch Nhum</t>
  </si>
  <si>
    <t>Rạch Mười Định</t>
  </si>
  <si>
    <t>Rạch Hai Chấm</t>
  </si>
  <si>
    <t>Rạch Hai Lợi</t>
  </si>
  <si>
    <t>Rạch Hai Tập</t>
  </si>
  <si>
    <t>Rạch Út Chủi</t>
  </si>
  <si>
    <t>Rạch Hai Dể</t>
  </si>
  <si>
    <t>Rạch Ba Lên</t>
  </si>
  <si>
    <t>Rạch Ba Cụt</t>
  </si>
  <si>
    <t>Rạch Ụ Ba Lên</t>
  </si>
  <si>
    <t>Rạch Năm Biều</t>
  </si>
  <si>
    <t xml:space="preserve">Rạch Tra Lớn </t>
  </si>
  <si>
    <t>Rạch Tư Nam</t>
  </si>
  <si>
    <t xml:space="preserve">Rạch B Mễn </t>
  </si>
  <si>
    <t>Rạch Cả Cản</t>
  </si>
  <si>
    <t>Rạch cầu Khởi</t>
  </si>
  <si>
    <t>Rạch Bà Hồng 21</t>
  </si>
  <si>
    <t>rạch Rỗng Gòn</t>
  </si>
  <si>
    <t>Rạch Bà Vốn</t>
  </si>
  <si>
    <t>Rạch Tư Hía</t>
  </si>
  <si>
    <t>Rạch Ba Y</t>
  </si>
  <si>
    <t>Rạch Hai Ngàn</t>
  </si>
  <si>
    <t>Rạch Ba Cân</t>
  </si>
  <si>
    <t>Rạch Tám Chấn</t>
  </si>
  <si>
    <t>Rạch Bờ Đê</t>
  </si>
  <si>
    <t>Rạch Nhà Vuông</t>
  </si>
  <si>
    <t>Rạch Mười Đờn</t>
  </si>
  <si>
    <t>cầu Võng</t>
  </si>
  <si>
    <t>Rạch Ba Diên</t>
  </si>
  <si>
    <t>Rạch Út Hoàng</t>
  </si>
  <si>
    <t>Từ sông Sài Gòn</t>
  </si>
  <si>
    <t xml:space="preserve"> rạch Rỗng Gòn</t>
  </si>
  <si>
    <t>Từ rạch Bà Hồng</t>
  </si>
  <si>
    <t xml:space="preserve">Từ Rạch Tra </t>
  </si>
  <si>
    <t>Rạch rỗng Gò Trại</t>
  </si>
  <si>
    <t>Từ rạch Hóc Môn</t>
  </si>
  <si>
    <t>Từ bến Bà May</t>
  </si>
  <si>
    <t xml:space="preserve">Từ rạch Bà May </t>
  </si>
  <si>
    <t>Từ rạch Bến Lội</t>
  </si>
  <si>
    <t>Rạch Hai Bửu (ấp 3)</t>
  </si>
  <si>
    <t>Rạch rỗng Giữa(ấp 3)</t>
  </si>
  <si>
    <t>Nhánh Rạch Bà Mễn (ấp 3)</t>
  </si>
  <si>
    <t>Rạch Bến Đá (ấp 4)</t>
  </si>
  <si>
    <t>Nhánh Rạch Bến Đá 1 (ấp 4)</t>
  </si>
  <si>
    <t>Từ rạch Bến Đá</t>
  </si>
  <si>
    <t>Nhánh Rạch Bến Đá 2 (ấp 4)</t>
  </si>
  <si>
    <t xml:space="preserve"> Rạch Cầu Dừa</t>
  </si>
  <si>
    <t>Rạch Đấu Cùi (ấp 4)</t>
  </si>
  <si>
    <t>Nhánh rạch cầu Dừa 1 (ấp 4)</t>
  </si>
  <si>
    <t>Từ rạch Cầu Dừa</t>
  </si>
  <si>
    <t>Nhánh rạch cầu Dừa 2 (ấp 4)</t>
  </si>
  <si>
    <t>Từ Rạch Hóc Môn</t>
  </si>
  <si>
    <t>Kênh T2, ấp Trung Đông</t>
  </si>
  <si>
    <t>Kênh T3, ấp Trung Đông</t>
  </si>
  <si>
    <t>Rỗng Ba Hiệp, ấp Trung Đông</t>
  </si>
  <si>
    <t>Kênh T5, ấp Trung Đông</t>
  </si>
  <si>
    <t>Kênh T6, ấp Trung Đông</t>
  </si>
  <si>
    <t>Rạch Rỗng Cùng</t>
  </si>
  <si>
    <t>Từ Sông Vàm Chợ</t>
  </si>
  <si>
    <t>Rạch Mười Chạy</t>
  </si>
  <si>
    <t xml:space="preserve">Từ Sông Vàm Chợ </t>
  </si>
  <si>
    <t>Nhánh rạch Cầu Bông</t>
  </si>
  <si>
    <t xml:space="preserve">Từ rạch cầu Bông </t>
  </si>
  <si>
    <t>Rạch Bến Than</t>
  </si>
  <si>
    <t xml:space="preserve">Từ Sông Trạch Trạ </t>
  </si>
  <si>
    <t xml:space="preserve"> cầu An Hạ</t>
  </si>
  <si>
    <t>Mương</t>
  </si>
  <si>
    <t>Rạch Bến Cát</t>
  </si>
  <si>
    <t>Rạch Bà Thân 2</t>
  </si>
  <si>
    <t>Từ Tỉnh Lộ 15</t>
  </si>
  <si>
    <t>Nhánh kênh Xáng</t>
  </si>
  <si>
    <t>Rạch Rỗng Ngang</t>
  </si>
  <si>
    <t>Mương sau Lô E</t>
  </si>
  <si>
    <t>Mương sau Lô C (giáp cụm công nghiệp Nhị Xuân)</t>
  </si>
  <si>
    <t>Rạch Bà Bá</t>
  </si>
  <si>
    <t>Huyện Bình Chánh</t>
  </si>
  <si>
    <t>Rạch Cái Tắc</t>
  </si>
  <si>
    <t>Rạch Lương Quyền</t>
  </si>
  <si>
    <t>Rạch Cái Trung</t>
  </si>
  <si>
    <t>Rạch Láng Mặn</t>
  </si>
  <si>
    <t>Ranh Xã Tân Nhựt</t>
  </si>
  <si>
    <t>Rạch Láng Ngang</t>
  </si>
  <si>
    <t>Kênh 7 (xã Tân Kiên)</t>
  </si>
  <si>
    <t>Rạch Cây Bàng</t>
  </si>
  <si>
    <t>Đường Cây Bàng</t>
  </si>
  <si>
    <t>Rạch 3 Ngay</t>
  </si>
  <si>
    <t>Rạch Cầu Chùa</t>
  </si>
  <si>
    <t>Rạch Cái Tâm</t>
  </si>
  <si>
    <t>Kênh Xáng Ngang</t>
  </si>
  <si>
    <t>Rạch Đập Dừa</t>
  </si>
  <si>
    <t>Kênh 8</t>
  </si>
  <si>
    <t>Kênh 10</t>
  </si>
  <si>
    <t>Rạch Đập Đẩu</t>
  </si>
  <si>
    <t>Rạch Ngọn Chùa</t>
  </si>
  <si>
    <t>kênh 10</t>
  </si>
  <si>
    <t>Kênh 11</t>
  </si>
  <si>
    <t>Rạch Lương Sâu</t>
  </si>
  <si>
    <t>Rạch Láng Chà</t>
  </si>
  <si>
    <t>Ranh Xã Tân Kiên</t>
  </si>
  <si>
    <t>Kênh Sáu Oánh</t>
  </si>
  <si>
    <t>Rạch Bà Ty</t>
  </si>
  <si>
    <t>Đường Trương Văn Đa</t>
  </si>
  <si>
    <t>Đường Tân Long</t>
  </si>
  <si>
    <t>Rạch Bà Miêu</t>
  </si>
  <si>
    <t>Rạch Lương Ngang</t>
  </si>
  <si>
    <t>Kênh Đê bao Long An</t>
  </si>
  <si>
    <t>Rạch Bà Ghé</t>
  </si>
  <si>
    <t>Rạch Ông Hiền</t>
  </si>
  <si>
    <t>Kênh Đê số 2</t>
  </si>
  <si>
    <t>Rạch Bà Phong</t>
  </si>
  <si>
    <t>Rạch Bà Xí</t>
  </si>
  <si>
    <t>Kênh Bà Bữu</t>
  </si>
  <si>
    <t>Kênh Xáng Đứng</t>
  </si>
  <si>
    <t>Kênh Tràm Lầy 1+2</t>
  </si>
  <si>
    <t>Kênh Xã Tỉnh</t>
  </si>
  <si>
    <t>Kênh số 2</t>
  </si>
  <si>
    <t>Kênh số 3</t>
  </si>
  <si>
    <t>Kênh số 5</t>
  </si>
  <si>
    <t>Kênh số 6</t>
  </si>
  <si>
    <t>Kênh số 7</t>
  </si>
  <si>
    <t>Kênh số 8</t>
  </si>
  <si>
    <t>Kênh số 9</t>
  </si>
  <si>
    <t>Kênh số 10</t>
  </si>
  <si>
    <t>Kênh số 11</t>
  </si>
  <si>
    <t>Kênh số 12</t>
  </si>
  <si>
    <t>Rạch Chùa Ấp 5</t>
  </si>
  <si>
    <t>Kênh đường Giữa 4-5</t>
  </si>
  <si>
    <t>Kênh đường Bà Cả</t>
  </si>
  <si>
    <t>Cách QL50 200m</t>
  </si>
  <si>
    <t>Kênh đường giữa 4-5</t>
  </si>
  <si>
    <t>Cách QL50 290m</t>
  </si>
  <si>
    <t>Kênh đường 4C</t>
  </si>
  <si>
    <t>Cách QL50 120m</t>
  </si>
  <si>
    <t>Rạch Chú Khánh</t>
  </si>
  <si>
    <t>Đường liên ấp 3-4</t>
  </si>
  <si>
    <t>Sông Cầu Tràm</t>
  </si>
  <si>
    <t>Rạch Hóc Hưu</t>
  </si>
  <si>
    <t>Đường Liên Ấp 3-4-5</t>
  </si>
  <si>
    <t>Ranh xã Qui Đức</t>
  </si>
  <si>
    <t>Kênh T16</t>
  </si>
  <si>
    <t>Ranh Xã Phạm Văn Hai</t>
  </si>
  <si>
    <t>Kênh T18</t>
  </si>
  <si>
    <t>Kênh Cầu Sập</t>
  </si>
  <si>
    <t>Kênh Tham Lương - BC - RNL</t>
  </si>
  <si>
    <t>Tỉnh Lộ 10</t>
  </si>
  <si>
    <t>Kênh Bình Minh</t>
  </si>
  <si>
    <t>Kênh TB13</t>
  </si>
  <si>
    <t>Kênh TB14</t>
  </si>
  <si>
    <t>Kênh TB15</t>
  </si>
  <si>
    <t>Kênh TB16</t>
  </si>
  <si>
    <t>Kênh TB17</t>
  </si>
  <si>
    <t>Sông Bến Lức</t>
  </si>
  <si>
    <t>Kênh A (Tân Túc)</t>
  </si>
  <si>
    <t>Kênh B (Tân Túc)</t>
  </si>
  <si>
    <t>Rạch Ba Thước</t>
  </si>
  <si>
    <t>Xã Tân Nhựt</t>
  </si>
  <si>
    <t>Rạch Bốn Thước</t>
  </si>
  <si>
    <t>Kênh Tân Đông</t>
  </si>
  <si>
    <t>Kênh dọc đường D1</t>
  </si>
  <si>
    <t>Kênh dọc đường D2</t>
  </si>
  <si>
    <t>Kênh dọc đường D3</t>
  </si>
  <si>
    <t>Kênh dọc đường D4</t>
  </si>
  <si>
    <t>Rạch Ba Lữ</t>
  </si>
  <si>
    <t>Xã Phong Phú</t>
  </si>
  <si>
    <t>Xã Đa Phước</t>
  </si>
  <si>
    <t>Rạch Sậy</t>
  </si>
  <si>
    <t>Tân Nhiễu</t>
  </si>
  <si>
    <t>Rạch Ông Cốm</t>
  </si>
  <si>
    <t>Xã Vĩnh Lộc B</t>
  </si>
  <si>
    <t>Rạch Ba Chung</t>
  </si>
  <si>
    <t>Rạch Láng Cát</t>
  </si>
  <si>
    <t>Rạch Ổ Cu-Kiến vàng</t>
  </si>
  <si>
    <t>Rạch Hưng Nhơn</t>
  </si>
  <si>
    <t>Xã Tân Kiên</t>
  </si>
  <si>
    <t>Rạch Bà Mai</t>
  </si>
  <si>
    <t>Rạch Hội Đồng</t>
  </si>
  <si>
    <t>Rạch Cầu Vườn</t>
  </si>
  <si>
    <t>Kênh Nguyễn Văn Thê</t>
  </si>
  <si>
    <t>Xã Quy Đức</t>
  </si>
  <si>
    <t>Kênh Nguyễn Văn Thời</t>
  </si>
  <si>
    <t>Kênh Nguyễn Văn Long</t>
  </si>
  <si>
    <t>Kênh xáng Ngang</t>
  </si>
  <si>
    <t>Rạch Láng The 1</t>
  </si>
  <si>
    <t>Huyện Củ Chi</t>
  </si>
  <si>
    <t>Rạch Láng The 2</t>
  </si>
  <si>
    <t>Kênh Năm</t>
  </si>
  <si>
    <t>Cầu Xáng</t>
  </si>
  <si>
    <t>Cuối Tuyến</t>
  </si>
  <si>
    <t>Hệ thống Liêu Bình Hương</t>
  </si>
  <si>
    <t>Trường ĐHDL Kỹ Nghệ</t>
  </si>
  <si>
    <t>Quốc Lộ 22</t>
  </si>
  <si>
    <t>Suối Xóm Mới</t>
  </si>
  <si>
    <t>Giao giữa đường An Nhơn Tây và Nguyễn Thị Rành</t>
  </si>
  <si>
    <t>Suối Gót Chàng</t>
  </si>
  <si>
    <t>Đường Bố Heo</t>
  </si>
  <si>
    <t>Kênh tiêu Trung Viết</t>
  </si>
  <si>
    <t>Đường Trung Viết</t>
  </si>
  <si>
    <t>đầu kênh 14</t>
  </si>
  <si>
    <t>Kênh tiêu KP3</t>
  </si>
  <si>
    <t>Đường Phạm Văn Chèo</t>
  </si>
  <si>
    <t>Cống qua đường Tỉnh Lộ 8</t>
  </si>
  <si>
    <t>Kênh tiêu KCN Tân Qui</t>
  </si>
  <si>
    <t>Tỉnh Lộ 8</t>
  </si>
  <si>
    <t>Rạch Bến Chùa</t>
  </si>
  <si>
    <t>Rạch VàmThầy</t>
  </si>
  <si>
    <t>Rạch Bà Đề</t>
  </si>
  <si>
    <t>Cầu Bà Đề</t>
  </si>
  <si>
    <t>Rạch Lan Trung</t>
  </si>
  <si>
    <t>Hương Lộ 5</t>
  </si>
  <si>
    <t>Rạch Rõng Dài</t>
  </si>
  <si>
    <t>Rạch Dứa Nhỏ</t>
  </si>
  <si>
    <t>Cầu Đen 2</t>
  </si>
  <si>
    <t>Kênh Bộ Đội Ấp 2</t>
  </si>
  <si>
    <t>Rỗng Năng</t>
  </si>
  <si>
    <t>Kênh 30/4 Ấp 2</t>
  </si>
  <si>
    <t>Kênh 30/4 Ấp 2A</t>
  </si>
  <si>
    <t>Kênh Bộ Đội Ấp 2A</t>
  </si>
  <si>
    <t>Kênh Ông Anh</t>
  </si>
  <si>
    <t>Kênh Chín Mè</t>
  </si>
  <si>
    <t>Rỗng Chùa</t>
  </si>
  <si>
    <t>Kênh Lò Gạch</t>
  </si>
  <si>
    <t>Kênh Năm Dụng</t>
  </si>
  <si>
    <t>Rỗng Bến Lội</t>
  </si>
  <si>
    <t>Rỗng Cà Na</t>
  </si>
  <si>
    <t>Rỗng Bến Đò</t>
  </si>
  <si>
    <t xml:space="preserve">Rạch Láng The, TL15 </t>
  </si>
  <si>
    <t>Rỗng Đồng Mây</t>
  </si>
  <si>
    <t>Rỗng Tài</t>
  </si>
  <si>
    <t>Rỗng Nút</t>
  </si>
  <si>
    <t>Hệ Thống Liêu Bình Hương</t>
  </si>
  <si>
    <t>QL 22</t>
  </si>
  <si>
    <t>Rỗng Ông Kịch</t>
  </si>
  <si>
    <t>Rạch đường khai</t>
  </si>
  <si>
    <t>Rạch ngọn cùng</t>
  </si>
  <si>
    <t>Rỗng Cụt</t>
  </si>
  <si>
    <t>Ruộng ấp 9</t>
  </si>
  <si>
    <t>Rỗng Ngọn Cùng</t>
  </si>
  <si>
    <t>Ruộng ấp 7</t>
  </si>
  <si>
    <t>Rạch Bàu Năng</t>
  </si>
  <si>
    <t>Ruộng ấp 10</t>
  </si>
  <si>
    <t>Kênh Ông Thềm</t>
  </si>
  <si>
    <t>Mương Ông Tư Sỉ</t>
  </si>
  <si>
    <t>Ruộng ấp 8</t>
  </si>
  <si>
    <t>Kênh Tiêu Ấp 6</t>
  </si>
  <si>
    <t>Ruộng ấp 6</t>
  </si>
  <si>
    <t>Rỗng Ngan</t>
  </si>
  <si>
    <t>Bến Ông Hương</t>
  </si>
  <si>
    <t>Rạch hàng mướp</t>
  </si>
  <si>
    <t>Bến Ông Đù</t>
  </si>
  <si>
    <t>Khu dân cư</t>
  </si>
  <si>
    <t>Rạch Lộ 15</t>
  </si>
  <si>
    <t>Ngọn cùng</t>
  </si>
  <si>
    <t>Ruộng ấp 11</t>
  </si>
  <si>
    <t>Kênh Cây Điệp (tưới tiêu)</t>
  </si>
  <si>
    <t>Kênh Giòng Sao (Bàu Hươu)</t>
  </si>
  <si>
    <t>Kênh Rổng Phèn</t>
  </si>
  <si>
    <t>Tỉnh Lộ 7</t>
  </si>
  <si>
    <t>Kênh Tiêu (Rọc Bàu Chua)</t>
  </si>
  <si>
    <t>Kênh N 38.5.5</t>
  </si>
  <si>
    <t>Kênh Tiêu 17</t>
  </si>
  <si>
    <t>Kênh Tiêu Trường Tiểu Học Thái Mỹ</t>
  </si>
  <si>
    <t>Kênh N 38.7</t>
  </si>
  <si>
    <t>Rạch Cốc</t>
  </si>
  <si>
    <t>Tỉnh lộ 15</t>
  </si>
  <si>
    <t>Rạch Dài</t>
  </si>
  <si>
    <t>Rạch Ông Cắn</t>
  </si>
  <si>
    <t>Rạch Gốc</t>
  </si>
  <si>
    <t>Rạch Tầm Lang</t>
  </si>
  <si>
    <t>Rạch Da</t>
  </si>
  <si>
    <t>Rạch Bà Hột</t>
  </si>
  <si>
    <t>Rạch Đường Long</t>
  </si>
  <si>
    <t>Rạch Cát</t>
  </si>
  <si>
    <t>Suối Cầu Trắng</t>
  </si>
  <si>
    <t>Rạch Kênh</t>
  </si>
  <si>
    <t>Suối Nhỏ</t>
  </si>
  <si>
    <t>Rạch Ông Cơ</t>
  </si>
  <si>
    <t>Rạch Bà Kỳ</t>
  </si>
  <si>
    <t>Rạch Mương Đào</t>
  </si>
  <si>
    <t>Rạch Bà Hom</t>
  </si>
  <si>
    <t>Rạch Bà Quớn</t>
  </si>
  <si>
    <t>Rạch Ông Năm</t>
  </si>
  <si>
    <t>Rạch Cô Giàu</t>
  </si>
  <si>
    <t>Đường Đất D6</t>
  </si>
  <si>
    <t>Rạch Mu</t>
  </si>
  <si>
    <t>Rạch Xẻo Trí</t>
  </si>
  <si>
    <t>Rạch Xăng máu</t>
  </si>
  <si>
    <t>Rạch Xẻo Ngang</t>
  </si>
  <si>
    <t>Rạch Trầu</t>
  </si>
  <si>
    <t>Rạch Ông Kiển</t>
  </si>
  <si>
    <t>Rạch Ông Định</t>
  </si>
  <si>
    <t>Rạch Chanh</t>
  </si>
  <si>
    <t xml:space="preserve">Rạch Bà Giáo </t>
  </si>
  <si>
    <t xml:space="preserve">Nhà Út Nhí </t>
  </si>
  <si>
    <t>Rạch Nàng âm</t>
  </si>
  <si>
    <t>Nhà Ông Đa</t>
  </si>
  <si>
    <t>Rạch Chùa</t>
  </si>
  <si>
    <t xml:space="preserve">Rạch Nàng Âm </t>
  </si>
  <si>
    <t>Bảy ria</t>
  </si>
  <si>
    <t>Rạch bến Chợ</t>
  </si>
  <si>
    <t>Ông 2 thước</t>
  </si>
  <si>
    <t>Rạch Tắc</t>
  </si>
  <si>
    <t xml:space="preserve">Rạch  Nàng Âm </t>
  </si>
  <si>
    <t>Hà Quang</t>
  </si>
  <si>
    <t>Rạch ông Tài</t>
  </si>
  <si>
    <t>Rạch Ông Đa</t>
  </si>
  <si>
    <t>Ông 3 Chải</t>
  </si>
  <si>
    <t>Rạch Cu Lượng</t>
  </si>
  <si>
    <t>Đường Cá Lăng</t>
  </si>
  <si>
    <t xml:space="preserve">Raạch Cá Lăng </t>
  </si>
  <si>
    <t>Láng The</t>
  </si>
  <si>
    <t>Rạch Ông Giảm</t>
  </si>
  <si>
    <t>Rạch ông Tín</t>
  </si>
  <si>
    <t>Rạch ông Lòng</t>
  </si>
  <si>
    <t>Ruộng làng</t>
  </si>
  <si>
    <t>Rạch cây Mít</t>
  </si>
  <si>
    <t xml:space="preserve">Rạch ông Lòng </t>
  </si>
  <si>
    <t>Ruộng ông Bưng</t>
  </si>
  <si>
    <t>Rạch cây Bàn</t>
  </si>
  <si>
    <t>Rạch bà Thuyền</t>
  </si>
  <si>
    <t>Ruộng HTX Hà Quang</t>
  </si>
  <si>
    <t>Sẻo sen</t>
  </si>
  <si>
    <t>Sông SG</t>
  </si>
  <si>
    <t xml:space="preserve">Ruộng </t>
  </si>
  <si>
    <t>Rạch Ông Du</t>
  </si>
  <si>
    <t>Ruộng ông Du</t>
  </si>
  <si>
    <t>Rạch ông Thọ</t>
  </si>
  <si>
    <t>Ruộng ông Thọ</t>
  </si>
  <si>
    <t>Rạch Ông Nga</t>
  </si>
  <si>
    <t>Bìa ruộng</t>
  </si>
  <si>
    <t>Bà Thuyền</t>
  </si>
  <si>
    <t>Kênh đào 1</t>
  </si>
  <si>
    <t>Dọc rạch Nàng Âm</t>
  </si>
  <si>
    <t>Kênh đào 2</t>
  </si>
  <si>
    <t>Kênh đào 3</t>
  </si>
  <si>
    <t>Đầu kênh</t>
  </si>
  <si>
    <t>Kênh đào 4</t>
  </si>
  <si>
    <t>Kênh Đào 5</t>
  </si>
  <si>
    <t>Kênh đào AB</t>
  </si>
  <si>
    <t>Kênh Đào 6</t>
  </si>
  <si>
    <t>Kênh Đào 7</t>
  </si>
  <si>
    <t>Kênh Đào 8</t>
  </si>
  <si>
    <t>Kênh Đào 9</t>
  </si>
  <si>
    <t xml:space="preserve">Rạch Ông Làm </t>
  </si>
  <si>
    <t>Dân cư</t>
  </si>
  <si>
    <t>Rạch Ba Phương</t>
  </si>
  <si>
    <t>Nhà ông Chánh</t>
  </si>
  <si>
    <t>Kênh Đào</t>
  </si>
  <si>
    <t xml:space="preserve">Bìa xóm </t>
  </si>
  <si>
    <t>Rạch Bàu Nhum</t>
  </si>
  <si>
    <t>Kênh  ông Hùng</t>
  </si>
  <si>
    <t>Kênh 1</t>
  </si>
  <si>
    <t>Kênh AB</t>
  </si>
  <si>
    <t>Ngọn bàu Nhum</t>
  </si>
  <si>
    <t>Kênh 2</t>
  </si>
  <si>
    <t>Bìa xóm</t>
  </si>
  <si>
    <t>Kênh 3</t>
  </si>
  <si>
    <t>Rạch Vàm mương</t>
  </si>
  <si>
    <t>Kênh Mới</t>
  </si>
  <si>
    <t>Kênh Sẻo Xình</t>
  </si>
  <si>
    <t>Bùng binh</t>
  </si>
  <si>
    <t>Láng the</t>
  </si>
  <si>
    <t>Rạch Trại</t>
  </si>
  <si>
    <t>Nhà Ông Tới</t>
  </si>
  <si>
    <t>Xẽo Cây Đào</t>
  </si>
  <si>
    <t>Nhà Ông Sáu Khi</t>
  </si>
  <si>
    <t>Xẽo Vôn</t>
  </si>
  <si>
    <t>Nhà Ông Út Đức</t>
  </si>
  <si>
    <t>Rạch Tre</t>
  </si>
  <si>
    <t>Rạch Tư Lộc</t>
  </si>
  <si>
    <t>Nhà Ông Quang</t>
  </si>
  <si>
    <t>Bà Thậm</t>
  </si>
  <si>
    <t>Nhà 2 Lam</t>
  </si>
  <si>
    <t>Cây Me</t>
  </si>
  <si>
    <t>Nhà Út Ngon</t>
  </si>
  <si>
    <t>Bến Lở</t>
  </si>
  <si>
    <t>Nhà Ô.Tám chính</t>
  </si>
  <si>
    <t>Rạch Lùn</t>
  </si>
  <si>
    <t>Nhà Út Cầu</t>
  </si>
  <si>
    <t>Cầu Ông Chương</t>
  </si>
  <si>
    <t>Rạch Cây Da</t>
  </si>
  <si>
    <t>Ngọn Nhị Tỳ</t>
  </si>
  <si>
    <t>Rạch Cụt</t>
  </si>
  <si>
    <t>Đất Út Sim</t>
  </si>
  <si>
    <t>Rạch Bảy sườn</t>
  </si>
  <si>
    <t>Út Rôn</t>
  </si>
  <si>
    <t>ngon Út Chấn</t>
  </si>
  <si>
    <t>ngọn Thạnh An</t>
  </si>
  <si>
    <t>Rạch Bùng Binh</t>
  </si>
  <si>
    <t>Gò Riềng</t>
  </si>
  <si>
    <t>Rạch Gò riềng</t>
  </si>
  <si>
    <t>Bến Chùa</t>
  </si>
  <si>
    <t>Rạch Đáy</t>
  </si>
  <si>
    <t>Nhà Tư Huỳnh</t>
  </si>
  <si>
    <t>Sông Lu</t>
  </si>
  <si>
    <t>Cầu Bà Nga</t>
  </si>
  <si>
    <t xml:space="preserve">Rạch Ông Dũng </t>
  </si>
  <si>
    <t>ông Tùng</t>
  </si>
  <si>
    <t>Rỗng Rừa</t>
  </si>
  <si>
    <t>Đất Sét</t>
  </si>
  <si>
    <t>Rạch Cụt ( An Hòa)</t>
  </si>
  <si>
    <t>Rạch Cùng</t>
  </si>
  <si>
    <t>Rạch Bà Diệu</t>
  </si>
  <si>
    <t>Rạch Nhum Nhỏ</t>
  </si>
  <si>
    <t>ngọn Cùng</t>
  </si>
  <si>
    <t xml:space="preserve">Sông Lu </t>
  </si>
  <si>
    <t>Rạch Ông Năm Kim</t>
  </si>
  <si>
    <t>Ngọn đất Ô.Kim</t>
  </si>
  <si>
    <t xml:space="preserve">Rạch Lò </t>
  </si>
  <si>
    <t>Ngọn đường T.An</t>
  </si>
  <si>
    <t>Rạch Ba Đắng</t>
  </si>
  <si>
    <t>Đất ông Âu</t>
  </si>
  <si>
    <t>Rạch năm Đắng</t>
  </si>
  <si>
    <t>đất ông Chính</t>
  </si>
  <si>
    <t>Rạch Cầu Trệt</t>
  </si>
  <si>
    <t xml:space="preserve">Rạch Lớn </t>
  </si>
  <si>
    <t>Rạch Chòi Mòi</t>
  </si>
  <si>
    <t>Khu dân cư ấp 2</t>
  </si>
  <si>
    <t>Rạch Xà Đỏ ( 2 dẩn)</t>
  </si>
  <si>
    <t>Rạch Xẻo</t>
  </si>
  <si>
    <t xml:space="preserve">Rạch 7 Nhựt </t>
  </si>
  <si>
    <t>Khu dân cư ấp 1</t>
  </si>
  <si>
    <t>Rạch 4 Chang</t>
  </si>
  <si>
    <t xml:space="preserve">Rạch Miểu </t>
  </si>
  <si>
    <t>Rạch Út Thơ</t>
  </si>
  <si>
    <t>Rạch Tư Đôi</t>
  </si>
  <si>
    <t>Rạch 4 Đực</t>
  </si>
  <si>
    <t>Rạch Ông Táo</t>
  </si>
  <si>
    <t>Rạch Tư Bắc</t>
  </si>
  <si>
    <t>Rạch Vàm Thầy</t>
  </si>
  <si>
    <t>Rạch Dứa</t>
  </si>
  <si>
    <t>Rạch Cây Điệp</t>
  </si>
  <si>
    <t>Rạch cây xanh</t>
  </si>
  <si>
    <t>Rạch Út Xiếu</t>
  </si>
  <si>
    <t>Rạch 9 Chùa</t>
  </si>
  <si>
    <t>Rạch 2 Òn</t>
  </si>
  <si>
    <t>Rạch Bà Đội</t>
  </si>
  <si>
    <t>Đồng ruộng</t>
  </si>
  <si>
    <t>Rạch Ghê</t>
  </si>
  <si>
    <t>Rạch Thi Đua</t>
  </si>
  <si>
    <t xml:space="preserve">Rạch 4 Tượng </t>
  </si>
  <si>
    <t>Rạch Tố Hữu</t>
  </si>
  <si>
    <t>Rạch Đinh Thuận</t>
  </si>
  <si>
    <t>Rạch 10 Lến</t>
  </si>
  <si>
    <t>Rạch Ông Huyện</t>
  </si>
  <si>
    <t>Rạch Chú Cua</t>
  </si>
  <si>
    <t>Rạch Út Huỳnh</t>
  </si>
  <si>
    <t>Rạch 2 Long</t>
  </si>
  <si>
    <t>Rạch 6 Dẫn</t>
  </si>
  <si>
    <t>Rạch 3 Lư</t>
  </si>
  <si>
    <t>Rạch 2 Chuông</t>
  </si>
  <si>
    <t>Rạch tư Cứng</t>
  </si>
  <si>
    <t xml:space="preserve">Rạch 2 Gập </t>
  </si>
  <si>
    <t>Rạch Tư Ky</t>
  </si>
  <si>
    <t>Rạch Sáu Mo</t>
  </si>
  <si>
    <t>Rạch 10 Trâu</t>
  </si>
  <si>
    <t>Rạch cầu Sập</t>
  </si>
  <si>
    <t>Đường Bình Thành</t>
  </si>
  <si>
    <t>Rạch Cu Ky</t>
  </si>
  <si>
    <t>Rạch cây Dương ( Nhà Vuông)</t>
  </si>
  <si>
    <t>Rạch Nhà Việc</t>
  </si>
  <si>
    <t xml:space="preserve">Rạch Mương Đào </t>
  </si>
  <si>
    <t>Rạch Ông Tổng</t>
  </si>
  <si>
    <t>Rạch 7 Cào</t>
  </si>
  <si>
    <t>Rạch Miểu ấp 8</t>
  </si>
  <si>
    <t>Rạch Gò Nổi (Cây Da)</t>
  </si>
  <si>
    <t>Rạch Út Đợi</t>
  </si>
  <si>
    <t>Rạch Út Đội</t>
  </si>
  <si>
    <t>Rạch 7 Chiên</t>
  </si>
  <si>
    <t>Rạch Cặp đường số 5</t>
  </si>
  <si>
    <t>Cầu Bà Đề</t>
  </si>
  <si>
    <t>Rạch Bàu Sình</t>
  </si>
  <si>
    <t>Sông Bà Bếp</t>
  </si>
  <si>
    <t>Kênh 4 Lê</t>
  </si>
  <si>
    <t>Rạch cặp đường số 5</t>
  </si>
  <si>
    <t>Rạch bà bếp</t>
  </si>
  <si>
    <t>Kênh rạch Cầu Trệt</t>
  </si>
  <si>
    <t>Kênh C3 rạch Đáy</t>
  </si>
  <si>
    <t>Kênh cấp 3 r.Cầu Võng</t>
  </si>
  <si>
    <t>Kênh Đập Thầy Hội</t>
  </si>
  <si>
    <t>Rạch Út Son</t>
  </si>
  <si>
    <t>Rạch Vàm đôi</t>
  </si>
  <si>
    <t>Rạch Tư Dạng</t>
  </si>
  <si>
    <t>Rạch  Út Rít</t>
  </si>
  <si>
    <t>Kênh cấp 3</t>
  </si>
  <si>
    <t>Kênh Mới ( 2 Bước)</t>
  </si>
  <si>
    <t xml:space="preserve">Rạch ba Sơn </t>
  </si>
  <si>
    <t>Rạch Ông Danh</t>
  </si>
  <si>
    <t>Kênh 2 Nho</t>
  </si>
  <si>
    <t xml:space="preserve">Rạch bà Linh </t>
  </si>
  <si>
    <t>Kênh 3 Lựu</t>
  </si>
  <si>
    <t>Kênh Ô.Riêng Đực Điển</t>
  </si>
  <si>
    <t xml:space="preserve">rạch cây xanh </t>
  </si>
  <si>
    <t>raạch cây dương</t>
  </si>
  <si>
    <t>Kênh 2 Nghĩa</t>
  </si>
  <si>
    <t>cánh đồng ấp 6B</t>
  </si>
  <si>
    <t>Rạch 6 Đát</t>
  </si>
  <si>
    <t>rạch Nhà Việc</t>
  </si>
  <si>
    <t>Đường Bình Mỹ</t>
  </si>
  <si>
    <t>Rạch Út Nạt</t>
  </si>
  <si>
    <t>cánh đồng ấp 7</t>
  </si>
  <si>
    <t xml:space="preserve">Rạch 7 Nhỏ </t>
  </si>
  <si>
    <t>Rạch Xóm Võng</t>
  </si>
  <si>
    <t>Kênh Chú Bửng</t>
  </si>
  <si>
    <t>Rổng cây Xuyên</t>
  </si>
  <si>
    <t>Kênh Lung Tràm</t>
  </si>
  <si>
    <t>Vỗ Văn Bích</t>
  </si>
  <si>
    <t>Cầu Tân Thạnh Đông, Cầu Nhỏ</t>
  </si>
  <si>
    <t>Ngọ Đường Khai</t>
  </si>
  <si>
    <t>ngọn Cùng Ấp 7</t>
  </si>
  <si>
    <t>Rỗng ngọn Cùng</t>
  </si>
  <si>
    <t>T6</t>
  </si>
  <si>
    <t>Hồ văn Tắng</t>
  </si>
  <si>
    <t>Rỗng ngọn Cùng ấp 6</t>
  </si>
  <si>
    <t>Ngọn đường Khai</t>
  </si>
  <si>
    <t>Cầu Hồ Văn Tắng</t>
  </si>
  <si>
    <t>T4</t>
  </si>
  <si>
    <t>Rạch TL 15</t>
  </si>
  <si>
    <t>AP 9</t>
  </si>
  <si>
    <t>Rạch đất bà Huấn</t>
  </si>
  <si>
    <t>Võ Văn Bích</t>
  </si>
  <si>
    <t>Rạch đường Võ Văn Bích</t>
  </si>
  <si>
    <t>Tỉnh lộ 9</t>
  </si>
  <si>
    <t>Rỗng Dài</t>
  </si>
  <si>
    <t>Bến 3 Sâu</t>
  </si>
  <si>
    <t>Rỗng Ngang</t>
  </si>
  <si>
    <t>Đầu Bến-rổng ngang</t>
  </si>
  <si>
    <t>Rỗng Ông Mía</t>
  </si>
  <si>
    <t>Ngọn Bàu Đưng</t>
  </si>
  <si>
    <t>kênh địa phận</t>
  </si>
  <si>
    <t>Ngọn Bàu Đăng</t>
  </si>
  <si>
    <t>Ruộng Trương Văn Bảo</t>
  </si>
  <si>
    <t>Kênh Ông Đù</t>
  </si>
  <si>
    <t xml:space="preserve">bìa xóm </t>
  </si>
  <si>
    <t>Rạch Xẻo Ngay</t>
  </si>
  <si>
    <t>Rạch Bà Lả</t>
  </si>
  <si>
    <t>Bà Bếp</t>
  </si>
  <si>
    <t>Rạch bà Sê</t>
  </si>
  <si>
    <t>Rạch Bàu Lách</t>
  </si>
  <si>
    <t>Rạch ông 5 Lục</t>
  </si>
  <si>
    <t>Rạch ông tư Sỹ</t>
  </si>
  <si>
    <t>Kênh tiêu ấp 6</t>
  </si>
  <si>
    <t>bìa ruộng</t>
  </si>
  <si>
    <t>Rạch Sóc Vàm</t>
  </si>
  <si>
    <t>Huyện Nhà Bè</t>
  </si>
  <si>
    <t>Sông Nhà Bè</t>
  </si>
  <si>
    <t>Rạch Lò Than</t>
  </si>
  <si>
    <t>cuối tuyến</t>
  </si>
  <si>
    <t>Rạch Gia</t>
  </si>
  <si>
    <t>Rạch Giồng</t>
  </si>
  <si>
    <t>Rạch Đường Thép</t>
  </si>
  <si>
    <t>Rạch Tắc Lầu</t>
  </si>
  <si>
    <t>Rạch Mương Bằng</t>
  </si>
  <si>
    <t>Rạch Cây Bướm</t>
  </si>
  <si>
    <t>Sông Cần Giuộc</t>
  </si>
  <si>
    <t>Rạch Tắc Vàm Châu</t>
  </si>
  <si>
    <t>Rạch Giồng Chồn</t>
  </si>
  <si>
    <t>Rạch Bà Hoi</t>
  </si>
  <si>
    <t>Sông Mương Chuối</t>
  </si>
  <si>
    <t>Rạch Mương Chuối</t>
  </si>
  <si>
    <t>Rạch Ấp 3</t>
  </si>
  <si>
    <t xml:space="preserve">Rạch Dơi </t>
  </si>
  <si>
    <t>Rạch Cả Cấm</t>
  </si>
  <si>
    <t>Rạch Rơi</t>
  </si>
  <si>
    <t>Huyện Cần Giờ</t>
  </si>
  <si>
    <t>Kênh Phụ Nữ 1</t>
  </si>
  <si>
    <t>Rạch Ba Đáy</t>
  </si>
  <si>
    <t>Rạch Chà Là</t>
  </si>
  <si>
    <t>Rạch Lá  Bé</t>
  </si>
  <si>
    <t>Rạch Tắc ông Ngĩa</t>
  </si>
  <si>
    <t>Rạch Tắc Ông Thọ</t>
  </si>
  <si>
    <t>Sông Làng Tàu</t>
  </si>
  <si>
    <t>Rạch Kho Đá</t>
  </si>
  <si>
    <t xml:space="preserve">Rạch Bà Đo </t>
  </si>
  <si>
    <t xml:space="preserve">Rạch Bà Xán </t>
  </si>
  <si>
    <t>Rạch Ông Giếng Nhỏ</t>
  </si>
  <si>
    <t xml:space="preserve">Rạch Cầu Nò </t>
  </si>
  <si>
    <t>Rạch Cây Trâm Bé</t>
  </si>
  <si>
    <t>Sông Là Vôi</t>
  </si>
  <si>
    <t>Rạch Cây Trâm Lớn</t>
  </si>
  <si>
    <t>Rạch Cá Móng</t>
  </si>
  <si>
    <t>Sông Lò Voi</t>
  </si>
  <si>
    <t>Rạch Giộng</t>
  </si>
  <si>
    <t>Rạch So Đũa Nhỏ</t>
  </si>
  <si>
    <t>Rạch Khe Đôi Nhỏ</t>
  </si>
  <si>
    <t>Rạch Khe Đôi Lớn</t>
  </si>
  <si>
    <t>Rạch Cá Ngáy Lớn</t>
  </si>
  <si>
    <t>Rạch Cá Nháp Bé</t>
  </si>
  <si>
    <t>Sông Cá Nháp Lớn</t>
  </si>
  <si>
    <t>Rạch Cát Lái Bé</t>
  </si>
  <si>
    <t>Rạch Cát Lái Lớn</t>
  </si>
  <si>
    <t>Rạch Gành Hào Bé</t>
  </si>
  <si>
    <t>Rạch Múc Mú Lớn</t>
  </si>
  <si>
    <t>Rạch Gốc Tre Lớn</t>
  </si>
  <si>
    <t>Rạch Tắc Lớn</t>
  </si>
  <si>
    <t>Rạch Mốc Keo Lớn</t>
  </si>
  <si>
    <t>Rạch Tắc Bà Kiên</t>
  </si>
  <si>
    <t>Rạch Bùn Tam 
Thôn Hiệp</t>
  </si>
  <si>
    <t>Rạch cá Nhám</t>
  </si>
  <si>
    <t>Rạch Bùa</t>
  </si>
  <si>
    <t>Tắc Cân</t>
  </si>
  <si>
    <t>Sông cái Mép</t>
  </si>
  <si>
    <t xml:space="preserve">Sông Đồng Đình </t>
  </si>
  <si>
    <t>Rạch Cá Bé</t>
  </si>
  <si>
    <t>Sông Long Giang Xây</t>
  </si>
  <si>
    <t>Ngọn rạch</t>
  </si>
  <si>
    <t>Rạch Cá Gấu Lớn</t>
  </si>
  <si>
    <t xml:space="preserve">Sông Bà Vú </t>
  </si>
  <si>
    <t>Rạch Cá Nhám Lớn</t>
  </si>
  <si>
    <t>Sông Mồng Gà</t>
  </si>
  <si>
    <t>Rạch Gành Hào Lớn</t>
  </si>
  <si>
    <t>Tổng chiều dài (m)</t>
  </si>
  <si>
    <r>
      <t>BẢNG TỔNG HỢP SỐ LƯỢNG SÔNG, KÊNH, RẠCH TRÊN ĐỊA BÀN THÀNH PHỐ</t>
    </r>
    <r>
      <rPr>
        <sz val="14"/>
        <color indexed="8"/>
        <rFont val="Times New Roman"/>
        <family val="1"/>
      </rPr>
      <t/>
    </r>
  </si>
  <si>
    <t xml:space="preserve">Giao Trung tâm Điều hành Chương trình chống ngập nước Thành phố </t>
  </si>
  <si>
    <t>Phụ lục 1: Danh mục các tuyến sông, kênh, rạch có chức năng tiêu thoát nước trên địa bàn Thành phố</t>
  </si>
  <si>
    <t xml:space="preserve">Tổng số lượng sông, kênh, rạch </t>
  </si>
  <si>
    <t>TT</t>
  </si>
  <si>
    <t xml:space="preserve">Đơn vị trực tiếp quản lý </t>
  </si>
  <si>
    <t>Giao Công ty TNHH MTV Quản lý khai thác dịch vụ Thủy lợi Thành phố</t>
  </si>
  <si>
    <t>Giao Ủy ban nhân dân quận 9</t>
  </si>
  <si>
    <t>Giao Ủy ban nhân dân 12</t>
  </si>
  <si>
    <t>Giao Ủy ban nhân dân huyện Hóc Môn</t>
  </si>
  <si>
    <t>Giao Ủy ban nhân dân huyện Bình Chánh</t>
  </si>
  <si>
    <t>Giao Ủy ban nhân dân huyện Củ Chi</t>
  </si>
  <si>
    <t>Giao Ủy ban nhân dân huyện Nhà Bè</t>
  </si>
  <si>
    <t>Giao Ủy ban nhân dân huyện Cần Giờ</t>
  </si>
  <si>
    <t>Tổng cộng I+II+II</t>
  </si>
  <si>
    <t>Giao Ủy ban nhân dân quận Bình Tân</t>
  </si>
  <si>
    <t>11+Tân Phú</t>
  </si>
  <si>
    <t>6+Tân Phú</t>
  </si>
  <si>
    <t>Cầu Dừa quận 4 (Kênh Bến Nghé)</t>
  </si>
  <si>
    <t>Khu dân cư cuối đường Hoàng Diệu</t>
  </si>
  <si>
    <t>Khu dân cư đường Khánh Hội</t>
  </si>
  <si>
    <t>Cầu Ông Buông 2</t>
  </si>
  <si>
    <t>Góc Bến Bãi Sậy-đường Vạn Tượng</t>
  </si>
  <si>
    <t>Kênh Tân Hóa- Lò Gốm</t>
  </si>
  <si>
    <t>Cuối tuyến (giao rạch Nhỏ)</t>
  </si>
  <si>
    <t>Giao rạch Ruột Ngựa - rạch Nhảy</t>
  </si>
  <si>
    <t>Cầu Phú Định</t>
  </si>
  <si>
    <t>Khu dân cư đường An Dương Vương</t>
  </si>
  <si>
    <t>Cầu Mỹ Thuận</t>
  </si>
  <si>
    <t>Khu dân cư đường Tạ Quang Bửu</t>
  </si>
  <si>
    <t>Thượng nguồn khu dân cư</t>
  </si>
  <si>
    <t>Giao Rạch Ruột Ngựa</t>
  </si>
  <si>
    <t>Rạch Cầu Đồn đoạn 1</t>
  </si>
  <si>
    <t>Cửa xả Chu Văn An</t>
  </si>
  <si>
    <t>Kênh Tân Hoá đoạn 1</t>
  </si>
  <si>
    <t>Rạch Hàng Bàng đoạn 1</t>
  </si>
  <si>
    <t>Rạch Ruột Ngựa đoạn 1</t>
  </si>
  <si>
    <t>Rạch Bà Láng đoạn 1</t>
  </si>
  <si>
    <t>Rạch Cầu Sơn đoạn 1</t>
  </si>
  <si>
    <t>Rạch Văn Thánh đoạn 1</t>
  </si>
  <si>
    <t>Rạch nhánh 1 đường Cộng Hoà</t>
  </si>
  <si>
    <t>Rạch nhánh 2 đường Cộng Hoà</t>
  </si>
  <si>
    <t>Nguyễn Văn Hưởng 2</t>
  </si>
  <si>
    <t>Nguyễn Văn Hưởng 3</t>
  </si>
  <si>
    <t>Nguyễn Văn Hưởng 4</t>
  </si>
  <si>
    <t>Nguyễn Văn Hưởng 5</t>
  </si>
  <si>
    <t>Rạch Đá Đỏ</t>
  </si>
  <si>
    <t>Rạch Bà Rường</t>
  </si>
  <si>
    <t xml:space="preserve">Rạch Mương </t>
  </si>
  <si>
    <t>Rạch Bà Đạt</t>
  </si>
  <si>
    <t>Rạch Khu Phố 1</t>
  </si>
  <si>
    <t>Rạch Thầy Cai</t>
  </si>
  <si>
    <t>Rạch Bà Kí</t>
  </si>
  <si>
    <t>Rạch Cái</t>
  </si>
  <si>
    <t>Nhánh sông Sài Gòn 16(Rạch Ương)</t>
  </si>
  <si>
    <t>Nhánh Rạch Chiếc 10 (Rạch Kinh 1 Tấn)</t>
  </si>
  <si>
    <t>Nhánh Rạch Giồng Ông Tố 1</t>
  </si>
  <si>
    <t>Nhánh Rạch Giồng Ông Tố 4</t>
  </si>
  <si>
    <t>Nhánh Rạch Chiếc 9 (Rạch Đường Xuống)</t>
  </si>
  <si>
    <t>Nhánh Rạch Bà Cua 5 (Rạch Ngọn Mương)</t>
  </si>
  <si>
    <t>Nhánh Rạch Bà Cua 7</t>
  </si>
  <si>
    <t>Nhánh Rạch Bà Cua 9 (Rạch Bà Hiện)</t>
  </si>
  <si>
    <t>Nhánh Sông Cầu Ông Nhiêu 1</t>
  </si>
  <si>
    <t>Nhánh Sông Cầu Ông Nhiêu 3</t>
  </si>
  <si>
    <t>Nhánh Sông Cầu Ông Nhiêu 4 (Rạch Ngọn Mương-Ngọn Trì)</t>
  </si>
  <si>
    <t>Nhánh Sông Tắc 4 (Rạch Ông Than)</t>
  </si>
  <si>
    <t>Nhánh Sông Tắc 6 (Rạch Sỏi)</t>
  </si>
  <si>
    <t>Nhánh Sông Tắc 7 (Rạch Cây Cam)</t>
  </si>
  <si>
    <t>Nhánh Rạch Cây Cam 1</t>
  </si>
  <si>
    <t>Nhánh Rạch Cây Cam 2</t>
  </si>
  <si>
    <t>Nhánh Rạch Cây Cam 3</t>
  </si>
  <si>
    <t>Nhánh Rạch Bà Đá</t>
  </si>
  <si>
    <t>Nhánh Rạch Bà Giáng</t>
  </si>
  <si>
    <t>Nhánh Rạch Trau Trảu 1(Rạch Cam)</t>
  </si>
  <si>
    <t xml:space="preserve">Nhánh Rạch Sông Đồng Nai 30 </t>
  </si>
  <si>
    <t xml:space="preserve">Nhánh Rạch Sông Đồng Nai 32 </t>
  </si>
  <si>
    <t>Rạch Ông Một (Rạch Lò Đường)</t>
  </si>
  <si>
    <t>Rạch Cầu Ông Dung</t>
  </si>
  <si>
    <t>Rạch Vàm</t>
  </si>
  <si>
    <t>Rạch Bà He</t>
  </si>
  <si>
    <t>Rạch Rồng Lươn</t>
  </si>
  <si>
    <t>Nhánh Rạch Bến Cát 1</t>
  </si>
  <si>
    <t>Nhánh Rạch Bến Cát 2</t>
  </si>
  <si>
    <t>Nhánh Rạch Cầu Võng 1</t>
  </si>
  <si>
    <t>Nhánh Rạch Cầu Võng 2</t>
  </si>
  <si>
    <t>Nhánh Rạch Cầu Võng 3</t>
  </si>
  <si>
    <t>Nhánh Rạch Cầu Võng 4</t>
  </si>
  <si>
    <t>Nhánh Rạch Cầu Võng 5</t>
  </si>
  <si>
    <t>Nhánh Rạch Cầu Võng 6</t>
  </si>
  <si>
    <t>Nhánh Rạch Bà Hồng 1</t>
  </si>
  <si>
    <t>Nhánh Rạch Bà Hồng 2</t>
  </si>
  <si>
    <t>Nhánh Rạch Bà Hồng 4</t>
  </si>
  <si>
    <t>Rạch Bà Bướm đoạn 1</t>
  </si>
  <si>
    <t>Rạch Bần Đôn đoạn 1</t>
  </si>
  <si>
    <t>Nhánh rạch Bà Gốc1(Rạch Hương Nhơn)</t>
  </si>
  <si>
    <t>Nhánh Rạch Ông Bé 1</t>
  </si>
  <si>
    <t>Nhánh Rạch Ông Bé 2</t>
  </si>
  <si>
    <t>Nhánh Rạch Ông Bé 3</t>
  </si>
  <si>
    <t>Nhánh Rạch Ông Bé 4</t>
  </si>
  <si>
    <t>Nhánh Rạch Ông Bé 5</t>
  </si>
  <si>
    <t>Nhánh Rạch Ông Bé 6</t>
  </si>
  <si>
    <t>Nhánh Rạch Xóm Củi-Gò-Nổi 1</t>
  </si>
  <si>
    <t>Nhánh Rạch Xóm Củi-Gò-Nổi 2</t>
  </si>
  <si>
    <t>Nhánh Rạch Xóm Củi-Gò-Nổi 3</t>
  </si>
  <si>
    <t>Nhánh Rạch Xóm Củi-Gò-Nổi 4</t>
  </si>
  <si>
    <t>Nhánh Rạch Xóm Củi-Gò-Nổi 5 (Rạch Lum Mới)</t>
  </si>
  <si>
    <t>Nhánh Rạch Xóm Củi-Gò-Nổi 6</t>
  </si>
  <si>
    <t>Nhánh Rạch Xóm Củi-Gò-Nổi 7</t>
  </si>
  <si>
    <t>Nhánh Rạch Xóm Củi-Gò-Nổi 8</t>
  </si>
  <si>
    <t>Nhánh Rạch Xóm Củi-Gò-Nổi 9</t>
  </si>
  <si>
    <t>Nhánh Rạch Xóm Củi-Gò-Nổi 10</t>
  </si>
  <si>
    <t>Nhánh Rạch Xóm Củi-Gò-Nổi 11</t>
  </si>
  <si>
    <t>Nhánh Rạch Ông Lớn 1</t>
  </si>
  <si>
    <t>Nhánh Rạch Ông Lớn 2</t>
  </si>
  <si>
    <t>Nhánh Rạch Ông Lớn 3</t>
  </si>
  <si>
    <t>Nhánh Rạch Ông Lớn 4</t>
  </si>
  <si>
    <t>Nhánh Rạch Nước Lên 1</t>
  </si>
  <si>
    <t>Nhánh Rạch Nước Lên 2</t>
  </si>
  <si>
    <t>Nhánh kênh Rạch Nước Lên 5 (kênh 4)</t>
  </si>
  <si>
    <t>Nhánh kênh Rạch Nước Lên 6 (kênh 3)</t>
  </si>
  <si>
    <t>Nhánh Rạch Chồm 1</t>
  </si>
  <si>
    <t>Nhánh Rạch Chồm 5</t>
  </si>
  <si>
    <t>Nhánh Rạch Bà Lớn 1</t>
  </si>
  <si>
    <t>Nhánh Rạch Bà Lớn 2</t>
  </si>
  <si>
    <t>Nhánh Rạch Bà Lớn 3 (Rạch Su)</t>
  </si>
  <si>
    <t>Nhánh Rạch Bà Lớn 4</t>
  </si>
  <si>
    <t>Nhánh Rạch Bà Lớn 5</t>
  </si>
  <si>
    <t>Nhánh Rạch Bà Lớn 6</t>
  </si>
  <si>
    <t>Nhánh Rạch Bà Thanh-Mỏ Neo 5</t>
  </si>
  <si>
    <t>Nhánh Rạch Bà Thanh-Mỏ Neo 6</t>
  </si>
  <si>
    <t>Nhánh Rạch Bà Thanh-Mỏ Neo 9</t>
  </si>
  <si>
    <t>Nhánh Rạch Mương Chuối 1</t>
  </si>
  <si>
    <t>Nhánh Rạch Mương Chuối 3</t>
  </si>
  <si>
    <t>Nhánh Rạch Tôm 4</t>
  </si>
  <si>
    <t>Nhánh Rạch Tôm 5</t>
  </si>
  <si>
    <t>Nhánh Rạch Cây Khô 6</t>
  </si>
  <si>
    <t>Nhánh Rạch Cây Khô 7</t>
  </si>
  <si>
    <t>Nhánh Rạch Cây Khô 8</t>
  </si>
  <si>
    <t>Nhánh Rạch Cây Khô 9</t>
  </si>
  <si>
    <t>Nhánh Rạch Cây Khô 10</t>
  </si>
  <si>
    <t>Nhánh Rạch Cây Khô 11</t>
  </si>
  <si>
    <t>Nhánh Rạch Cây Khô 12</t>
  </si>
  <si>
    <t>Nhánh Rạch Cây Khô 13</t>
  </si>
  <si>
    <t>Nhánh Rạch Cây Khô 16</t>
  </si>
  <si>
    <t>Nhánh Rạch Cây Khô 17</t>
  </si>
  <si>
    <t>Nhánh Rạch Cây Khô 18</t>
  </si>
  <si>
    <t>Nhánh Rạch Xóm Củi-Gò-Nổi 13</t>
  </si>
  <si>
    <t>Nhánh Rạch Xóm Củi-Gò-Nổi 14</t>
  </si>
  <si>
    <t>Nhánh Rạch Xóm Củi-Gò-Nổi 16</t>
  </si>
  <si>
    <t>Nhánh Rạch Xóm Củi-Gò-Nổi 17</t>
  </si>
  <si>
    <t>Nhánh Rạch Tắc Bến Rô 2</t>
  </si>
  <si>
    <t>Nhánh Rạch Ông Lớn 7</t>
  </si>
  <si>
    <t>Nhánh Rạch Ông Lớn 8</t>
  </si>
  <si>
    <t>Nhánh Rạch Ông Lớn 10</t>
  </si>
  <si>
    <t>Nhánh Rạch Ông Lớn 12</t>
  </si>
  <si>
    <t>Nhánh Rạch Ông Lớn 14</t>
  </si>
  <si>
    <t>Nhánh Rạch Ông Đội 3</t>
  </si>
  <si>
    <t>Các nhánh Rạch Cây Bông</t>
  </si>
  <si>
    <t>Nhánh Rạch Rơi 5</t>
  </si>
  <si>
    <t>Nhánh Rạch Rơi 6</t>
  </si>
  <si>
    <t>Nhánh Sông Nhà Bè 6</t>
  </si>
  <si>
    <t>Nhánh Rạch Tôm 6</t>
  </si>
  <si>
    <t>Nhánh Rạch Mương Chuối 2</t>
  </si>
  <si>
    <t>Rạch Bà Thanh-Mỏ Neo nhánh 1</t>
  </si>
  <si>
    <t>Rạch Bà Thanh-Mỏ Neo nhánh 2</t>
  </si>
  <si>
    <t>Rạch Bà Thanh-Mỏ Neo nhánh 3</t>
  </si>
  <si>
    <t>Rạch Bà Thanh-Mỏ Neo nhánh 4</t>
  </si>
  <si>
    <t>Rạch Bà Thanh-Mỏ Neo nhánh 7</t>
  </si>
  <si>
    <t>Rạch Bà Thanh-Mỏ Neo nhánh 8</t>
  </si>
  <si>
    <t>Rạch Bà Thanh-Mỏ Neo nhánh 10</t>
  </si>
  <si>
    <t>Rạch Bà Thanh-Mỏ Neo nhánh 11</t>
  </si>
  <si>
    <t>Nhánh Rạch Cây Khô 1</t>
  </si>
  <si>
    <t>Nhánh Rạch Cây Khô 2</t>
  </si>
  <si>
    <t>Nhánh Rạch Cây Khô 3</t>
  </si>
  <si>
    <t>Nhánh Rạch Cây Khô 4</t>
  </si>
  <si>
    <t>Nhánh Rạch Cây Khô 5</t>
  </si>
  <si>
    <t>Nhánh Rạch Tôm 1</t>
  </si>
  <si>
    <t>Nhánh Rạch Tôm 2</t>
  </si>
  <si>
    <t>Nhánh Rạch Tôm 3</t>
  </si>
  <si>
    <t>Nhánh Rạch Ông Lớn 11</t>
  </si>
  <si>
    <t xml:space="preserve">Sông Tắc </t>
  </si>
  <si>
    <t>Rạch Coáng Dinh</t>
  </si>
  <si>
    <t xml:space="preserve">Rạch Ông Đội </t>
  </si>
  <si>
    <t>Rạch Tắc Bến Rô</t>
  </si>
  <si>
    <t>Rạch Cây Khô</t>
  </si>
  <si>
    <t>Rạch Mương Chuối</t>
  </si>
  <si>
    <t>Rạch Mỏ Neo</t>
  </si>
  <si>
    <t xml:space="preserve">Rạch Bà Lớn </t>
  </si>
  <si>
    <t>Rạch Chồm</t>
  </si>
  <si>
    <t>Rạch Cống Lớn-Rạch Ngang</t>
  </si>
  <si>
    <t>Rạch Xà Tờn</t>
  </si>
  <si>
    <t>Rạch Đắp ông Hiền-Ô Niệm</t>
  </si>
  <si>
    <t>Rạch Đắp Ông Hiền</t>
  </si>
  <si>
    <t>Rạch Bà Gốc</t>
  </si>
  <si>
    <t>Cửa xả số 3 Quốc lộ 50</t>
  </si>
  <si>
    <t>Raïch Tắc Bến Rô</t>
  </si>
  <si>
    <t>Số A17/41 Quốc lộ 1A</t>
  </si>
  <si>
    <t>Rạch Cả Cấm</t>
  </si>
  <si>
    <t xml:space="preserve">Rạch Ông Tư Dinh </t>
  </si>
  <si>
    <t>Số 12/9 Huỳnh Tấn Phát</t>
  </si>
  <si>
    <t>Số 4/1C Nguyễn Văn quỳ</t>
  </si>
  <si>
    <t>Đường Nguyễn Văn Linh</t>
  </si>
  <si>
    <t>Ban chỉ huy quân sự Quận 7</t>
  </si>
  <si>
    <t xml:space="preserve">Rạch Bàng </t>
  </si>
  <si>
    <t>Tỉnh lộ 8</t>
  </si>
  <si>
    <t>Đường Nguyễn Ảnh Thủ</t>
  </si>
  <si>
    <t>Đường Bùi Công Trừng</t>
  </si>
  <si>
    <t>Đường Cây Keo</t>
  </si>
  <si>
    <t>Cầu Ngang</t>
  </si>
  <si>
    <t>Cống Sở Gà</t>
  </si>
  <si>
    <t>Công ty Bạch Đằng (Bộ CA)</t>
  </si>
  <si>
    <t>Đường Trường Sơn</t>
  </si>
  <si>
    <t>Xưởng sửa máy bay</t>
  </si>
  <si>
    <t>Dự án Phát triển nhà Thủ Đức</t>
  </si>
  <si>
    <t>Cửa xả số 158 Xô Viết Nghệ Tĩnh</t>
  </si>
  <si>
    <t>Cầu Ngô Tất Tố</t>
  </si>
  <si>
    <t>Đầu Nguồn (khu Du Lịch Văn Thánh)</t>
  </si>
  <si>
    <t>Khu dân cư đường Trần Quý Cáp</t>
  </si>
  <si>
    <t>Thượng nguồn</t>
  </si>
  <si>
    <t>Cầu Văn Thánh (Điện Biên Phủ)</t>
  </si>
  <si>
    <t>Hẻm D3</t>
  </si>
  <si>
    <t>Khu dân cư đường Ung Văn Khiêm</t>
  </si>
  <si>
    <t>Ngã 3 Rạch Cầu Sơn-Bà Láng</t>
  </si>
  <si>
    <t xml:space="preserve">Từ Rạch Lăng </t>
  </si>
  <si>
    <t>Số 341/1 Nguyễn Xí - P.13 (gần giao lộ Nguyễn Xí - Phạm Văn Đồng)</t>
  </si>
  <si>
    <t>Rạch Hồ Tam Vàm Tắc</t>
  </si>
  <si>
    <t>Giao rạch Bến Bồi- rạch Bà Láng</t>
  </si>
  <si>
    <t>Ngã 3 Bình Lợi-Bình Triệu</t>
  </si>
  <si>
    <t>Sông Phướng (Bình Tân)</t>
  </si>
  <si>
    <t xml:space="preserve"> Rạch Bà Tàng </t>
  </si>
  <si>
    <t>Ranh Bình Chánh - Quận 8</t>
  </si>
  <si>
    <t>Đường Cao Lỗ</t>
  </si>
  <si>
    <t xml:space="preserve">Đường Tạ Quang Bửu </t>
  </si>
  <si>
    <t>Sông Chợ Đệm (Bình Chánh)</t>
  </si>
  <si>
    <t>Kênh Nhiêu Lộc - Thị Nghè</t>
  </si>
  <si>
    <t xml:space="preserve">Cầu Băngky </t>
  </si>
  <si>
    <t>Cầu Băng Ky (Nơ Trang Long)</t>
  </si>
  <si>
    <t>Cầu Đen đường sắt</t>
  </si>
  <si>
    <t>Cửa xả Cầu Mới Bạch Đằng</t>
  </si>
  <si>
    <t>Cửa xả Bùi Đình Tuý</t>
  </si>
  <si>
    <t>Cầu Văn Thánh 2 (Nguyễn Hữu Cảnh)</t>
  </si>
  <si>
    <t>Sông Trường Đai</t>
  </si>
  <si>
    <t>Ngã ba giao rạch Ông Bàu</t>
  </si>
  <si>
    <t>Cống Þ800 của Kênh Tham Lương</t>
  </si>
  <si>
    <t>Rạch Kinh 1 Tấn</t>
  </si>
  <si>
    <t>Cánh đồng Ụ Bà Bóng</t>
  </si>
  <si>
    <t>Rạch Hóc Môn</t>
  </si>
  <si>
    <t>Cống băng đường Nguyễn Thị Sóc</t>
  </si>
  <si>
    <t>Nhánh Rạch Thủy Tiên 1</t>
  </si>
  <si>
    <t>Nhánh Rạch Thủy Tiên 2</t>
  </si>
  <si>
    <t>Khu phố 2+3</t>
  </si>
  <si>
    <t>Khu phố 2</t>
  </si>
  <si>
    <t>Giáp Rạch Cái Trung</t>
  </si>
  <si>
    <t>Rạch Hố Mã Voi</t>
  </si>
  <si>
    <t>Rạch Cống Lớn-Ngã Tư</t>
  </si>
  <si>
    <t>Nhánh Rạch Đắp Ô Hiền 2</t>
  </si>
  <si>
    <t>Nhánh Rạch Bà Lào 5</t>
  </si>
  <si>
    <t>Rạch Xóm Củi-Gò Nổi</t>
  </si>
  <si>
    <t>Nhánh Rạch Tắc Bến Rô</t>
  </si>
  <si>
    <t>Rạch Cống Lớn Rạch Ngang</t>
  </si>
  <si>
    <t>Rạch Ngang</t>
  </si>
  <si>
    <t>Rạch Toâm</t>
  </si>
  <si>
    <t>Rạch Ong</t>
  </si>
  <si>
    <t>Rạch Ong Lớn</t>
  </si>
  <si>
    <t>Rạch Ñæa</t>
  </si>
  <si>
    <t>Rạch Rôi</t>
  </si>
  <si>
    <t>Sông Phước Kiển</t>
  </si>
  <si>
    <t>Đường An Dương Vương</t>
  </si>
  <si>
    <t>Võ Văn Vân</t>
  </si>
  <si>
    <t>Đoạn giữa Khu phố 6</t>
  </si>
  <si>
    <t>Nhánh Rạch Bà Tàng 1</t>
  </si>
  <si>
    <t>Nhánh Rạch Bà Tàng 2</t>
  </si>
  <si>
    <t>Nhánh Rạch Bà Tàng 3</t>
  </si>
  <si>
    <t>Nhánh Rạch Bà Tàng 4</t>
  </si>
  <si>
    <t>Nhánh Rạch Bà Cua 3</t>
  </si>
  <si>
    <t>Nhánh Rạch Bà Cua 6</t>
  </si>
  <si>
    <t>Nhánh Rạch Bà Cua 8 (Rạch Cầu Đập)</t>
  </si>
  <si>
    <t>Nhánh Rạch Chiếc 3 (Sông Ba Đụt)</t>
  </si>
  <si>
    <t>Nhánh Rạch Giồng Ông Tố 2 (Kênh Đông)</t>
  </si>
  <si>
    <t>Nhánh Rạch Giồng Ông Tố 3 (Rạch Đồng Nhỏ)</t>
  </si>
  <si>
    <t>Nhánh Rạch Giồng Ông Tố 5 (Rạch Đất Sét)</t>
  </si>
  <si>
    <t>Nhánh R Bà Cua 4 (Rạch Sơ Dừa)</t>
  </si>
  <si>
    <t>Nhánh Sông Cầu Ông Nhiêu 2 (Rạch Mương Củi)</t>
  </si>
  <si>
    <t>Nhánh Sông Cầu Ông Nhiêu 5</t>
  </si>
  <si>
    <t>Nhánh Rạch Trau Trảu 2</t>
  </si>
  <si>
    <t>Mương Đặng Thị Rành</t>
  </si>
  <si>
    <t xml:space="preserve"> Rạch tổ  1A - Khu phố 1</t>
  </si>
  <si>
    <t xml:space="preserve"> Rạch tổ  4 - Khu phố 1</t>
  </si>
  <si>
    <t xml:space="preserve"> Rạch tổ 6,7,8 - Khu phố 1</t>
  </si>
  <si>
    <t xml:space="preserve"> Rạch tổ 9,10- Khu phố 2</t>
  </si>
  <si>
    <t xml:space="preserve"> Rạch tổ 9- Khu phố 2</t>
  </si>
  <si>
    <t xml:space="preserve"> Rạch tổ 11 - Khu phố 2</t>
  </si>
  <si>
    <t xml:space="preserve"> Rạch tổ 20- Khu phố 2</t>
  </si>
  <si>
    <t xml:space="preserve"> Rạch tổ 14,15-Khu phố 2</t>
  </si>
  <si>
    <t xml:space="preserve"> Rạch tổ 25,26,27 -Khu phố 2</t>
  </si>
  <si>
    <t xml:space="preserve"> Rạch tổ 22-Khu phố 3</t>
  </si>
  <si>
    <t xml:space="preserve"> Rạch tổ 28-Khu phố 3</t>
  </si>
  <si>
    <t>Khu phố 3</t>
  </si>
  <si>
    <t>Khu phố 4</t>
  </si>
  <si>
    <t>Nhánh rạch Bà Gốc 2 (Rạch Mỹ Phú)</t>
  </si>
  <si>
    <t>Nhánh Rạch Cống Lớn-Rạch Ngang 1</t>
  </si>
  <si>
    <t>Nhánh Rạch Cống Lớn-Rạch Ngang 3</t>
  </si>
  <si>
    <t>Nhánh Rạch Cống Lớn-Rạch Ngang 4</t>
  </si>
  <si>
    <t>Nhánh Rạch Rơi 4 (Rạch Lười)</t>
  </si>
  <si>
    <t>Rạch Mường Thông -  Rạch Gành Hào lớn</t>
  </si>
  <si>
    <t>Toå 47 - Khu phố 7</t>
  </si>
  <si>
    <t>Toå 47 - Khu phố 8</t>
  </si>
  <si>
    <t>Toå 49 - Khu phố 8</t>
  </si>
  <si>
    <t>Toå 57 -Khu phố 9</t>
  </si>
  <si>
    <t>Toå 34 - 35 - Khu phố 5</t>
  </si>
  <si>
    <t>Toå 24 - Khu phố 4</t>
  </si>
  <si>
    <t>Toå 26 - Khu phố 4</t>
  </si>
  <si>
    <t>Toå 16 - Khu phố 3</t>
  </si>
  <si>
    <t>Toå 20 - Khu phố 3</t>
  </si>
  <si>
    <t>Toå 15 - Khu phố 2</t>
  </si>
  <si>
    <t>Toå 14 - Khu phố 2</t>
  </si>
  <si>
    <t>Cửa xả cống hộp tổ 33 Khu phố 5</t>
  </si>
  <si>
    <t>Rạch Lăng đoạn 1</t>
  </si>
  <si>
    <t>Rạch Văn Thánh đoạn 2</t>
  </si>
  <si>
    <t>Rạch Văn Thánh đoạn 3</t>
  </si>
  <si>
    <t>Rạch Văn Thánh đoạn 4</t>
  </si>
  <si>
    <t>Văn Thánh Nhánh đoạn 1</t>
  </si>
  <si>
    <t>Văn Thánh Nhánh đoạn 2</t>
  </si>
  <si>
    <t>Văn Thánh Nhánh đoạn 3</t>
  </si>
  <si>
    <t>Kênh Tân Hoá đoạn 2</t>
  </si>
  <si>
    <t>Rạch Hàng Bàng đoạn 2</t>
  </si>
  <si>
    <t>Rạch Hàng Bàng đoạn 3</t>
  </si>
  <si>
    <t>Rạch Ruột Ngựa đoạn 2</t>
  </si>
  <si>
    <t>Rạch Cầu Đồn đoạn 2</t>
  </si>
  <si>
    <t>Rạch Lăng đoạn 2</t>
  </si>
  <si>
    <t>Rạch Lăng Nhánh 1</t>
  </si>
  <si>
    <t>Rạch Lăng Nhánh 2</t>
  </si>
  <si>
    <t>Rạch Bà Láng đoạn 2</t>
  </si>
  <si>
    <t>Rạch Bà Láng đoạn 3</t>
  </si>
  <si>
    <t>Rạch Bà Láng đoạn 4</t>
  </si>
  <si>
    <t>Rạch Bà Láng Nhánh 1</t>
  </si>
  <si>
    <t>Rạch Cầu Sơn đoạn 2</t>
  </si>
  <si>
    <t>Nhánh rạch Cầu Xây 24</t>
  </si>
  <si>
    <t>Rạch Bà Bướm đoạn 2</t>
  </si>
  <si>
    <t>Rạch Bà Bướm đoạn 3</t>
  </si>
  <si>
    <t>Rạch Bần Đôn đoạn 2</t>
  </si>
  <si>
    <t>Rạch Bần Đôn đoạn 3</t>
  </si>
  <si>
    <t>Đường Hồ Học Lãm</t>
  </si>
  <si>
    <t>Khu dân cư An Dương Vương</t>
  </si>
  <si>
    <t>Khu dân cư (đường Bà Hom)</t>
  </si>
  <si>
    <t>Đầu nguồn (dọc Khu công nghiệp Bounchuen)</t>
  </si>
  <si>
    <t>Gần SN 354/66/39 - Phường 11</t>
  </si>
  <si>
    <t>Rạch Gò Nổi</t>
  </si>
  <si>
    <t xml:space="preserve">Rạch Đồng Trong </t>
  </si>
  <si>
    <t>Đường TL44</t>
  </si>
  <si>
    <t>Hẻm 34 đường APĐ27</t>
  </si>
  <si>
    <t xml:space="preserve">Rạch Rỗng Bùng </t>
  </si>
  <si>
    <t>Rạch Chín Khâm (ấp 4)</t>
  </si>
  <si>
    <t>Từ Bọng Bàu</t>
  </si>
  <si>
    <t xml:space="preserve">Từ Bọng Bàu </t>
  </si>
  <si>
    <t>Từ rạch Bà Mễn</t>
  </si>
  <si>
    <t>Từ rạch Bến Đá (Nhị Bình)</t>
  </si>
  <si>
    <t>Rạch Tra (ông Hồ), ấp Trung Đông</t>
  </si>
  <si>
    <t>Rỗng đội 5 ra cầu đội 6 ấp Trung Đông</t>
  </si>
  <si>
    <t>Từ Kênh Xáng</t>
  </si>
  <si>
    <t>Rạch Hóc Môn</t>
  </si>
  <si>
    <t>Từ Kênh T2</t>
  </si>
  <si>
    <t>Rạch Rỗng Mướp</t>
  </si>
  <si>
    <t>Từ Kênh T3</t>
  </si>
  <si>
    <t>Mương tiêu nội đồng ấp 1,4 Xuân Thới Sơn</t>
  </si>
  <si>
    <t>Từ ruộng nhà Ông Ba Bách</t>
  </si>
  <si>
    <t>Đào Công Khi</t>
  </si>
  <si>
    <t>Mương tiêu nội đồng ấp 2,3 Xuân Thới Sơn</t>
  </si>
  <si>
    <t>Từ nhà Ông Sáu Răng</t>
  </si>
  <si>
    <t xml:space="preserve"> Đường Xuyên Á</t>
  </si>
  <si>
    <t xml:space="preserve">Trung tâm cai Nghiện </t>
  </si>
  <si>
    <t>Nhà thờ Cầu Lớn</t>
  </si>
  <si>
    <t>Mương sau Lô B (giáp đường Đặng Công Bỉnh) (T9)</t>
  </si>
  <si>
    <t xml:space="preserve">Từ Đường Đặng Công Bỉnh </t>
  </si>
  <si>
    <t xml:space="preserve"> Ngã 3 Giồng</t>
  </si>
  <si>
    <t xml:space="preserve">Xã Tân Thới Nhì </t>
  </si>
  <si>
    <t xml:space="preserve"> Cuối tuyến </t>
  </si>
  <si>
    <t>Đoạn nối rạch Cầu Sa</t>
  </si>
  <si>
    <t>Từ Kênh T1 Bà Điểm</t>
  </si>
  <si>
    <t>Cách Quốc lộ 1A 125m</t>
  </si>
  <si>
    <t>Kênh Đê Bà Tỵ</t>
  </si>
  <si>
    <t>Tỉnh Lộ 9</t>
  </si>
  <si>
    <t>Rạch Đường Khai</t>
  </si>
  <si>
    <t xml:space="preserve">Thượng nguồn khu dân cư </t>
  </si>
  <si>
    <t>Thượng nguồn khu dân cư (đường mới)</t>
  </si>
  <si>
    <t>Thượng nguồn khu dân cư(đường mới)</t>
  </si>
  <si>
    <t>Bến Đò Đình</t>
  </si>
  <si>
    <t>Khu dân cư Hồ Học Lãm</t>
  </si>
  <si>
    <t>Đường Trần Đại Nghĩa</t>
  </si>
  <si>
    <t>Gần số 243 đường Hai Sáu Tháng Ba</t>
  </si>
  <si>
    <t>Khu dân cư sau hãng cân Nhơn Hòa (đường Ung Văn Khiêm)</t>
  </si>
  <si>
    <t>Đường số 4 (Số nhà 80/12/204)</t>
  </si>
  <si>
    <t>Số nhà 170 đường số 59</t>
  </si>
  <si>
    <t>Số 296/58 Nguyễn Văn Lượng, phường 17</t>
  </si>
  <si>
    <t>Số 537/28/35 Nguyễn Oanh</t>
  </si>
  <si>
    <t>Số 616/61/100 Lê Đức Tho, phường 15</t>
  </si>
  <si>
    <t>Số 262/3 Dương Quảng hàm, phường 5</t>
  </si>
  <si>
    <t>Số 246/32/7 Dương Quảng hàm, phường 6</t>
  </si>
  <si>
    <t>Số 234/69 Lê Đức Thọ, phường 6 (ngã ba giao rạch Ông Tổng nhánh 1 và 3)</t>
  </si>
  <si>
    <t xml:space="preserve">Số 234/43 Lê Đức Thọ, phường 6 </t>
  </si>
  <si>
    <t>Số 496/15/20Dương Quảng Hàm, phường 7</t>
  </si>
  <si>
    <t>Đường Dương Quảng Hàm</t>
  </si>
  <si>
    <t>Đường Hoà Bình</t>
  </si>
  <si>
    <t>Đường Phạm Văn Đồng</t>
  </si>
  <si>
    <t>Hẻm 350 đường An Phú Đông</t>
  </si>
  <si>
    <t>Hẻm 398-Vườn Lài</t>
  </si>
  <si>
    <t>Hẻm 105-QL1A</t>
  </si>
  <si>
    <t>Đường TA05</t>
  </si>
  <si>
    <t>Từ ranh xã Xuân Thới Sơn</t>
  </si>
  <si>
    <t>Từ ranh xã Xuân Thới Thượng</t>
  </si>
  <si>
    <t>Đầu tuyến (Khu chế xuất Tân Thuận)</t>
  </si>
  <si>
    <t xml:space="preserve">Cửa xả 12/9 đường Huỳnh Tấn Phát </t>
  </si>
  <si>
    <t>Đường Lê Văn Lương (cống xả Bế Văn Cấm )</t>
  </si>
  <si>
    <t>Vùng trũng cách đường Huỳnh Tân Phát 100m</t>
  </si>
  <si>
    <t xml:space="preserve">Đường Huỳnh Tấn Phát </t>
  </si>
  <si>
    <t>Cửa xả đối diện số 51/5 Hùynh Tấn Phát</t>
  </si>
  <si>
    <t>Rạch Ông</t>
  </si>
  <si>
    <t>Nhánh rạch Cống Dinh</t>
  </si>
  <si>
    <t>Rạch Bãi Tệ</t>
  </si>
  <si>
    <t>Khu dân cư Xí nghiệp may Quận 8</t>
  </si>
  <si>
    <t xml:space="preserve">Rạch Nước Lên </t>
  </si>
  <si>
    <t>Số 537/29/35 Nguyễn Oanh, phường 17</t>
  </si>
  <si>
    <t>Cầu Bê tông cốt thép</t>
  </si>
  <si>
    <t>Sông Cầu Ông Nhiêu</t>
  </si>
  <si>
    <t>Đường Trương Văn Thành</t>
  </si>
  <si>
    <t>Hẽm 59, đường số 8, khu phố 5</t>
  </si>
  <si>
    <t>Văn phòng 2 Chính phủ</t>
  </si>
  <si>
    <t xml:space="preserve"> Công ty Thanh Bình</t>
  </si>
  <si>
    <t xml:space="preserve"> Cầu Trắng 2 (Cầu Bùi Văn Ba cũ)</t>
  </si>
  <si>
    <t>Cống xả Nguyễn Thị Thập</t>
  </si>
  <si>
    <t>Cách Quốc lộ 1A 75m</t>
  </si>
  <si>
    <t xml:space="preserve">Sông  Đập </t>
  </si>
  <si>
    <t>Cư xá Bà Điểm</t>
  </si>
  <si>
    <t>Phan Văn Hớn</t>
  </si>
  <si>
    <t>Nguyễn Văn Bứa</t>
  </si>
  <si>
    <t>Đường liên ấp Nam Thới - Thới Tứ</t>
  </si>
  <si>
    <t>Rạch Nam Thới - Thới Tứ</t>
  </si>
  <si>
    <t>Rạch Cầu Sa</t>
  </si>
  <si>
    <t xml:space="preserve">Rạch Cầu Suối </t>
  </si>
  <si>
    <t>Ngã ba rạch Cầu Ông Cậy</t>
  </si>
  <si>
    <t>Cầu Ông Tranh</t>
  </si>
  <si>
    <t>Hội trường KP1</t>
  </si>
  <si>
    <t>Đường số 60</t>
  </si>
  <si>
    <t>Đường số 61</t>
  </si>
  <si>
    <t>Rạch Kỳ Hà</t>
  </si>
  <si>
    <t>Đường Thích Mật Thể</t>
  </si>
  <si>
    <t>Rạch Bến Dóc</t>
  </si>
  <si>
    <t xml:space="preserve">Rạch Đồng Ngòai </t>
  </si>
  <si>
    <t>Nhánh sông Đồng Nai 22</t>
  </si>
  <si>
    <t>Nhánh sông Đồng Nai 23</t>
  </si>
  <si>
    <t>Rạch Ông Tiến</t>
  </si>
  <si>
    <t>Nhánh Rạch Chiếc 8</t>
  </si>
  <si>
    <t>Nhánh Rạch Chiếc 10</t>
  </si>
  <si>
    <t>Kinh Một Tấn</t>
  </si>
  <si>
    <t>Rạch Đất Sét</t>
  </si>
  <si>
    <t>Nhánh Rạch Bà Cua 1</t>
  </si>
  <si>
    <t>Nhánh Rạch Bà Cua 2 (Rạch Ngọn Tiệm)</t>
  </si>
  <si>
    <t>Đường Đỗ Xuân Hợp</t>
  </si>
  <si>
    <t>Ngã 3 rạch Gò Công</t>
  </si>
  <si>
    <t>Ng 4 Bình Thi</t>
  </si>
  <si>
    <t>Ng 3 Rạch Trau Trấu</t>
  </si>
  <si>
    <t>Rạch Một Tấn</t>
  </si>
  <si>
    <t>Rạch Bà Giáng</t>
  </si>
  <si>
    <t>Đỗ Xuân Hợp</t>
  </si>
  <si>
    <t>Rạch Lân</t>
  </si>
  <si>
    <t>Đường Lã Xuân Oai</t>
  </si>
  <si>
    <t>Đường Lê Văn Việt</t>
  </si>
  <si>
    <t>Xa Lộ Hà Nội</t>
  </si>
  <si>
    <t>Rạch Ông Chua</t>
  </si>
  <si>
    <t>Rạch Ông Hóa</t>
  </si>
  <si>
    <t>Rạch Mương Kinh</t>
  </si>
  <si>
    <t>Nhánh Sông Đồng Nai</t>
  </si>
  <si>
    <t>Nhánh Rạch Lân 1</t>
  </si>
  <si>
    <t>Nhánh Rạch Lân 2</t>
  </si>
  <si>
    <t>Nhánh Rạch Lân 3</t>
  </si>
  <si>
    <t>Rạch 5</t>
  </si>
  <si>
    <t>Rạch 6</t>
  </si>
  <si>
    <t>Rạch 7 Cửa Xã đường 14</t>
  </si>
  <si>
    <t>Nhánh Rạch chiếc 9</t>
  </si>
  <si>
    <t xml:space="preserve">Rạch 13 </t>
  </si>
  <si>
    <t>Rạch Bến Chùa (cửa xả đoạn 1)</t>
  </si>
  <si>
    <t xml:space="preserve">Nhánh Bến đò nhỏ 15 </t>
  </si>
  <si>
    <t xml:space="preserve">Nhánh Bến đò nhỏ 16 </t>
  </si>
  <si>
    <t xml:space="preserve">Nhánh Rạch Suối Cái </t>
  </si>
  <si>
    <t xml:space="preserve">Rạch Mương Chùa </t>
  </si>
  <si>
    <t xml:space="preserve">Rạch Cầu Xây 25 </t>
  </si>
  <si>
    <t xml:space="preserve">Nhánh Rạch Suối Tiên 26 </t>
  </si>
  <si>
    <t xml:space="preserve">Rạch Đồng Tròn </t>
  </si>
  <si>
    <t xml:space="preserve">Nhánh Rạch Sơng Đồng Nai 28 </t>
  </si>
  <si>
    <t xml:space="preserve">Nhánh Rạch Đồng Tròn 29 </t>
  </si>
  <si>
    <t>Rạch ông Tán</t>
  </si>
  <si>
    <t>Nhánh Rạch Cái</t>
  </si>
  <si>
    <t>Kinh Long Phước</t>
  </si>
  <si>
    <t>Nhánh Rạch Ông Nhiêu 35</t>
  </si>
  <si>
    <t>Nhánh Rạch Ông Nhiêu 36</t>
  </si>
  <si>
    <t>Nhánh Rạch Ông Nhiêu 37</t>
  </si>
  <si>
    <t>Rạch Hương Việt</t>
  </si>
  <si>
    <t>Rạch Bà Mụ</t>
  </si>
  <si>
    <t>Suối Bình Thọ</t>
  </si>
  <si>
    <t>Rạch Ông Hương</t>
  </si>
  <si>
    <t>Suối Cầu Trắng 2</t>
  </si>
  <si>
    <t>Suối cạn KP6</t>
  </si>
  <si>
    <t>Suối KP5</t>
  </si>
  <si>
    <t>Mương Thóat nước Nhà máy nước Thủ Đức</t>
  </si>
  <si>
    <t>Rạch Cầu Ngang - KP4</t>
  </si>
  <si>
    <t>Rạch Cầu Nhỏ</t>
  </si>
  <si>
    <t>Rạch Bà Cầm</t>
  </si>
  <si>
    <t>Rạch tổ 20</t>
  </si>
  <si>
    <t>Rạch tổ 16</t>
  </si>
  <si>
    <t>Rạch Miễu Nhum</t>
  </si>
  <si>
    <t>Rạch tổ 24</t>
  </si>
  <si>
    <t>Rạch Cao Su Việt Hưng</t>
  </si>
  <si>
    <t>Rạch Cầu Năm Chống</t>
  </si>
  <si>
    <t>Rạch Cầu Quán</t>
  </si>
  <si>
    <t>Rạch Bà Tâm</t>
  </si>
  <si>
    <t>Rạch Ông Diệm</t>
  </si>
  <si>
    <t>Rạch Cầu Ván</t>
  </si>
  <si>
    <t>Rạch Cầu Bảy Chiêu</t>
  </si>
  <si>
    <t>Rạch Đông Lân</t>
  </si>
  <si>
    <t>Rạch đường số 2</t>
  </si>
  <si>
    <t>Rạch đường số 4</t>
  </si>
  <si>
    <t>Rạch Đình Bình Phước</t>
  </si>
  <si>
    <t>Rạch Ong Chín Điếu</t>
  </si>
  <si>
    <t>Rạch Lò Đường Ong Chích</t>
  </si>
  <si>
    <t>Rạch Xí Nghiệp Đay</t>
  </si>
  <si>
    <t>Rạch Hòai Thanh - KP3</t>
  </si>
  <si>
    <t>Rạch Vĩnh An</t>
  </si>
  <si>
    <t>Rạch Kinh Đô</t>
  </si>
  <si>
    <t>Rạch Ong Tám</t>
  </si>
  <si>
    <t>Rạch Ụ Ghe</t>
  </si>
  <si>
    <t>Rạch Cầu Khỉ</t>
  </si>
  <si>
    <t>Rạch Xăng Máu</t>
  </si>
  <si>
    <t>Suối Cầu Trắng 1</t>
  </si>
  <si>
    <t xml:space="preserve">Rạch Xương Máu </t>
  </si>
  <si>
    <t>Rạch Bà Điểm 1</t>
  </si>
  <si>
    <t>Rạch Bà Điểm 2</t>
  </si>
  <si>
    <t>Rạch Lý Thường Kiệt</t>
  </si>
  <si>
    <t>Rạch Bà Triệu 1</t>
  </si>
  <si>
    <t xml:space="preserve">Rạch Nguyễn Thị Sóc  </t>
  </si>
  <si>
    <t>Rạch Trưng Nữ Vương</t>
  </si>
  <si>
    <t>Rạch Cống lấp (rạch Bà Thân)</t>
  </si>
  <si>
    <t>Kênh Tiêu Tỉnh lộ 8</t>
  </si>
  <si>
    <t>Rạch Thầy Tiêu (đoạn cuối)</t>
  </si>
  <si>
    <t>Rạch Phú Lộc</t>
  </si>
  <si>
    <t>Rạch Ông Chồm</t>
  </si>
  <si>
    <t>Nhánh rạch Cây Bông</t>
  </si>
  <si>
    <t>Nhánh Sông Nhà Bè 9</t>
  </si>
  <si>
    <t>Nhánh Sông Nhà Bè 11</t>
  </si>
  <si>
    <t>Nhánh Sông Nhà Bè 12</t>
  </si>
  <si>
    <t>Nhánh Sông Nhà Bè 13</t>
  </si>
  <si>
    <t>Nhánh Sông Nhà Bè 14</t>
  </si>
  <si>
    <t>Nhánh Sông Nhà Bè 18</t>
  </si>
  <si>
    <t>Nhánh Sông Nhà Bè 20</t>
  </si>
  <si>
    <t>Nhánh rạch Ông Lớn 5</t>
  </si>
  <si>
    <t>Nhánh rạch Ông Lớn 6</t>
  </si>
  <si>
    <t>Nhánh rạch Ông Lớn 11</t>
  </si>
  <si>
    <t>Nhánh rạch Đỉa 9</t>
  </si>
  <si>
    <t>Nhánh rạch Đỉa 10</t>
  </si>
  <si>
    <t>Nhánh rạch Rơi</t>
  </si>
  <si>
    <t>Nhánh rạch Ông Lớn 15</t>
  </si>
  <si>
    <t>Nhnh Rạch Ông Đội 4</t>
  </si>
  <si>
    <t>Nhánh sông Phước Kiểng-Mương Chuối 8</t>
  </si>
  <si>
    <t>Nhánh Rạch Xóm Củi - Gò Nổi 12</t>
  </si>
  <si>
    <t>Nhánh R. Xóm Củi - Gò Nổi 15</t>
  </si>
  <si>
    <t>Nhánh Rạch Xóm Củi - Gò Nổi 18</t>
  </si>
  <si>
    <t>Sông Bến Đị Nhỏ</t>
  </si>
  <si>
    <t>Nhánh Rạch Bến Chùa</t>
  </si>
  <si>
    <t>Rạch Suối Tiên</t>
  </si>
  <si>
    <t>Đường Gò Dưa</t>
  </si>
  <si>
    <t>Số 8B Thống Nhất</t>
  </si>
  <si>
    <t>Số 22 Đặng Văn Bi</t>
  </si>
  <si>
    <t>Đường Tô Ngọc Vân</t>
  </si>
  <si>
    <t>Ngã 3 Rạch Cầu Ngang</t>
  </si>
  <si>
    <t>Số 2A đường số 7 Khu phố 3 (Đường Tô Ngọc Vân)</t>
  </si>
  <si>
    <t>Số 479/32/6 QL,13 Hiệp Bình Phước</t>
  </si>
  <si>
    <t>Số 2/57 QL.13 Hiệp Bình Phước</t>
  </si>
  <si>
    <t>Số 23/3B TL43 P.Bình Chiểu.</t>
  </si>
  <si>
    <t>Số 783 TL 43 Kp3 P.Bình Chiểu</t>
  </si>
  <si>
    <t>Hồ nước Quân đoàn 4</t>
  </si>
  <si>
    <t>Hẽm Quốc Lộ 13 số 71/2</t>
  </si>
  <si>
    <t>Hẽm Quốc Lộ 13 số 652/13</t>
  </si>
  <si>
    <t>Đường Tam Châu</t>
  </si>
  <si>
    <t>Đại học TDTT</t>
  </si>
  <si>
    <t>Ngã 3 QL 1A-Đường 18</t>
  </si>
  <si>
    <t>Nhà máy nước Thủ Đức</t>
  </si>
  <si>
    <t>Đường Dương Văn Cam</t>
  </si>
  <si>
    <t>Suối cái (Công ty Cocacola)</t>
  </si>
  <si>
    <t>Giáp xã Vĩnh Phú</t>
  </si>
  <si>
    <t>Giáp rạch Nước Trong</t>
  </si>
  <si>
    <t>Đường Ụ ghe</t>
  </si>
  <si>
    <t>Đường Tam Bình</t>
  </si>
  <si>
    <t>Đường Tam Hà</t>
  </si>
  <si>
    <t>Đường Đất Sỏi</t>
  </si>
  <si>
    <t>Đường Trịnh Quang Nghị</t>
  </si>
  <si>
    <t>Đoạn giữa Khu phố 7</t>
  </si>
  <si>
    <t>Kinh Cây Khô</t>
  </si>
  <si>
    <t>Đường số 45</t>
  </si>
  <si>
    <t>Tổng cộng 849 tuyến, tổng chiều dài 1.094.105m</t>
  </si>
  <si>
    <t>Kênh T0</t>
  </si>
  <si>
    <t>(Kèm theo Quyết định số 28/2016/QĐ-UBND ngày 12 tháng 8 năm 2016 của Ủy ban nhân dân Thành phố</t>
  </si>
  <si>
    <t>(Kèm theo Quyết định số 28/2016/QĐ-UBND ngày 12 tháng 8 năm 2016 của Ủy ban nhân dân Thành phố)</t>
  </si>
  <si>
    <r>
      <rPr>
        <b/>
        <sz val="14"/>
        <rFont val="Times New Roman"/>
        <family val="1"/>
      </rPr>
      <t>Phụ lục 1: Danh mục các tuyến sông, kênh, rạch có chức năng tiêu thoát nước trên địa bàn Thành phố</t>
    </r>
    <r>
      <rPr>
        <sz val="14"/>
        <rFont val="Times New Roman"/>
        <family val="1"/>
      </rPr>
      <t xml:space="preserve">
</t>
    </r>
    <r>
      <rPr>
        <i/>
        <sz val="12"/>
        <rFont val="Times New Roman"/>
        <family val="1"/>
      </rPr>
      <t>(Kèm theo Quyết định số 28/2016/QĐ-UBND ngày 12 tháng 8 năm 2016 của Ủy ban nhân dân Thành phố)</t>
    </r>
  </si>
  <si>
    <t>Ủy ban nhân dân các quận  - huyện, trong đó:</t>
  </si>
  <si>
    <t>a</t>
  </si>
  <si>
    <t>b</t>
  </si>
  <si>
    <t>c</t>
  </si>
  <si>
    <t>d</t>
  </si>
  <si>
    <t>đ</t>
  </si>
  <si>
    <t>e</t>
  </si>
  <si>
    <t>g</t>
  </si>
  <si>
    <t>giao DN Thiên Hà</t>
  </si>
  <si>
    <t>Đã lắp cống hộp</t>
  </si>
  <si>
    <t>Trùng TTCN</t>
  </si>
  <si>
    <t>Trùng</t>
  </si>
  <si>
    <t>Tiêu Bàu Trai (T43-6-8)</t>
  </si>
  <si>
    <t>Ngã tư chòm sấu</t>
  </si>
  <si>
    <t>Rạch Rỏng Gan</t>
  </si>
  <si>
    <t>Rạch Giáng</t>
  </si>
  <si>
    <t>Đê bao</t>
  </si>
  <si>
    <t>Đường Long Phước</t>
  </si>
  <si>
    <t>UBND TP có Công văn số 16233/VP-KT giao quận làm chủ đầu tư</t>
  </si>
  <si>
    <t>Kênh Ngang số 1</t>
  </si>
  <si>
    <t>Ra#ch Oâng Tuù</t>
  </si>
  <si>
    <t>Nhánh Rạch Tra 1(ấp 3)</t>
  </si>
  <si>
    <t>Nhánh Rạch Tra 2(ấp 3)</t>
  </si>
  <si>
    <t>Rạch Đá Hàn - rạch Dứa</t>
  </si>
  <si>
    <t>Rạch Cái nhánh</t>
  </si>
  <si>
    <t>Rạch Bà Cầu</t>
  </si>
  <si>
    <t>Rạch Bà Pha</t>
  </si>
  <si>
    <t>Rạch Bà Trưởng</t>
  </si>
  <si>
    <t>Rạch Cái Gia</t>
  </si>
  <si>
    <t>Rạch So</t>
  </si>
  <si>
    <t>Rạch Cầu Trắng</t>
  </si>
  <si>
    <t>Rạch Bầu Dài</t>
  </si>
  <si>
    <t xml:space="preserve">Rạch Bọng Bàu </t>
  </si>
  <si>
    <t>Rạch Ông Bầu</t>
  </si>
  <si>
    <t>Rạch Bến Bà May</t>
  </si>
  <si>
    <t>Nhánh Rạch Bến Bà May 1</t>
  </si>
  <si>
    <t>Nhánh Rạch Bến Bà May 2</t>
  </si>
  <si>
    <t>Nhánh Rạch Bến Bà May 3 (ấp 3)</t>
  </si>
  <si>
    <t>Rạch Bến Lội 3 (ấp 3)</t>
  </si>
  <si>
    <t>Nhánh Rạch Bến Lội 1 (ấp 3)</t>
  </si>
  <si>
    <t>Rạch Bà Đẹp (Kênh T1), ấp Trung Đông</t>
  </si>
  <si>
    <t>Kênh T4, ấ#p Trung Đông</t>
  </si>
  <si>
    <t>Rạch cầu đội 4, ấp Trung Đông</t>
  </si>
  <si>
    <t>Rõng Hàng Mớp</t>
  </si>
  <si>
    <t>Sông Lu - Rõng cầu Bà Nga</t>
  </si>
  <si>
    <t>Nhánh sông Sài Gòn 24</t>
  </si>
  <si>
    <t>Nhánh sông Sài Gòn 25</t>
  </si>
  <si>
    <t>Nhánh sông Sài Gòn 26</t>
  </si>
  <si>
    <t>Nhánh sông Sài Gòn 27</t>
  </si>
  <si>
    <t>Nhánh sông Sài Gòn 28</t>
  </si>
  <si>
    <t>Nhánh sông Sài Gòn 29</t>
  </si>
  <si>
    <t>Nhánh sông Sài Gòn 30</t>
  </si>
  <si>
    <t>Nhánh sông Sài Gòn 31</t>
  </si>
  <si>
    <t>Nhánh sông Sài Gòn 32</t>
  </si>
  <si>
    <t>Nhánh sông Sài Gòn 33</t>
  </si>
  <si>
    <t>Nhánh sông Sài Gòn 34</t>
  </si>
  <si>
    <t>Nhánh sông Sài Gòn 35</t>
  </si>
  <si>
    <t>Nhánh sông Sài Gòn 36</t>
  </si>
  <si>
    <t>Nhánh sông Sài Gòn 37</t>
  </si>
  <si>
    <t>Nhánh sông Sài Gòn 38</t>
  </si>
  <si>
    <t>Nhánh sông Sài Gòn 39</t>
  </si>
  <si>
    <t>Nhánh sông Sài Gòn 40</t>
  </si>
  <si>
    <t>Nhánh sông Sài Gòn 41</t>
  </si>
  <si>
    <t>Nhánh sông Sài Gòn 1a</t>
  </si>
  <si>
    <t>Nhánh sông Sài Gòn 6</t>
  </si>
  <si>
    <t>Nhánh sông Sài Gòn 9</t>
  </si>
  <si>
    <t>Nhánh sông Sài Gòn 10</t>
  </si>
  <si>
    <t>Nhánh sông Sài Gòn 11</t>
  </si>
  <si>
    <t>Nhánh sông Sài Gòn 12</t>
  </si>
  <si>
    <t>Nhánh sông Sài Gòn 12a</t>
  </si>
  <si>
    <t>Nhánh sông Sài Gòn 13</t>
  </si>
  <si>
    <t>Nhánh sông Sài Gòn 13a</t>
  </si>
  <si>
    <t>Nhánh sông Sài Gòn 14</t>
  </si>
  <si>
    <t>Nhánh sông Sài Gòn 15</t>
  </si>
  <si>
    <t>Nhánh sông Sài Gòn 15a</t>
  </si>
  <si>
    <t>Nhánh sông Sài Gòn 16</t>
  </si>
  <si>
    <t>Nhánh sông Sài Gòn 17</t>
  </si>
  <si>
    <t>Nhánh sông Sài Gòn 23a</t>
  </si>
  <si>
    <t>Nhánh Rạch Tra 23</t>
  </si>
  <si>
    <t>Nhánh Rạch Tra 22</t>
  </si>
  <si>
    <t>Nhánh Rạch Tra 21</t>
  </si>
  <si>
    <t>Nhánh Rạch Tra 20</t>
  </si>
  <si>
    <t>Nhánh Rạch Tra 19a</t>
  </si>
  <si>
    <t>Nhánh Rạch Tra 19</t>
  </si>
  <si>
    <t>Nhánh Rạch Tra 18</t>
  </si>
  <si>
    <t>Nhánh Rạch Tra 17</t>
  </si>
  <si>
    <t>Nhánh Rạch Tra 16</t>
  </si>
  <si>
    <t>Nhánh Rạch Tra 15</t>
  </si>
  <si>
    <t>Nhánh Rạch Tra 14</t>
  </si>
  <si>
    <t>Nhánh Rạch Tra 13</t>
  </si>
  <si>
    <t>Nhánh Rạch Tra 12</t>
  </si>
  <si>
    <t>Nhánh Rạch Tra 11</t>
  </si>
  <si>
    <t>Nhánh Rạch Tra 10</t>
  </si>
  <si>
    <t>Nhánh Rạch Tra 9</t>
  </si>
  <si>
    <t>Nhánh Rạch Tra 8</t>
  </si>
  <si>
    <t>Nhánh Rạch Tra 7</t>
  </si>
  <si>
    <t>Nhánh Rạch Tra 6</t>
  </si>
  <si>
    <t>Nhánh Rạch Tra 5</t>
  </si>
  <si>
    <t>Nhánh Rạch Tra 4</t>
  </si>
  <si>
    <t>Nhánh Rạch Tra 3</t>
  </si>
  <si>
    <t>Nhánh Rạch Tra 2</t>
  </si>
  <si>
    <t>Nhánh Rạch Tra 1</t>
  </si>
  <si>
    <t>Rạch Sóc Vàm</t>
  </si>
  <si>
    <t>Rạch Đường Thép</t>
  </si>
  <si>
    <t>Rạch Tắc Lầu</t>
  </si>
  <si>
    <t>Rạch Mương Bằng</t>
  </si>
  <si>
    <t>Rạch Bầu Le</t>
  </si>
  <si>
    <t>Rạch Giồng Chồn</t>
  </si>
  <si>
    <t>Rạch Bà Tư</t>
  </si>
  <si>
    <t>Rạch Ông Dò</t>
  </si>
  <si>
    <t>Sông rạch Rộp</t>
  </si>
  <si>
    <t>Rạch Trại Cưa Lớn</t>
  </si>
  <si>
    <t>Rạch Bà Chồi</t>
  </si>
  <si>
    <t>Rạch Cống Cầu</t>
  </si>
  <si>
    <t>Rạch Bà Hoi</t>
  </si>
  <si>
    <t>Rạch Sa Sập</t>
  </si>
  <si>
    <t>Rạch Ấp 3</t>
  </si>
  <si>
    <t>Rạch Bún</t>
  </si>
  <si>
    <t>Rạch Miếu</t>
  </si>
  <si>
    <t>Rạch Cống</t>
  </si>
  <si>
    <t>Rạch Mai Nhã</t>
  </si>
  <si>
    <t>Rạch Ấp Chiến Lược</t>
  </si>
  <si>
    <t>Rạch Mường Thông - Rành Hào Lớn</t>
  </si>
  <si>
    <t xml:space="preserve"> Rạch Tràm </t>
  </si>
  <si>
    <t xml:space="preserve"> Tắc Miễu </t>
  </si>
  <si>
    <t>Củ chi kiến nghị qua thoát nước</t>
  </si>
  <si>
    <t>Kênh Tiêu T39-4</t>
  </si>
  <si>
    <t>Đã chỉnh</t>
  </si>
  <si>
    <t>Cống qua đường Tỉnh lộ 8</t>
  </si>
  <si>
    <t>Đường TL29</t>
  </si>
  <si>
    <t>Rạch Ông Mô - Sở Cũ</t>
  </si>
  <si>
    <t>An Dương Vương</t>
  </si>
  <si>
    <t>Kênh Ranh</t>
  </si>
  <si>
    <t>Đoạn 1: từ đường Dương Công Khi
Đoạn 2: từ Kênh Trung Ương</t>
  </si>
  <si>
    <t>1,5-4,5</t>
  </si>
  <si>
    <t>Rạch Tam Đệ</t>
  </si>
  <si>
    <t>Chung cư Ehome 3</t>
  </si>
  <si>
    <t>Rạch Bồ Đề</t>
  </si>
  <si>
    <t>Sông Hiệp Ân</t>
  </si>
  <si>
    <t>20-25</t>
  </si>
  <si>
    <t xml:space="preserve">Rạch thoát nước ranh quận Bình Tân - Quận 8 </t>
  </si>
  <si>
    <t>4,8</t>
  </si>
  <si>
    <t>Đường Đào Trí</t>
  </si>
  <si>
    <t>Rạch Xếp Sâu đoạn 1</t>
  </si>
  <si>
    <t>Rạch Xếp Sâu đoạn 2</t>
  </si>
  <si>
    <t>Thửa đất số 1, tờ bản đồ số 2, phường 15 Gò Vấp</t>
  </si>
  <si>
    <t>Thửa đất số 12, tờ bản đồ số 1, phường 15 Gò Vấp</t>
  </si>
  <si>
    <t>Quy mô</t>
  </si>
  <si>
    <t>Địa điểm (phường, xã)</t>
  </si>
  <si>
    <t>Phân cấp quản lý</t>
  </si>
  <si>
    <t>Rạch Nguyễn Văn Hưởng 2</t>
  </si>
  <si>
    <t>Rạch Nguyễn Văn Hưởng 3</t>
  </si>
  <si>
    <t>Rạch Nguyễn Văn Hưởng 4</t>
  </si>
  <si>
    <t>Rạch Nguyễn Văn Hưởng 5</t>
  </si>
  <si>
    <t>Rạch Dừa (Nguyễn Văn Hưởng 8)</t>
  </si>
  <si>
    <t>Hội trường KP6</t>
  </si>
  <si>
    <t>Rạch Đồng Ngoài</t>
  </si>
  <si>
    <t>Nhánh sông Sài Gòn 16 (Rạch Ương)</t>
  </si>
  <si>
    <t>Ngã 4 Bình Thái</t>
  </si>
  <si>
    <t>Ngã 3 Rạch Trau Trấu</t>
  </si>
  <si>
    <t>Nhánh Rạch Trau Trảu 1 (Rạch Cam)</t>
  </si>
  <si>
    <t>1,5-3</t>
  </si>
  <si>
    <t>2-7</t>
  </si>
  <si>
    <t>1-30</t>
  </si>
  <si>
    <t>Rạch Mương Chùa</t>
  </si>
  <si>
    <t>2,5-6,5</t>
  </si>
  <si>
    <t>Nhà Ông Màu</t>
  </si>
  <si>
    <t>Ngã 3 rạch Năm Chống - rạch Ông Dầu</t>
  </si>
  <si>
    <t>Ngã 3 Ông Giác</t>
  </si>
  <si>
    <t>Sau nhà 55, đường 11, P Tam Bình</t>
  </si>
  <si>
    <t>Giáp hướng đường Ngô Chí Quốc</t>
  </si>
  <si>
    <t>Ngã Tư Bình Thái</t>
  </si>
  <si>
    <t>Cống Cầu Trắng 2</t>
  </si>
  <si>
    <t>Bùi Ngươn Nhã</t>
  </si>
  <si>
    <t>Mương Thoát nước Nhà máy nước Thủ Đức</t>
  </si>
  <si>
    <t>Công ty Cocacola</t>
  </si>
  <si>
    <t>Tổ 14 - Khu phố 2</t>
  </si>
  <si>
    <t>Tổ 15 - Khu phố 2</t>
  </si>
  <si>
    <t xml:space="preserve">Rạch Ông Dầu </t>
  </si>
  <si>
    <t>Tổ 20 - Khu phố 3</t>
  </si>
  <si>
    <t>Tổ 26 - Khu phố 4</t>
  </si>
  <si>
    <t>Tổ 24 - Khu phố 4</t>
  </si>
  <si>
    <t>Tổ 34 - 35 - Khu phố 5</t>
  </si>
  <si>
    <t>Khu dân cư KP6</t>
  </si>
  <si>
    <t>Rạch Ông Diệm (rạch Bến Láng)</t>
  </si>
  <si>
    <t>Hẻm 185, Ngô Chí Quốc</t>
  </si>
  <si>
    <t>Giáp ranh tỉnh Bình Dương</t>
  </si>
  <si>
    <t>Rạch Xương Máu</t>
  </si>
  <si>
    <t>Thửa 90, tờ 111</t>
  </si>
  <si>
    <t>Thửa 33 tờ 108</t>
  </si>
  <si>
    <t>Thửa 31, tờ 11</t>
  </si>
  <si>
    <t>Nhà 31 đường số 2</t>
  </si>
  <si>
    <t>Hẻm 907, QL13</t>
  </si>
  <si>
    <t>Hẻm 273, QL13</t>
  </si>
  <si>
    <t>Hẻm255, QL13</t>
  </si>
  <si>
    <t>Rạch Xí Nghiệp Đay (rạch Tư Mai)</t>
  </si>
  <si>
    <t>Rạch Hòai Thanh - KP3 (Mương Út Liền)</t>
  </si>
  <si>
    <t>QL13</t>
  </si>
  <si>
    <t>Rạch Vĩnh An (rạch Ụ Chú Sanh hay may Sài Gòn 3)</t>
  </si>
  <si>
    <t>Đường 11</t>
  </si>
  <si>
    <t>Đường số 4</t>
  </si>
  <si>
    <t>Đất ông Màu</t>
  </si>
  <si>
    <t>Ngã 3 rạch Năm Chống - rạch Đĩa</t>
  </si>
  <si>
    <t>Rạch Cầu Làng</t>
  </si>
  <si>
    <t>Rạch Cầu Phố Nhà Trà</t>
  </si>
  <si>
    <t>Rạch Cù Lao Nguyễn Kiệu</t>
  </si>
  <si>
    <t>Rạch Bà Đô</t>
  </si>
  <si>
    <t>Cống thoát nước băng đường Võ Văn Kiệt</t>
  </si>
  <si>
    <t>2,5</t>
  </si>
  <si>
    <t xml:space="preserve">Sông Ông Lớn                          </t>
  </si>
  <si>
    <t>Cầu Rạch Bàng (Rạch Thủy Tiên)</t>
  </si>
  <si>
    <t>39,8 - 85,2</t>
  </si>
  <si>
    <t>Rạch Bàng (phường Tân Phong) - Nhánh 1</t>
  </si>
  <si>
    <t xml:space="preserve">Rạch Bàng                </t>
  </si>
  <si>
    <t>27,2 - 62</t>
  </si>
  <si>
    <t>Rạch Bàng (phường Tân Phong) - Nhánh 1.1</t>
  </si>
  <si>
    <t>Rạch Bàng (phường Tân Phong) - Nhánh 1.1 (Thửa 3 tờ 28)</t>
  </si>
  <si>
    <t>19,6 - 35,5</t>
  </si>
  <si>
    <t>Rạch Bàng (phường Tân Phong) - Nhánh 2</t>
  </si>
  <si>
    <t>4,1 - 19</t>
  </si>
  <si>
    <t>Rạch Bàng (Phường Tân Hưng) - Nhánh 1</t>
  </si>
  <si>
    <t xml:space="preserve">Rạch Bàng                     </t>
  </si>
  <si>
    <t>Thửa 9 tờ số 83</t>
  </si>
  <si>
    <t>23 - 77</t>
  </si>
  <si>
    <t>Rạch Ông Kích đoạn 1</t>
  </si>
  <si>
    <t>Rạch Thuỷ Tiên</t>
  </si>
  <si>
    <t>Đường 
Nguyễn Văn Linh 
(Dự án Vivo City)</t>
  </si>
  <si>
    <t>23,2 - 63,2</t>
  </si>
  <si>
    <t>Rạch Ông Kích đoạn 2</t>
  </si>
  <si>
    <t>20 - 37</t>
  </si>
  <si>
    <t>Rạch Thủy Tiên</t>
  </si>
  <si>
    <t xml:space="preserve">Cầu Rạch Bàng </t>
  </si>
  <si>
    <t xml:space="preserve">Rạch Thầy Tiêu                    </t>
  </si>
  <si>
    <t>52,4 - 74,7</t>
  </si>
  <si>
    <t>Rạch Thủy Tiên - Nhánh 1</t>
  </si>
  <si>
    <t>Cửa xả số 2 
Nguyễn Thị Thập</t>
  </si>
  <si>
    <t>1 - 19,4</t>
  </si>
  <si>
    <t>Rạch Song Tân</t>
  </si>
  <si>
    <t>Thửa 21 tờ số 23 (cống xả Bế Văn Cấm)</t>
  </si>
  <si>
    <t>Đường 
Lâm Văn Bền</t>
  </si>
  <si>
    <t>30,5 - 294,8</t>
  </si>
  <si>
    <t>Rạch Song Tân - Nhánh 2</t>
  </si>
  <si>
    <t>Rạch Song Tân
(Thửa 25 tờ 43)</t>
  </si>
  <si>
    <t xml:space="preserve"> Đường số 17
(Thửa 01 tờ 08)</t>
  </si>
  <si>
    <t>32 - 64,2</t>
  </si>
  <si>
    <t>Rạch Bần Đôn (phường Tân Quy)</t>
  </si>
  <si>
    <t>Thửa 122 tờ số 21</t>
  </si>
  <si>
    <t>Đường 
Mai Văn Vĩnh</t>
  </si>
  <si>
    <t>6 - 107</t>
  </si>
  <si>
    <t>Rạch Bần Đôn (phường Tân Quy) - Nhánh 1</t>
  </si>
  <si>
    <t>Thửa 108 tờ số 3</t>
  </si>
  <si>
    <t>3,6 - 109,3</t>
  </si>
  <si>
    <t>Rạch Bần Đôn (phường Tân Quy) - Nhánh 2</t>
  </si>
  <si>
    <t>Rạch Bần Đôn
(Thửa số 111 tờ 17)</t>
  </si>
  <si>
    <t>Thửa số 44 tờ 8</t>
  </si>
  <si>
    <t>6 - 43,9</t>
  </si>
  <si>
    <t>Rạch Bần Đôn (phường Tân Quy) - Nhánh 3</t>
  </si>
  <si>
    <t>Cống xả 
Mai Văn Vĩnh</t>
  </si>
  <si>
    <t>Cống xả 
Nguyễn Thị Thập</t>
  </si>
  <si>
    <t>9,2 - 115,6</t>
  </si>
  <si>
    <t>Rạch Bần Đôn (phường Bình Thuận - Tân Thuận Tây)</t>
  </si>
  <si>
    <t xml:space="preserve"> Nằm trọn tờ số 8
(Từ cống xả Nguyễn Văn Linh)</t>
  </si>
  <si>
    <t>7 - 78,6</t>
  </si>
  <si>
    <t>Rạch Bần Đôn (phường Tân Thuận Tây) - Nhánh 1</t>
  </si>
  <si>
    <t>Rạch  Bần Đôn
(Thửa 7 tờ 51)</t>
  </si>
  <si>
    <t>Thửa 85 tờ 39</t>
  </si>
  <si>
    <t>0,5 - 20,8</t>
  </si>
  <si>
    <t>Rạch Bần Đôn (phường Tân Thuận Tây) - Nhánh 1.1</t>
  </si>
  <si>
    <t>Thửa 8R tờ 46</t>
  </si>
  <si>
    <t>Thửa 20 tờ 46</t>
  </si>
  <si>
    <t>Rạch Bần Đôn (phường Tân Thuận Tây) - Nhánh 3</t>
  </si>
  <si>
    <t xml:space="preserve">Rạch Bần Đôn </t>
  </si>
  <si>
    <t>Thửa 58 tờ 52</t>
  </si>
  <si>
    <t>2 - 4,5</t>
  </si>
  <si>
    <t>Rạch Bần Đôn (phường Bình Thuận) - Nhánh 1</t>
  </si>
  <si>
    <t>Rạch Bần Đôn
(Thửa 20 tờ 9)</t>
  </si>
  <si>
    <t>Thửa 42 tờ 17 
( đoạn cuối
đường 53)</t>
  </si>
  <si>
    <t>6,3 - 100,9</t>
  </si>
  <si>
    <t>Rạch Bần Đôn (phường Bình Thuận) - Nhánh 2</t>
  </si>
  <si>
    <t>Rạch Bần Đôn
(Thửa 1 tờ số 9)</t>
  </si>
  <si>
    <t>Thửa 15 tờ 9</t>
  </si>
  <si>
    <t>2,4 - 9</t>
  </si>
  <si>
    <t>Mương nước UBND 
phường Tân Thuận Tây</t>
  </si>
  <si>
    <t>Hồ cá 
công ty Thủy sản 
(Thửa 49 tờ 38)</t>
  </si>
  <si>
    <t xml:space="preserve">Rạch Bần Đôn
(Thửa 66 tờ 38)                    </t>
  </si>
  <si>
    <t>2,6 - 6</t>
  </si>
  <si>
    <t>Hồ cá công ty Thủy sản (phường Tân Thuận Tây)</t>
  </si>
  <si>
    <t>Nằm trong thửa 47 tờ số 38</t>
  </si>
  <si>
    <t>145,5 - 206,8</t>
  </si>
  <si>
    <t>Ao Hương Tràm</t>
  </si>
  <si>
    <t>Trọn thửa 38 tờ 7</t>
  </si>
  <si>
    <t>69,6 - 143</t>
  </si>
  <si>
    <t>Rạch Cả Cấm (phường Bình Thuận)</t>
  </si>
  <si>
    <t>Thửa 27 tờ 7
(Dọc đường Nguyễn Văn Linh )</t>
  </si>
  <si>
    <t>54 - 163</t>
  </si>
  <si>
    <t>Rạch Cả Cấm (phường Tân Phú)</t>
  </si>
  <si>
    <t>Rạch Cả Cấm (phường Bình Thuận) - Nhánh 1</t>
  </si>
  <si>
    <t>Thửa 1 tờ 56 - Thửa 2 tờ 60</t>
  </si>
  <si>
    <t>3 - 34</t>
  </si>
  <si>
    <t>Rạch Cả Cấm (phường Tân Phú) - Nhánh 2</t>
  </si>
  <si>
    <t>Thửa 3 tờ số 28</t>
  </si>
  <si>
    <t>Thửa 42 tờ 25</t>
  </si>
  <si>
    <t>5,4 - 10,5</t>
  </si>
  <si>
    <t>Rạch Cả Cấm (phường Tân Phú) - Nhánh 3</t>
  </si>
  <si>
    <t>Thửa 68 tờ 22</t>
  </si>
  <si>
    <t>3,7 - 5,8</t>
  </si>
  <si>
    <t>Rạch Cả Cấm (phường Tân Phú) - Nhánh 4</t>
  </si>
  <si>
    <t>Rạch Cả Cấm
(Đường Phú Thuận)</t>
  </si>
  <si>
    <t>Thửa 02 tờ 31
Tờ 01 thửa 40</t>
  </si>
  <si>
    <t>23 - 25</t>
  </si>
  <si>
    <t>Sông Ông Lớn
(Thửa 46 tờ 58)</t>
  </si>
  <si>
    <t>Thửa 153 tờ 17</t>
  </si>
  <si>
    <t>2,7 - 64,8</t>
  </si>
  <si>
    <t>Rạch Ông Đội 1 - Nhánh 1</t>
  </si>
  <si>
    <t>Rạch Ông Đội 1
(Thửa 10 tờ số 65)</t>
  </si>
  <si>
    <t xml:space="preserve">Thửa 3 tờ số 62 </t>
  </si>
  <si>
    <t>6,4 - 18,8</t>
  </si>
  <si>
    <t>Rạch Ông Đội 1 - Nhánh 2</t>
  </si>
  <si>
    <t>Rạch Ông Đội 1 (Thửa 18 tờ 46)</t>
  </si>
  <si>
    <t>Thửa 24 tờ số 46</t>
  </si>
  <si>
    <t>1,8 - 13,9</t>
  </si>
  <si>
    <t>Rạch Ông Đội 1 - Nhánh 3</t>
  </si>
  <si>
    <t xml:space="preserve"> Thửa 11 tờ 18</t>
  </si>
  <si>
    <t>4 - 18</t>
  </si>
  <si>
    <t>Rạch Ông Đội 1 - Nhánh 3.1</t>
  </si>
  <si>
    <t>Thửa số 82 tờ 17 - Thửa 10 tờ 18</t>
  </si>
  <si>
    <t>Thửa số 2 tờ 9</t>
  </si>
  <si>
    <t>5,6 - 12,8</t>
  </si>
  <si>
    <t>Rạch Ông Đội 1 - Nhánh 4</t>
  </si>
  <si>
    <t>Thửa 113 tờ 16</t>
  </si>
  <si>
    <t>Thửa số 10 tờ 46 - Thửa số 4 tờ 46</t>
  </si>
  <si>
    <t>16 - 34</t>
  </si>
  <si>
    <t>Rạch Ông Đội 1 - Nhánh 5</t>
  </si>
  <si>
    <t>đường Nguyễn Hữu Thọ</t>
  </si>
  <si>
    <t>Thửa 68 tờ số 42</t>
  </si>
  <si>
    <t>5,5 - 30,6</t>
  </si>
  <si>
    <t>Rạch Ông Đội 1 - Nhánh 5.1</t>
  </si>
  <si>
    <t>Đầu thửa 21 tờ 43</t>
  </si>
  <si>
    <t>đầu thửa 19 tờ 43 - Thửa 1R tờ 43</t>
  </si>
  <si>
    <t>Sông Ông Lớn - Nhánh 1</t>
  </si>
  <si>
    <t>Cuối tuyến 
(Thửa 60 tờ 28)</t>
  </si>
  <si>
    <t>14 - 24</t>
  </si>
  <si>
    <t>Sông Ông Lớn - Nhánh 3</t>
  </si>
  <si>
    <t>Cuối tuyến
(Thửa 1 - 9 Tờ 58 - Thửa 40 Tờ 58)</t>
  </si>
  <si>
    <t>22 - 47</t>
  </si>
  <si>
    <t xml:space="preserve">Rạch Ông Đội 1                                 </t>
  </si>
  <si>
    <t>16,9 - 60</t>
  </si>
  <si>
    <t>Rạch Ấp Chiến Lược - Nhánh 1</t>
  </si>
  <si>
    <t>Thửa 84 tờ 25</t>
  </si>
  <si>
    <t>Thửa 83 tờ 25</t>
  </si>
  <si>
    <t>7,3 - 25,1</t>
  </si>
  <si>
    <t>Rạch Ấp Chiến Lược - Nhánh 2</t>
  </si>
  <si>
    <t>Thửa 75 tờ 24 -
Thửa 77 tờ 24</t>
  </si>
  <si>
    <t>Thửa 45 tờ 24</t>
  </si>
  <si>
    <t>0,6 - 3,9</t>
  </si>
  <si>
    <t>Rạch Ấp Chiến Lược - Nhánh 3</t>
  </si>
  <si>
    <t>Thửa 27 tờ 30 -
Thửa 38 tờ 31</t>
  </si>
  <si>
    <t>Thửa 74 tờ 30 -
Thửa 65 tờ 31</t>
  </si>
  <si>
    <t>6,5 - 14</t>
  </si>
  <si>
    <t>15 - 117</t>
  </si>
  <si>
    <t>Rạch Ông Đội 2 (phường Tân Phú)</t>
  </si>
  <si>
    <t>Chùa Long Hoa</t>
  </si>
  <si>
    <t>4,5 - 60</t>
  </si>
  <si>
    <t>Rạch Ông Đội 2 (phường Tân Phú) - Nhánh 1</t>
  </si>
  <si>
    <t>Thửa 11 tờ số 49</t>
  </si>
  <si>
    <t>3 - 26,8</t>
  </si>
  <si>
    <t>Rạch Ông Đội 2 (phường Tân Phú) - Nhánh 1.1</t>
  </si>
  <si>
    <t xml:space="preserve">Thửa 24 tờ 49, Thửa 11 tờ 53 </t>
  </si>
  <si>
    <t>7,1 - 34,3</t>
  </si>
  <si>
    <t>Rạch Ông Đội 2 (phường Tân Phú) - Nhánh 2</t>
  </si>
  <si>
    <t>Thửa 24 tờ 54</t>
  </si>
  <si>
    <t xml:space="preserve">Thửa 42 tờ 52 </t>
  </si>
  <si>
    <t>5,5 - 44</t>
  </si>
  <si>
    <t>Rạch Ông Đội 2 (phường Tân Phú) - Nhánh 2.1</t>
  </si>
  <si>
    <t>Thửa 3 tờ số 54</t>
  </si>
  <si>
    <t>Thửa 30 tờ 52</t>
  </si>
  <si>
    <t>2,8 - 22,5</t>
  </si>
  <si>
    <t>Rạch Ông Đội 2 (phường Tân Phú) - Nhánh 2.2</t>
  </si>
  <si>
    <t>Thửa 15 tờ 51</t>
  </si>
  <si>
    <t>Thửa 09 tờ 51</t>
  </si>
  <si>
    <t>2,3 - 6</t>
  </si>
  <si>
    <t>Rạch Ông Đội 2 (phường Tân Phú) - Nhánh 2.3</t>
  </si>
  <si>
    <t>Thửa 32 tờ 51</t>
  </si>
  <si>
    <t>Thửa 30 tờ 51</t>
  </si>
  <si>
    <t>9 - 10</t>
  </si>
  <si>
    <t>Rạch Ông Đội 2 (phường Tân Phú) - Nhánh 3</t>
  </si>
  <si>
    <t>Rạch Ông Đội 2 (Thửa 34 tờ 57)</t>
  </si>
  <si>
    <t>Thửa 09 tờ 57</t>
  </si>
  <si>
    <t>Rạch Ông Đội 2 (phường Tân Phú) - Nhánh 4</t>
  </si>
  <si>
    <t xml:space="preserve">Thửa 11 tờ số 60   </t>
  </si>
  <si>
    <t>5 - 10,5</t>
  </si>
  <si>
    <t>Rạch Ông Đội 2 (phường Tân Phú) - Nhánh 5</t>
  </si>
  <si>
    <t>Thửa 29 tờ 60</t>
  </si>
  <si>
    <t>1,8 - 8,5</t>
  </si>
  <si>
    <t>Rạch Ông Đội 2 (phường Tân Phú) - Nhánh 6</t>
  </si>
  <si>
    <t>Thửa 46 tờ 61</t>
  </si>
  <si>
    <t>Thửa 19 tờ 64</t>
  </si>
  <si>
    <t>4 - 15</t>
  </si>
  <si>
    <t>Rạch Bà Bướm</t>
  </si>
  <si>
    <t>đường Huỳnh Tấn Phát (Thửa 8 tờ 44)</t>
  </si>
  <si>
    <t>2,3 - 99,1</t>
  </si>
  <si>
    <t>Rạch Bà Bướm - Nhánh 1</t>
  </si>
  <si>
    <t>Thửa 25 tờ 60</t>
  </si>
  <si>
    <t>262</t>
  </si>
  <si>
    <t>3,7 - 14,2</t>
  </si>
  <si>
    <t>Rạch Bà Bướm - Nhánh 1.1</t>
  </si>
  <si>
    <t>Rạch Bà Bướm - Nhánh 1 
(Thửa 44 tờ 48)</t>
  </si>
  <si>
    <t>Thửa 54 tờ 50</t>
  </si>
  <si>
    <t>172</t>
  </si>
  <si>
    <t>2,4 - 8,5</t>
  </si>
  <si>
    <t>Rạch Bà Bướm - Nhánh 1.2</t>
  </si>
  <si>
    <t>Rạch Bà Bướm - Nhánh 1 
(Thửa 15 tờ 61)</t>
  </si>
  <si>
    <t>Thửa 6 tờ 61</t>
  </si>
  <si>
    <t>113</t>
  </si>
  <si>
    <t>0,7 - 6,27</t>
  </si>
  <si>
    <t>Rạch Bà Bướm - Nhánh 2</t>
  </si>
  <si>
    <t>Thửa 64 tờ 38</t>
  </si>
  <si>
    <t>4,1 - 15,4</t>
  </si>
  <si>
    <t>Rạch Bà Bướm - Nhánh 3</t>
  </si>
  <si>
    <t>Thửa 41 tờ 40</t>
  </si>
  <si>
    <t>Thửa 36 tờ 26</t>
  </si>
  <si>
    <t>4,6 - 24</t>
  </si>
  <si>
    <t>Rạch Bà Bướm - Nhánh 3.1</t>
  </si>
  <si>
    <t>Thửa 7 tờ 40</t>
  </si>
  <si>
    <t>Thửa 25 tờ 29</t>
  </si>
  <si>
    <t>167</t>
  </si>
  <si>
    <t>2,2 - 14</t>
  </si>
  <si>
    <t>Rạch Bà Bướm - Nhánh 4</t>
  </si>
  <si>
    <t>(Đường Phú Thuận)
Thửa 1 tờ 58</t>
  </si>
  <si>
    <t>2,5 - 40</t>
  </si>
  <si>
    <t>Rạch Bà Bướm - Nhánh 5</t>
  </si>
  <si>
    <t>Thửa số 9 tờ 18</t>
  </si>
  <si>
    <t>Thửa số 1 tờ 12</t>
  </si>
  <si>
    <t>275</t>
  </si>
  <si>
    <t>2 - 8,7</t>
  </si>
  <si>
    <t>Rạch Bà Bướm - Nhánh 6</t>
  </si>
  <si>
    <t>Thửa 73 tờ 55</t>
  </si>
  <si>
    <t>307</t>
  </si>
  <si>
    <t>11,6 - 23,3</t>
  </si>
  <si>
    <t>Thửa 56 tờ 70</t>
  </si>
  <si>
    <t>Rạch Tam Đệ - Nhánh 1</t>
  </si>
  <si>
    <t>Thửa 19 tờ 79</t>
  </si>
  <si>
    <t>thửa 83 tờ 79</t>
  </si>
  <si>
    <t>355</t>
  </si>
  <si>
    <t>5,2 - 24,4</t>
  </si>
  <si>
    <t>Rạch Tam Đệ - Nhánh 1.1</t>
  </si>
  <si>
    <t>Rạch Tam Đệ - Nhánh 1
(Thửa 43 tờ 79)</t>
  </si>
  <si>
    <t>Thửa 58 tờ 79</t>
  </si>
  <si>
    <t>3,8 - 9,8</t>
  </si>
  <si>
    <t>Rạch Tam Đệ - Nhánh 2</t>
  </si>
  <si>
    <t>Thửa 80 tờ 81</t>
  </si>
  <si>
    <t>5 - 23,6</t>
  </si>
  <si>
    <t>Rạch Cây Me</t>
  </si>
  <si>
    <t>Thửa 44 tờ 95 (Ban chỉ huy Quân sự Quận 7)</t>
  </si>
  <si>
    <t>998</t>
  </si>
  <si>
    <t>0,8 - 34,9</t>
  </si>
  <si>
    <t>Rạch Cây Me - Nhánh 1</t>
  </si>
  <si>
    <t>Rạch Cây Me
(Thửa 06 tờ 102)</t>
  </si>
  <si>
    <t>Thửa 61 tờ 102
(Ranh dự án Công ty Anh Tuấn)</t>
  </si>
  <si>
    <t>1,6 - 13,4</t>
  </si>
  <si>
    <t>Rạch Cây Me - Nhánh 2</t>
  </si>
  <si>
    <t>Thửa 120 tờ 85</t>
  </si>
  <si>
    <t>Thửa 73 tờ 85</t>
  </si>
  <si>
    <t>5,9 - 25,1</t>
  </si>
  <si>
    <t>Nhánh sông Nhà Bè</t>
  </si>
  <si>
    <t>9,6 - 26,1</t>
  </si>
  <si>
    <t>Rạch Bình Thung</t>
  </si>
  <si>
    <t>Cống đường Đào Trí</t>
  </si>
  <si>
    <t>20 - 55</t>
  </si>
  <si>
    <t>Cầu Trắng</t>
  </si>
  <si>
    <t>Đường số 7</t>
  </si>
  <si>
    <t>12,4 - 20,1</t>
  </si>
  <si>
    <t>Rạch Bến Ngựa</t>
  </si>
  <si>
    <t>Sông Cầu Kinh
(Thửa 01 tờ 68)</t>
  </si>
  <si>
    <t>Đường 
Huỳnh Tấn Phát</t>
  </si>
  <si>
    <t>2 - 53,5</t>
  </si>
  <si>
    <t>Rạch Bến Ngựa - Nhánh 1</t>
  </si>
  <si>
    <t>Rạch Bến Ngựa
(Thửa 68 tờ 54)</t>
  </si>
  <si>
    <t>Thửa 55 tờ 54</t>
  </si>
  <si>
    <t>0,7 - 4,2</t>
  </si>
  <si>
    <t>Rạch Bến Ngựa - Nhánh 2</t>
  </si>
  <si>
    <t>Rạch Bến Ngựa
(Thửa 89 tờ 57)</t>
  </si>
  <si>
    <t>Thửa 67 tờ 57</t>
  </si>
  <si>
    <t>6 - 8,8</t>
  </si>
  <si>
    <t>Rạch Bến Ngựa - Nhánh 3</t>
  </si>
  <si>
    <t>Rạch Bến Ngựa
(Thửa 04 tờ 65)</t>
  </si>
  <si>
    <t>Thửa 52 tờ 65</t>
  </si>
  <si>
    <t>9 - 10,1</t>
  </si>
  <si>
    <t xml:space="preserve"> Rạch Ông Chồn (Rạch Lớn)</t>
  </si>
  <si>
    <t>Sông Cầu Kinh
(Thửa 89 tờ 68)</t>
  </si>
  <si>
    <t>Thửa 52 tờ 88</t>
  </si>
  <si>
    <t>4,2 - 38,1</t>
  </si>
  <si>
    <t>Rạch Ông Chồn - Nhánh 1</t>
  </si>
  <si>
    <t>Rạch Ông Chồn
(Thửa 07 tờ 69)</t>
  </si>
  <si>
    <t>Đường 
Nguyễn Văn Quỳ</t>
  </si>
  <si>
    <t>2,7 - 7</t>
  </si>
  <si>
    <t>Rạch Ông Chồn - Nhánh 2</t>
  </si>
  <si>
    <t>Rạch Ông Chồn
(Thửa 5 tờ 70)</t>
  </si>
  <si>
    <t>Thửa 7 tờ 70</t>
  </si>
  <si>
    <t>1,4 - 3,4</t>
  </si>
  <si>
    <t>Rạch Ông Chồn - Nhánh 3</t>
  </si>
  <si>
    <t>Rạch Ông Chồn
(Thửa 01 tờ 70)</t>
  </si>
  <si>
    <t>Thửa 33 tờ 70</t>
  </si>
  <si>
    <t>11 - 28</t>
  </si>
  <si>
    <t>Rạch Ông Đội 2 (phường Phú Mỹ)</t>
  </si>
  <si>
    <t>26 - 70</t>
  </si>
  <si>
    <t>Rạch số 1</t>
  </si>
  <si>
    <t xml:space="preserve">Rạch Ông Đội 2                  </t>
  </si>
  <si>
    <t xml:space="preserve">Thửa 118 Tờ 01 </t>
  </si>
  <si>
    <t>4,7 - 22,8</t>
  </si>
  <si>
    <t>Thửa 106 tờ 06</t>
  </si>
  <si>
    <t>5,3 - 28,1</t>
  </si>
  <si>
    <t>Rạch số 2 - Nhánh 1</t>
  </si>
  <si>
    <t>Rạch số 2
(Thửa 93 tờ 6 -
Thửa 99 tờ 6)</t>
  </si>
  <si>
    <t>Thửa 48 tờ số 18</t>
  </si>
  <si>
    <t>3 - 10</t>
  </si>
  <si>
    <t>Rạch số 2 - Nhánh 1.1</t>
  </si>
  <si>
    <t>Nhánh 4 Rạch số 2
(Thửa 27 tờ 18)</t>
  </si>
  <si>
    <t>Thửa 28 tờ số 18</t>
  </si>
  <si>
    <t>4,2 - 7,7</t>
  </si>
  <si>
    <t xml:space="preserve">Thửa 4 tờ số 12 (Ngã 3 rạch số 3 và rạch số 4)                            </t>
  </si>
  <si>
    <t>Thửa số 25 tờ 15 - Trọn thửa 26 tờ 15</t>
  </si>
  <si>
    <t>1,6 - 23</t>
  </si>
  <si>
    <t xml:space="preserve">Thửa 53 tờ số 11       </t>
  </si>
  <si>
    <t xml:space="preserve">Thửa 58 tờ 15 - Thửa 87 tờ 15  </t>
  </si>
  <si>
    <t>6 - 13,4</t>
  </si>
  <si>
    <t>Rạch số 6 - Nhánh 1</t>
  </si>
  <si>
    <t xml:space="preserve"> Thửa 94 tờ 15</t>
  </si>
  <si>
    <t xml:space="preserve"> Thửa 98 tờ 15</t>
  </si>
  <si>
    <t xml:space="preserve"> Thửa 3 tờ 31</t>
  </si>
  <si>
    <t xml:space="preserve"> 4,2 - 22,1</t>
  </si>
  <si>
    <t>Rạch số 11</t>
  </si>
  <si>
    <t>Thửa 21 tờ số 36</t>
  </si>
  <si>
    <t>Thửa 15 tờ số 35</t>
  </si>
  <si>
    <t>4 - 24,8</t>
  </si>
  <si>
    <t>Chi lưu 2 sông Nhà Bè</t>
  </si>
  <si>
    <t>Thửa 16 tờ 36</t>
  </si>
  <si>
    <t>Thửa 21 tờ 36</t>
  </si>
  <si>
    <t>10 - 35</t>
  </si>
  <si>
    <t>Rạch số 12</t>
  </si>
  <si>
    <t>Thửa 93, thửa 15, thửa 109 - tờ 34</t>
  </si>
  <si>
    <t>1,3 - 25,5</t>
  </si>
  <si>
    <t>Rạch số 13 
(Nhánh rạch Ông Đội 2)</t>
  </si>
  <si>
    <t>Đường 15B</t>
  </si>
  <si>
    <t>29,5 - 37,4</t>
  </si>
  <si>
    <t>Rạch số 16 
(Nhánh sông Phú Xuân)</t>
  </si>
  <si>
    <t>Thửa 71 tờ số 28</t>
  </si>
  <si>
    <t>28,7</t>
  </si>
  <si>
    <t>Sông Phú Xuân - Nhánh rạch số 22</t>
  </si>
  <si>
    <t>Thửa 46 tờ 33</t>
  </si>
  <si>
    <t>4,1 - 25</t>
  </si>
  <si>
    <t>Rạch tổ 1B</t>
  </si>
  <si>
    <t>Thửa 32 tờ 05</t>
  </si>
  <si>
    <t>2,3 - 13</t>
  </si>
  <si>
    <t>Rạch Hố Đen</t>
  </si>
  <si>
    <t>Kênh Ngang số 1</t>
  </si>
  <si>
    <t>Kênh Ụ Cây</t>
  </si>
  <si>
    <t>Rạch Cầu Đồn</t>
  </si>
  <si>
    <t>Rạch Bà Dơi</t>
  </si>
  <si>
    <t>Rạch Lào</t>
  </si>
  <si>
    <t>Cầu Vĩnh Mậu</t>
  </si>
  <si>
    <t>Rạch Cơ Khí</t>
  </si>
  <si>
    <t>Hẻm 816 - QL1</t>
  </si>
  <si>
    <t>4,5-6</t>
  </si>
  <si>
    <t>Rạch Nhà Nuôi</t>
  </si>
  <si>
    <t>Rạch Rỗng Tùng</t>
  </si>
  <si>
    <t>Cầu Mụ Duyên</t>
  </si>
  <si>
    <t>Rạch Sáu Đuông</t>
  </si>
  <si>
    <t>Đường TX39</t>
  </si>
  <si>
    <t>Rạch Năm Vườn Chuối</t>
  </si>
  <si>
    <t>4,5-16</t>
  </si>
  <si>
    <t>Rạch Ụ Bảy Quán</t>
  </si>
  <si>
    <t>Đường APĐ03</t>
  </si>
  <si>
    <t>Rạch Võ Trung Nhứt</t>
  </si>
  <si>
    <t>Cuối tuyến (cặp đường Võ Thị Liễu)</t>
  </si>
  <si>
    <t>4-16</t>
  </si>
  <si>
    <t>Rạch Ba Cưỡng</t>
  </si>
  <si>
    <t>Hẻm 105 - Vườn Lài</t>
  </si>
  <si>
    <t>5-9</t>
  </si>
  <si>
    <t>Nhánh rạch Bảy Còi</t>
  </si>
  <si>
    <t>Rạch Bảy Còi</t>
  </si>
  <si>
    <t>Đường TL54</t>
  </si>
  <si>
    <t>Nhánh rạch Quản - Võ Tây (đường TL39)</t>
  </si>
  <si>
    <t>Cống Năm Hẳn</t>
  </si>
  <si>
    <t>Rạch Ba Nhan (nhánh rạch Giao Khẩu)</t>
  </si>
  <si>
    <t>Đầu Ụ (Hà Huy Giáp)</t>
  </si>
  <si>
    <t>Rạch Ụ Ba Chai (nhánh rạch Giao Khẩu)</t>
  </si>
  <si>
    <t>Nhánh rạch Thợ Bột (rạch chùa Thiên Vân)</t>
  </si>
  <si>
    <t>Ụ rạch</t>
  </si>
  <si>
    <t>Nhánh rạch Mướp</t>
  </si>
  <si>
    <t>Cuối tuyến (hẻm 87 Hà Huy Giáp)</t>
  </si>
  <si>
    <t>Rạch Ụ Lò Than</t>
  </si>
  <si>
    <t>Thửa 98, tờ 3 (Nhà bà Kim Anh)</t>
  </si>
  <si>
    <t>8-10</t>
  </si>
  <si>
    <t>Rạch Ụ Tám Chà</t>
  </si>
  <si>
    <t>Đường APĐ25</t>
  </si>
  <si>
    <t>10-12</t>
  </si>
  <si>
    <t>Rạch Sơ Rơ</t>
  </si>
  <si>
    <t>Rạch Bà Cam</t>
  </si>
  <si>
    <t>Đường Thạnh Lộc 29</t>
  </si>
  <si>
    <t>Ụ Tư Vựng</t>
  </si>
  <si>
    <t>Rạch Cầu Kinh (Đoạn 1)</t>
  </si>
  <si>
    <t>Rạch Cầu Chợ (từ Ql 1A)</t>
  </si>
  <si>
    <t>Rạch Cầu Kinh (Đoạn 2)</t>
  </si>
  <si>
    <t>Rạch Cầu Kinh (từ Ql 1A)</t>
  </si>
  <si>
    <t>Rạch Bà Đương (Đoạn 1)</t>
  </si>
  <si>
    <t>Đường vào cầu Bà Đương</t>
  </si>
  <si>
    <t>Rạch Bà Đương (Đoạn 2)</t>
  </si>
  <si>
    <t>Ụ Bong Bóng</t>
  </si>
  <si>
    <t>Ranh dự án Khu nhà ở Tân Nhã Vinh</t>
  </si>
  <si>
    <t>Kênh Đồng Tiến đoạn 1</t>
  </si>
  <si>
    <t>Quốc Lộ 1</t>
  </si>
  <si>
    <t>Số nhà 40/8 (KDC An Sương)</t>
  </si>
  <si>
    <t>Kênh Đồng Tiến đoạn 2</t>
  </si>
  <si>
    <t>Đông Hưng Thuận 02</t>
  </si>
  <si>
    <t>Nguyễn Văn Quá</t>
  </si>
  <si>
    <t>Rạch Sáu Sửu</t>
  </si>
  <si>
    <t xml:space="preserve">Đường Vườn Lài </t>
  </si>
  <si>
    <t>2-16</t>
  </si>
  <si>
    <t>Đường An Phú Đông 12</t>
  </si>
  <si>
    <t>Rạch Lũy</t>
  </si>
  <si>
    <t>Thửa đất số 24, tờ bản đồ số 5 (TL 2005), P. An Phú Đông</t>
  </si>
  <si>
    <t>4-8</t>
  </si>
  <si>
    <t>Rạch Ụ Chín Bụi</t>
  </si>
  <si>
    <t>Đường An Phú Đông 25</t>
  </si>
  <si>
    <t>Rạch Cây Liêm</t>
  </si>
  <si>
    <t>Cửa xả rạch Cây Liêm</t>
  </si>
  <si>
    <t>Rạch Hẻm 412</t>
  </si>
  <si>
    <t>Cửa xả Hẻm 412</t>
  </si>
  <si>
    <t>APĐ 03</t>
  </si>
  <si>
    <t>Giáp đất ông Trương Út Nhì</t>
  </si>
  <si>
    <t>Nhánh rạch Quản</t>
  </si>
  <si>
    <t>Hẻm 49-phường Thạnh Lộc</t>
  </si>
  <si>
    <t>Đầu Ụ</t>
  </si>
  <si>
    <t>Rạch Cống hộp số 2</t>
  </si>
  <si>
    <t>Đường Thạnh Xuân 25</t>
  </si>
  <si>
    <t>Miếu Năm Mẹ</t>
  </si>
  <si>
    <t>Rạch Liên khu 3-4</t>
  </si>
  <si>
    <t>Đường số 40</t>
  </si>
  <si>
    <t>Sông Chùa 1</t>
  </si>
  <si>
    <t>Kênh Liên Xã</t>
  </si>
  <si>
    <t>Đường 2D nối dài</t>
  </si>
  <si>
    <t>Hẻm số 92/10</t>
  </si>
  <si>
    <t>Nhánh 2 Rạch Nhảy</t>
  </si>
  <si>
    <t>Khu tái định cư Lý Chiêu Hoàng</t>
  </si>
  <si>
    <t>5-15</t>
  </si>
  <si>
    <t>Kênh Tẻ (phường Tân Tạo)</t>
  </si>
  <si>
    <t>Kênh Hai Nghiệp</t>
  </si>
  <si>
    <t>cuối tuyến (nhà dân hiện hữu)</t>
  </si>
  <si>
    <t xml:space="preserve">Rạch thoát nước cặp hẻm 4430 Nguyễn Cửu Phú </t>
  </si>
  <si>
    <t>Nguyễn Cửu Phú</t>
  </si>
  <si>
    <t>Nhánh Sông Kinh (cặp hẻm 1687 Tỉnh lộ 10)</t>
  </si>
  <si>
    <t>Kênh Nội Đồng (cặp hẻm 130 đường Lê Tấn Bê)</t>
  </si>
  <si>
    <t>Đường Lê Tấn Bê</t>
  </si>
  <si>
    <t>3-7</t>
  </si>
  <si>
    <t>Nhánh kênh 3</t>
  </si>
  <si>
    <t>Nhánh kênh 4</t>
  </si>
  <si>
    <t>Nhánh kênh 5</t>
  </si>
  <si>
    <t>Nhánh 2 Sông Kinh</t>
  </si>
  <si>
    <t>Hẻm 1669/7 Tỉnh lộ 10</t>
  </si>
  <si>
    <t>Nhánh rạch 126 Tập Đoàn 6B</t>
  </si>
  <si>
    <t>Tập Đoàn 6B</t>
  </si>
  <si>
    <t>Nhánh rạch 216 Tập Đoàn 6B</t>
  </si>
  <si>
    <t>Giao rạch Lăng đoạn 1- rạch Bà Láng</t>
  </si>
  <si>
    <t>Gần SN 388 Phạm Văn Đồng</t>
  </si>
  <si>
    <t>Ngã ba rạch Cầu Sơn - Bà Láng</t>
  </si>
  <si>
    <t>Cầu Phú An</t>
  </si>
  <si>
    <t>Rạch nhánh Bùi Hữu Nghĩa</t>
  </si>
  <si>
    <t>Đường Phó Đức Chính</t>
  </si>
  <si>
    <t>Đường Yên Đỗ</t>
  </si>
  <si>
    <t>Rạch hẻm 332
Phan Văn Trị</t>
  </si>
  <si>
    <t>Rạch Thủ Tắc</t>
  </si>
  <si>
    <t>Nhà số 332/66 Phan Văn Trị</t>
  </si>
  <si>
    <t>Rạch Băng Ky</t>
  </si>
  <si>
    <t>Tiếp giáp cầu Phan Chu Trinh</t>
  </si>
  <si>
    <t>Rạch Lăng</t>
  </si>
  <si>
    <t>Rạch hẻm 290 Nơ Trang Long</t>
  </si>
  <si>
    <t>Nhà số 290/288 Nơ Trang Long</t>
  </si>
  <si>
    <t>Nhà số 290/246E Nơ Trang Long</t>
  </si>
  <si>
    <t>Rạch trước trường Bình Lợi Trung</t>
  </si>
  <si>
    <t>Đường Trục 30</t>
  </si>
  <si>
    <t>Hẻm 21 Bình Lợi</t>
  </si>
  <si>
    <t>Rạch nhánh rạch Lăng</t>
  </si>
  <si>
    <t>Nhà số 247 Nguyễn Xí</t>
  </si>
  <si>
    <t>Rạch nhánh Sông Bình Triệu</t>
  </si>
  <si>
    <t>Sông Bình Triệu</t>
  </si>
  <si>
    <t>Chung cư A9 – Dự án Bắc Đinh Bộ Lĩnh</t>
  </si>
  <si>
    <t>Rạch nhánh rạch Lăng (Rạch Lá)</t>
  </si>
  <si>
    <t>Hẻm 201/13/1 Nguyễn Xí</t>
  </si>
  <si>
    <t>Rạch Sở Nhật</t>
  </si>
  <si>
    <t>Hẻm 439 Bình Quới</t>
  </si>
  <si>
    <t>7,8 - 14</t>
  </si>
  <si>
    <t>Rạch Cầu Cống Đoạn 1</t>
  </si>
  <si>
    <t>Nhà số 534/8F Bình Quới</t>
  </si>
  <si>
    <t>Đầu hẻm 558 Bình Quới</t>
  </si>
  <si>
    <t>2,3–16,8</t>
  </si>
  <si>
    <t>Rạch Cầu Cống Đoạn 2</t>
  </si>
  <si>
    <t xml:space="preserve">Đầu hẻm 558 Bình Quới </t>
  </si>
  <si>
    <t>Cầu Cống</t>
  </si>
  <si>
    <t>4,5–19,3</t>
  </si>
  <si>
    <t>Rạch Cầu Cống Đoạn 3</t>
  </si>
  <si>
    <t>33,6–42,9</t>
  </si>
  <si>
    <t>Rạch Cầu Cống Đoạn 4</t>
  </si>
  <si>
    <t>558/10A Bình Quới</t>
  </si>
  <si>
    <t>480/31/2/1 Bình Quới</t>
  </si>
  <si>
    <t>5,8–12, 5</t>
  </si>
  <si>
    <t>Nhánh rạch Cầu Cống Đoạn 4</t>
  </si>
  <si>
    <t>480/31/1 Bình Quới</t>
  </si>
  <si>
    <t>5,6–11,5</t>
  </si>
  <si>
    <t>Rạch Tổ dân phố 23 Khu phố 2</t>
  </si>
  <si>
    <t>558/45 Bình Quới</t>
  </si>
  <si>
    <t>4,6–19,1</t>
  </si>
  <si>
    <t>558/4/12 Bình Quới</t>
  </si>
  <si>
    <t>2,4–7,7</t>
  </si>
  <si>
    <t>Rạch Cống Hai Xanh</t>
  </si>
  <si>
    <t>558/64C Bình Quới</t>
  </si>
  <si>
    <t>10,5–13,3</t>
  </si>
  <si>
    <t>Rạch Cống Ba Lùn</t>
  </si>
  <si>
    <t>558/57 Bình Quới</t>
  </si>
  <si>
    <t>8,1–12,9</t>
  </si>
  <si>
    <t>558/66/3/4 Bình Quới</t>
  </si>
  <si>
    <t>4,3-36</t>
  </si>
  <si>
    <t>Nhánh rạch Cây Bàng</t>
  </si>
  <si>
    <t>5,6–7,6</t>
  </si>
  <si>
    <t>Rạch Chài</t>
  </si>
  <si>
    <t>558/64/58 Bình Quới</t>
  </si>
  <si>
    <t>12,1–25,2</t>
  </si>
  <si>
    <t>Rạch Tư Chanh</t>
  </si>
  <si>
    <t>480/65/59 Bình Quới</t>
  </si>
  <si>
    <t>5–8,5</t>
  </si>
  <si>
    <t>480/65/26 Bình Quới</t>
  </si>
  <si>
    <t>6,9–13,6</t>
  </si>
  <si>
    <t>Nhánh rạch Chùa</t>
  </si>
  <si>
    <t>480/65/49 Bình Quới</t>
  </si>
  <si>
    <t>3,7-15</t>
  </si>
  <si>
    <t>Rạch Ông Ngữ</t>
  </si>
  <si>
    <t>480/65/15 Bình Quới</t>
  </si>
  <si>
    <t>12–24</t>
  </si>
  <si>
    <t>Rạch Ông Ngữ nhánh 1</t>
  </si>
  <si>
    <t>386/11 Bình Quới</t>
  </si>
  <si>
    <t>Rạch Ông Ngữ Đoạn 1</t>
  </si>
  <si>
    <t>7,4–16,3</t>
  </si>
  <si>
    <t>Rạch Ông Ngữ nhánh 2</t>
  </si>
  <si>
    <t>480/90/6A Bình Quới</t>
  </si>
  <si>
    <t>8,4–12,2</t>
  </si>
  <si>
    <t>Rạch Ông Ngữ nhánh 3</t>
  </si>
  <si>
    <t>386/4 Bình Quới</t>
  </si>
  <si>
    <t>4,7–9,8</t>
  </si>
  <si>
    <t>Rạch Ông Ngữ nhánh 4</t>
  </si>
  <si>
    <t>480/38 và 480/12/4</t>
  </si>
  <si>
    <t>Rạch Ông Ngữ nhánh 5</t>
  </si>
  <si>
    <t>480/31/4B Bình Quới</t>
  </si>
  <si>
    <t>16-24</t>
  </si>
  <si>
    <t>Rạch Ông Ngữ nhánh 6</t>
  </si>
  <si>
    <t>Cuối hẻm 558/60 Bình Quới</t>
  </si>
  <si>
    <t>19-29</t>
  </si>
  <si>
    <t>Số nhà 111B đường số 59. Phường 14</t>
  </si>
  <si>
    <t>Số nhà 237/33/2G Phạm Văn Chiêu, Phường 14.</t>
  </si>
  <si>
    <t>Số nhà 120/57/55 đường số 59, Phường 14.</t>
  </si>
  <si>
    <t>Số 537/29/2P Nguyễn Oanh, phường 17</t>
  </si>
  <si>
    <t>Số 537/28/2P Nguyễn Oanh</t>
  </si>
  <si>
    <t>Số 234/59 Lê Đức Thọ, phường 6 (ngã ba giao rạch Ông Tổng nhánh 1 và 3)</t>
  </si>
  <si>
    <t>Số nhà 884/39 Lê Đức Thọ, phường 15</t>
  </si>
  <si>
    <t>Hẻm 110/39 đường số 30, phường 6</t>
  </si>
  <si>
    <t>Rạch khu phố 8, phường 15</t>
  </si>
  <si>
    <t>Hẻm 114 Tô Ngọc Vân</t>
  </si>
  <si>
    <t>Mương Nhật Bản nhánh 1 và nhánh 2</t>
  </si>
  <si>
    <t>Phường 2</t>
  </si>
  <si>
    <t>Rạch Nguyễn Thị Sóc</t>
  </si>
  <si>
    <t>Rạch Cạnh số nhà 42B QL22 (Xăng dầu Hoàng Anh 1)</t>
  </si>
  <si>
    <t>Xăng dầu Hoàng Anh 1</t>
  </si>
  <si>
    <t>Xăng dầu Thành Công</t>
  </si>
  <si>
    <t>Rạch Cạnh số nhà 3/153 QL22</t>
  </si>
  <si>
    <t>Bà Triệu</t>
  </si>
  <si>
    <t>Nhánh 1 Rạch Tra Đặng Thúc Vịnh</t>
  </si>
  <si>
    <t>Cột điện 4140</t>
  </si>
  <si>
    <t>Nhánh 2 Rạch Tra Đặng Thúc Vịnh</t>
  </si>
  <si>
    <t>Cột điện 2410</t>
  </si>
  <si>
    <t>Mương tiêu (Trần Quang Cơ nối dài)</t>
  </si>
  <si>
    <t xml:space="preserve">Rạch Hóc Môn
</t>
  </si>
  <si>
    <t xml:space="preserve">Kênh Trần Quang Cơ
</t>
  </si>
  <si>
    <t>Hầm chữ T, XTĐ</t>
  </si>
  <si>
    <t>XT5</t>
  </si>
  <si>
    <t>TT2</t>
  </si>
  <si>
    <t>Rạch Tư Bồ</t>
  </si>
  <si>
    <t>Đường Đỗ Văn Dạy</t>
  </si>
  <si>
    <t>rạch Hóc Môn</t>
  </si>
  <si>
    <t>Kênh Cách Ly</t>
  </si>
  <si>
    <t>Rạch Tám Chim</t>
  </si>
  <si>
    <t>6-7</t>
  </si>
  <si>
    <t>Mương ranh xã XTS-XTT</t>
  </si>
  <si>
    <t>Mương tổ 5-6 ấp Hưng Lân</t>
  </si>
  <si>
    <t xml:space="preserve">Đường Nguyễn Thị Sóc </t>
  </si>
  <si>
    <t>Hẻm tổ 5,6</t>
  </si>
  <si>
    <t>Mương Tân Thới 2</t>
  </si>
  <si>
    <t>Đường Lê Lợi</t>
  </si>
  <si>
    <t>Đường Tân Hiệp 47-1</t>
  </si>
  <si>
    <t>Nhánh Rạch Cầu Dừa 1</t>
  </si>
  <si>
    <t>rạch Cầu Dừa</t>
  </si>
  <si>
    <t>Nhánh Rạch Cầu Dừa 2</t>
  </si>
  <si>
    <t>Nhánh Rạch Cầu Dừa 3</t>
  </si>
  <si>
    <t>Nhánh Rạch Cầu Dừa 4</t>
  </si>
  <si>
    <t>Nhánh Rạch Cầu Dừa 5</t>
  </si>
  <si>
    <t>Rạch cầu Bà Năm</t>
  </si>
  <si>
    <t>rạch Cầu Bà Mễn</t>
  </si>
  <si>
    <t>rạch Bến Đá</t>
  </si>
  <si>
    <t>rạch Cầu Bà Năm</t>
  </si>
  <si>
    <t>rạch Cầu Tre</t>
  </si>
  <si>
    <t>Rạch Bến Trại</t>
  </si>
  <si>
    <t>rạch Rỗng Lớn</t>
  </si>
  <si>
    <t>rạch Bến Gò Trại</t>
  </si>
  <si>
    <t>Rạch Bến Gò Trại nối dài</t>
  </si>
  <si>
    <t>rạch Bến Trại</t>
  </si>
  <si>
    <t>đường Đặng Thúc Vịnh</t>
  </si>
  <si>
    <t xml:space="preserve">Sông Sài Gòn
</t>
  </si>
  <si>
    <t>2-12</t>
  </si>
  <si>
    <t>rạch Bà Hồng</t>
  </si>
  <si>
    <t>đường Nhị Bình 9</t>
  </si>
  <si>
    <t>Mương tiêu nội đồng ấp 2, 3</t>
  </si>
  <si>
    <t>ranh xã TTT</t>
  </si>
  <si>
    <t>Mương sau lô E</t>
  </si>
  <si>
    <t xml:space="preserve">Nhà thờ Cầu Lớn
</t>
  </si>
  <si>
    <t xml:space="preserve">Trung tâm cai nghiện
</t>
  </si>
  <si>
    <t>Mương sau lô B</t>
  </si>
  <si>
    <t xml:space="preserve">Ngã ba Giòng
</t>
  </si>
  <si>
    <t xml:space="preserve">Đường Đặng Công Bỉnh
</t>
  </si>
  <si>
    <t>Rạch Vựa Khạp</t>
  </si>
  <si>
    <t>5-24</t>
  </si>
  <si>
    <t>Rạch Tám Đặng</t>
  </si>
  <si>
    <t>Rạch Hai Bửu</t>
  </si>
  <si>
    <t>Rạch Cầu Tre (nhánh rạch Bến đá 2)</t>
  </si>
  <si>
    <t>rạch Cẩu Dừa</t>
  </si>
  <si>
    <t>Nhánh Rạch Cầu Tre 1</t>
  </si>
  <si>
    <t>Nhánh Rạch Cầu Tre 2</t>
  </si>
  <si>
    <t>Nhánh Rạch Cầu Tre 3</t>
  </si>
  <si>
    <t>Mương sau lô C</t>
  </si>
  <si>
    <t>ranh xã TTN</t>
  </si>
  <si>
    <t>Rạch Vân Thành</t>
  </si>
  <si>
    <t>14-25</t>
  </si>
  <si>
    <t>Rạch Ba Khuôn</t>
  </si>
  <si>
    <t>Rạch Ba Nga</t>
  </si>
  <si>
    <t>9-12</t>
  </si>
  <si>
    <t>Rạch Hai Bịch</t>
  </si>
  <si>
    <t>rạch Cầu Võng</t>
  </si>
  <si>
    <t>10-19</t>
  </si>
  <si>
    <t>8-29</t>
  </si>
  <si>
    <t>Rạch Tư Đơn</t>
  </si>
  <si>
    <t>14-17</t>
  </si>
  <si>
    <t>20-22</t>
  </si>
  <si>
    <t>Nhánh sông rạch Tra</t>
  </si>
  <si>
    <t>ranh xã Thới Tam Thôn</t>
  </si>
  <si>
    <t>Cầu Rạch Tra</t>
  </si>
  <si>
    <t>Rạch Bọng Bầu</t>
  </si>
  <si>
    <t>đừng ĐT 2-2</t>
  </si>
  <si>
    <t>Rạch Đấu Cùi</t>
  </si>
  <si>
    <t>Rạch Tư Hợi và đoạn nhánh</t>
  </si>
  <si>
    <t>rạch Cầu Bến Đá</t>
  </si>
  <si>
    <t>Rạch cầu Ba Viên (Rỗng Gòn - Cầu Kho)</t>
  </si>
  <si>
    <t>rạch Rỗng Trâm</t>
  </si>
  <si>
    <t>Nhánh Rạch Bọng Bầu 1</t>
  </si>
  <si>
    <t>rạch Bọng Bầu</t>
  </si>
  <si>
    <t>Nhánh Rạch Bọng Bầu 2</t>
  </si>
  <si>
    <t>Nhánh Rạch Bọng Bầu 3</t>
  </si>
  <si>
    <t>Nhánh Rạch Bọng Bầu 4</t>
  </si>
  <si>
    <t>Nhánh Rạch Rỗng bầu 1</t>
  </si>
  <si>
    <t>rạch Rỗng Bầu</t>
  </si>
  <si>
    <t>Nhánh Rạch Rỗng bầu 2</t>
  </si>
  <si>
    <t>Nhánh Rạch Rỗng bầu 3</t>
  </si>
  <si>
    <t>Nhánh Rạch Rỗng bầu 4</t>
  </si>
  <si>
    <t>Nhánh Rạch Rỗng bầu 5</t>
  </si>
  <si>
    <t>Nhánh Rạch Rỗng bầu 6</t>
  </si>
  <si>
    <t>Rạch Gia (Cầu Gia)</t>
  </si>
  <si>
    <t>Nhánh Rạch Tắc Bến Rô 1</t>
  </si>
  <si>
    <t>Nhánh rạch Bàu Gốc 2 (Rạch Mỹ Phú)</t>
  </si>
  <si>
    <t>Rạch Thủ Đảo</t>
  </si>
  <si>
    <t>Nhánh rạch Thủ Đảo 1</t>
  </si>
  <si>
    <t>Rạch Ông Đội</t>
  </si>
  <si>
    <t>Rạch Cống Dinh - Ông Bốn</t>
  </si>
  <si>
    <t>25-60</t>
  </si>
  <si>
    <t>Rạch Mỏ Neo (Hồ Neo) - Bà Tranh</t>
  </si>
  <si>
    <t>Nhánh sông Soài Rạp 1</t>
  </si>
  <si>
    <t>Rạch Bầu Dừa (LT10)</t>
  </si>
  <si>
    <t>Sông Rạch Dơi</t>
  </si>
  <si>
    <t>Trạm Y tế xã Long Thới</t>
  </si>
  <si>
    <t>Chi lưu  Rạch Bầu Dừa (LT10)</t>
  </si>
  <si>
    <t>Rạch Bằng Ổi (LT11)</t>
  </si>
  <si>
    <t>Đường 2km2</t>
  </si>
  <si>
    <t>Sông Đồn Điền</t>
  </si>
  <si>
    <t>Rạch Cống Ông Lượng (LT12)</t>
  </si>
  <si>
    <t>Rạch Cá Nóc</t>
  </si>
  <si>
    <t>Rạch Tám Mung</t>
  </si>
  <si>
    <t>Rạch trước cửa xả số 2 Nguyễn Hữu Thọ</t>
  </si>
  <si>
    <t>Nhánh cụt sông Phú Xuân 1</t>
  </si>
  <si>
    <t>Nhánh cụt sông Phú Xuân 2</t>
  </si>
  <si>
    <t>Hẻm 1806</t>
  </si>
  <si>
    <t>Nhánh Rạch Ông Đội 4</t>
  </si>
  <si>
    <t>Rạch Ba Bọng (TT1)</t>
  </si>
  <si>
    <t>Hẻm 1897</t>
  </si>
  <si>
    <t>Rạch Đình (TT2)</t>
  </si>
  <si>
    <t>Chi lưu 1 - rạch Đình (TT2-1)</t>
  </si>
  <si>
    <t>Hẻm 1716</t>
  </si>
  <si>
    <t>Chi lưu 2 - rạch Đình (TT2-2)</t>
  </si>
  <si>
    <t>Bên trái hẻm 1806</t>
  </si>
  <si>
    <t>Rạch Nò - Nhánh 1 (TT3)</t>
  </si>
  <si>
    <t>Đường Đặng Nhữ Lâm</t>
  </si>
  <si>
    <t>Chi lưu Rạch Nò - Nhánh 1 (TT3)</t>
  </si>
  <si>
    <t>Rạch Nò - Nhánh 2 (TT4)</t>
  </si>
  <si>
    <t>Tường rào kho xăng</t>
  </si>
  <si>
    <t>Rạch Tổ 9 KP4 (TT7)</t>
  </si>
  <si>
    <t>Hẻm 1622/43/35/4</t>
  </si>
  <si>
    <t>Rạch Bần Bọng (PX1)</t>
  </si>
  <si>
    <t>Chi lưu rạch Bần Bọng (PX1) 1</t>
  </si>
  <si>
    <t>Đường vào khu dân cư Anh Tuấn</t>
  </si>
  <si>
    <t>Rạch Bần Bọng</t>
  </si>
  <si>
    <t>Chi lưu rạch Bần Bọng (PX1) 2</t>
  </si>
  <si>
    <t>Ấp 4</t>
  </si>
  <si>
    <t>Chi lưu 1 (PX1-1)</t>
  </si>
  <si>
    <t>PX1</t>
  </si>
  <si>
    <t>Hẻm 2581</t>
  </si>
  <si>
    <t>Chi lưu 2 (PX1-2)</t>
  </si>
  <si>
    <t>Chi lưu 3 (PX1-3)</t>
  </si>
  <si>
    <t>PX2</t>
  </si>
  <si>
    <t>Rạch Bờ Băng (PX2)</t>
  </si>
  <si>
    <t>Rạch Cẩm Hồng (PX3)</t>
  </si>
  <si>
    <t>Hẻm 133 - Nguyễn Bình</t>
  </si>
  <si>
    <t>Rạch chợ ấp 2 (PX4)</t>
  </si>
  <si>
    <t>Đường Nguyễn Bình</t>
  </si>
  <si>
    <t>Rạch Bóng Lương (PX5)</t>
  </si>
  <si>
    <t>Rạch Cá Tra (PX6)</t>
  </si>
  <si>
    <t>Xen cài khu dân cư</t>
  </si>
  <si>
    <t>Rạch Tư Chấp (PX8)</t>
  </si>
  <si>
    <t>Hẻm 2817</t>
  </si>
  <si>
    <t>Rạch Chín Còn (PX9)</t>
  </si>
  <si>
    <t>Rạch Xóm Đình (PX10)</t>
  </si>
  <si>
    <t>Rạch sau Uỷ ban cũ (PX11)</t>
  </si>
  <si>
    <t>Rạch Lô Đất 1 (PX12)</t>
  </si>
  <si>
    <t>Hẻm 96 - ĐTN</t>
  </si>
  <si>
    <t>Chi lưu rạch Mương Ngang</t>
  </si>
  <si>
    <t>Ấp 3</t>
  </si>
  <si>
    <t>Chi lưu rạch lô đất 1 (PX12)</t>
  </si>
  <si>
    <t>Chi lưu rạch Tư Chấp (PX8)</t>
  </si>
  <si>
    <t>Ấp 6</t>
  </si>
  <si>
    <t>Rạch cụt nhánh sông Nhà Bè</t>
  </si>
  <si>
    <t>Chi lưu rạch Bờ Băng (PX2)</t>
  </si>
  <si>
    <t>Ấp 2</t>
  </si>
  <si>
    <t>Rạch Cá Nóc (LT1)</t>
  </si>
  <si>
    <t>Rạch Lấp Dầu</t>
  </si>
  <si>
    <t>Rạch Cống Mốc (LT2)</t>
  </si>
  <si>
    <t>Đường LT-NĐ</t>
  </si>
  <si>
    <t>Rạch Cống Lớn (LT3)</t>
  </si>
  <si>
    <t>Rạch Bà Chồi (LT4)</t>
  </si>
  <si>
    <t>Chợ Bà Chồi</t>
  </si>
  <si>
    <t xml:space="preserve">Rạch Bà Chồi - Chi lưu 1  </t>
  </si>
  <si>
    <t>Mười Dữ, Cầu Ba Ken</t>
  </si>
  <si>
    <t xml:space="preserve">Rạch Bà Chồi - Chi lưu 2 </t>
  </si>
  <si>
    <t>Cầu Ba Ken</t>
  </si>
  <si>
    <t xml:space="preserve">Rạch Bà Chồi - Chi lưu 3 </t>
  </si>
  <si>
    <t>Cầu Hai Đôi</t>
  </si>
  <si>
    <t>Rạch Bà Chồi - Chi lưu 4</t>
  </si>
  <si>
    <t>Rạch Cống Cầu (LT5)</t>
  </si>
  <si>
    <t>Nguyễn Văn Tạo</t>
  </si>
  <si>
    <t>Rạch ấp 3 Cù Ri (LT6)</t>
  </si>
  <si>
    <t>Hẻm 05</t>
  </si>
  <si>
    <t>Rạch Khe Giữa</t>
  </si>
  <si>
    <t>Rạch Miễu (LT7)</t>
  </si>
  <si>
    <t>Rạch Bà Sáu</t>
  </si>
  <si>
    <t>Rạch Bà Sáu (LT8)</t>
  </si>
  <si>
    <t>Rạch Cống Mốc</t>
  </si>
  <si>
    <t>Rạch Bông Bồn (LT9)</t>
  </si>
  <si>
    <t xml:space="preserve">Rạch Bông Bồn - Chi lưu 1 </t>
  </si>
  <si>
    <t>Rạch Bông Bồn</t>
  </si>
  <si>
    <t>Rạch Bảy Đượm - Chi lưu 1</t>
  </si>
  <si>
    <t>Rạch Bảy Đượm</t>
  </si>
  <si>
    <t>Trường Đồng Xanh</t>
  </si>
  <si>
    <t>Rạch Bảy Đượm - Chi lưu 2</t>
  </si>
  <si>
    <t>Rạch Bảy Đượm (từ rạch Bà Chồi đến rạch Cá Nóc) (LT14)</t>
  </si>
  <si>
    <t>Rạch Khe Giữa (LT15)</t>
  </si>
  <si>
    <t>Rạch Khe Giữa - Chi lưu 2</t>
  </si>
  <si>
    <t xml:space="preserve">Nhánh rạch Khe giữa </t>
  </si>
  <si>
    <t>Nhà ông Tài</t>
  </si>
  <si>
    <t>Rạch Đồn/Rạch Mười Thành ấp 3 (LT16)</t>
  </si>
  <si>
    <t>Chi lưu Rạch Đồn (LT16)</t>
  </si>
  <si>
    <t>Rạch Đồn</t>
  </si>
  <si>
    <t>Trường tiểu học</t>
  </si>
  <si>
    <t>Rạch 7 (LT18)</t>
  </si>
  <si>
    <t xml:space="preserve">Rạch Bảy Nhịn </t>
  </si>
  <si>
    <t>Rạch cụt nhánh sông Đồn Điền</t>
  </si>
  <si>
    <t>Rạch Giáp Quạ (PL2)</t>
  </si>
  <si>
    <t>Rạch Gò Nồi</t>
  </si>
  <si>
    <t>5-28</t>
  </si>
  <si>
    <t>Rạch Tám Kiềm (PL3)</t>
  </si>
  <si>
    <t>Chợ Phước Lộc</t>
  </si>
  <si>
    <t>4-12</t>
  </si>
  <si>
    <t>Rạch Tắc Từ Hải (PL4)</t>
  </si>
  <si>
    <t>Đường NĐ-PL - Tắc Cây Mắm</t>
  </si>
  <si>
    <t>8-24</t>
  </si>
  <si>
    <t>Rạch Ngọc Tám Hy (PL5)</t>
  </si>
  <si>
    <t>Đường Đào Sư Tích</t>
  </si>
  <si>
    <t>10-18</t>
  </si>
  <si>
    <t>Rạch Cống Bà Vú (PL7)</t>
  </si>
  <si>
    <t>UBND xã Phước Lộc</t>
  </si>
  <si>
    <t>Rạch Chùa (Bà Chùa) (PL8)</t>
  </si>
  <si>
    <t>Rạch Số 1 (PL9)</t>
  </si>
  <si>
    <t>3-14</t>
  </si>
  <si>
    <t>Rạch Ông Gốc (từ cống Bà Vú đến rạch Bà Tánh) (PL11)</t>
  </si>
  <si>
    <t>Rạch cống Bà Vú</t>
  </si>
  <si>
    <t>3-17</t>
  </si>
  <si>
    <t>Rạch Cống Lớn (PL12)</t>
  </si>
  <si>
    <t>5-34</t>
  </si>
  <si>
    <t>Rạch ông 5 Đực</t>
  </si>
  <si>
    <t>Giáp thửa 67 tờ BĐ31</t>
  </si>
  <si>
    <t>Rạch Cống 7 Chưởng</t>
  </si>
  <si>
    <t>Thửa 145 tờ B23</t>
  </si>
  <si>
    <t>Rạch nhánh 1 của rạch Giáp Quạ</t>
  </si>
  <si>
    <t>Rạch Giáp Quạ</t>
  </si>
  <si>
    <t>Dự án T30</t>
  </si>
  <si>
    <t>Rạch nhánh 1 của rạch Cây Khô</t>
  </si>
  <si>
    <t>Hẻm 438 đường Đào Sư Tích</t>
  </si>
  <si>
    <t>Rạch nhánh 2 của rạch Cây Khô</t>
  </si>
  <si>
    <t>Hẻm 423 đường Đào Sư Tích</t>
  </si>
  <si>
    <t>1-5</t>
  </si>
  <si>
    <t>Rạch nhánh 3 của rạch Cây Khô</t>
  </si>
  <si>
    <t>Đường NĐ-PL</t>
  </si>
  <si>
    <t>Rạch ông 10 Ngon</t>
  </si>
  <si>
    <t>Giáp thửa 04 tờ BĐ04</t>
  </si>
  <si>
    <t>Rạch nhánh 1 của rạch Gò Nổi</t>
  </si>
  <si>
    <t>Thửa 12 tờ B26</t>
  </si>
  <si>
    <t>Rạch Ông Theo (ND2)</t>
  </si>
  <si>
    <t>Nguyễn Bình</t>
  </si>
  <si>
    <t>Rạch Rô (ND3)</t>
  </si>
  <si>
    <t>Rạch Bải Lễ</t>
  </si>
  <si>
    <t>Rạch Cá Nóc (ND4)</t>
  </si>
  <si>
    <t>Cầu Bà Chiêm</t>
  </si>
  <si>
    <t>Rạch Bà Lào (ND5)</t>
  </si>
  <si>
    <t>Rạch Ngọn Đình (ND6)</t>
  </si>
  <si>
    <t>Rạch Bà Não (ND7)</t>
  </si>
  <si>
    <t>Rạch Tắc Thầy Cai (ND8)</t>
  </si>
  <si>
    <t>Rạch Cống Ông Lượng</t>
  </si>
  <si>
    <t>Rạch Bún Dừa (ND9)</t>
  </si>
  <si>
    <t>Rạch Cống Ông</t>
  </si>
  <si>
    <t>Rạch Cầu Nhum (ND10)</t>
  </si>
  <si>
    <t>Rạch Bãi Lễ (ND11)</t>
  </si>
  <si>
    <t>Rạch Cầu Đạo (ND12)</t>
  </si>
  <si>
    <t>Lê Văn Lương</t>
  </si>
  <si>
    <t>Rạch Miếu Mốc (ND13)</t>
  </si>
  <si>
    <t>Rạch Bà Tư (ND14)</t>
  </si>
  <si>
    <t>Rạch Ông Theo</t>
  </si>
  <si>
    <t>Rạch Bà Minh (ND15)</t>
  </si>
  <si>
    <t>Rạch Bà Chùa (ND16)</t>
  </si>
  <si>
    <t>Rạch Cống Lỡ (ND17)</t>
  </si>
  <si>
    <t>Rạch Bà Đình (ND18)</t>
  </si>
  <si>
    <t>Rạch số 5 (ND19)</t>
  </si>
  <si>
    <t>Rạch số 6 (ND20)</t>
  </si>
  <si>
    <t>Rạch số 7 (ND21)</t>
  </si>
  <si>
    <t>Rạch số 2 (ND23)</t>
  </si>
  <si>
    <t>Rạch Ông Lương (từ ngã 3 Tắc Thầy Cai và rạch Ông Lương đến rạch Bà Não (ND24)</t>
  </si>
  <si>
    <t xml:space="preserve">Tắc Thầy Cai </t>
  </si>
  <si>
    <t>Rạch Bà Não -Lê Văn Lương</t>
  </si>
  <si>
    <t>Rạch Ông Theo (từ rạch Bà Tôm đến đường Nguyễn Bình) (ND25)</t>
  </si>
  <si>
    <t>Rạch Số 3 (từ rạch Số 2 đến rạch Số 4) (ND26)</t>
  </si>
  <si>
    <t>Rạch Số 2</t>
  </si>
  <si>
    <t>Rạch Số 4</t>
  </si>
  <si>
    <t>Rạch Số 4 (từ rạch Tôm đến rạch Số 5) (ND27)</t>
  </si>
  <si>
    <t>Rạch Số 5</t>
  </si>
  <si>
    <t>Rạch 1.1</t>
  </si>
  <si>
    <t>Rạch 1.2</t>
  </si>
  <si>
    <t>Rạch 1.4</t>
  </si>
  <si>
    <t>Rạch 1.7</t>
  </si>
  <si>
    <t>Rạch 1.8</t>
  </si>
  <si>
    <t>Rạch Tôm (Cầu Bà Sáu)</t>
  </si>
  <si>
    <t>Rạch 2.1</t>
  </si>
  <si>
    <t>Rạch Bà Đường</t>
  </si>
  <si>
    <t>Rạch 7.3</t>
  </si>
  <si>
    <t>Rạch Bà Não</t>
  </si>
  <si>
    <t>Rạch 7.5</t>
  </si>
  <si>
    <t>Rạch 11.1</t>
  </si>
  <si>
    <t>Rạch Bãi Lễ</t>
  </si>
  <si>
    <t>Rạch 11.1.1</t>
  </si>
  <si>
    <t>Rạch 11.1.2</t>
  </si>
  <si>
    <t>Rạch 12.1</t>
  </si>
  <si>
    <t>Rạch Cầu Đạo</t>
  </si>
  <si>
    <t>Rạch 13.1</t>
  </si>
  <si>
    <t>Rạch Miếu Mốc</t>
  </si>
  <si>
    <t>Rạch 16.1</t>
  </si>
  <si>
    <t>Rạch Bà Chùa</t>
  </si>
  <si>
    <t>Rạch 18.1</t>
  </si>
  <si>
    <t>Rạch Bà Đình</t>
  </si>
  <si>
    <t>Rạch 18.3</t>
  </si>
  <si>
    <t>Rạch 21.1</t>
  </si>
  <si>
    <t>Rạch 21.2</t>
  </si>
  <si>
    <t>Rạch 21.2.1</t>
  </si>
  <si>
    <t>Rạch 21.2.2</t>
  </si>
  <si>
    <t>Rạch 24.1</t>
  </si>
  <si>
    <t>Rạch Ông Lượng</t>
  </si>
  <si>
    <t>Rạch 24.2</t>
  </si>
  <si>
    <t>Rạch 25.1</t>
  </si>
  <si>
    <t>Rạch 25.1.1</t>
  </si>
  <si>
    <t>Rạch 25.2</t>
  </si>
  <si>
    <t>Rạch 29</t>
  </si>
  <si>
    <t>Rạch Hộ Neo (Mỏ Neo) (PK1)</t>
  </si>
  <si>
    <t>Đường Lê Văn Lương</t>
  </si>
  <si>
    <t>Rạch cây Bông (PK3)</t>
  </si>
  <si>
    <t>Rạch Tư Ten (PK4)</t>
  </si>
  <si>
    <t>Rạch Số 241 (PK5)</t>
  </si>
  <si>
    <t>Nguyễn Hữu Thọ</t>
  </si>
  <si>
    <t>Rạch Cá Sấu (PK6)</t>
  </si>
  <si>
    <t>Rạch Tư Ten - Lê Văn Lương</t>
  </si>
  <si>
    <t>Rạch Bà Quýt (PK7)</t>
  </si>
  <si>
    <t>Phạm Hữu Lầu</t>
  </si>
  <si>
    <t>Rạch Ông Bốn (PK9)</t>
  </si>
  <si>
    <t>Rạch Cống Dinh</t>
  </si>
  <si>
    <t>Rạch Hàng Bần</t>
  </si>
  <si>
    <t>Trường PTTH (Đường LVL)</t>
  </si>
  <si>
    <t>Rạch hẻm 1419 (Hẻm 15 cũ LVL)</t>
  </si>
  <si>
    <t>Sông Long Kiển</t>
  </si>
  <si>
    <t>Hẻm 1419</t>
  </si>
  <si>
    <t>Rạch Tư Hổ (trong hẻm 1419 LVL)</t>
  </si>
  <si>
    <t>Rạch cầu Mười Si</t>
  </si>
  <si>
    <t>Hẻm 1368/79</t>
  </si>
  <si>
    <t>Rạch cầu Xóm Đạo</t>
  </si>
  <si>
    <t>Chợ Phước Kiển</t>
  </si>
  <si>
    <t>Rạch sau Ủy ban xã</t>
  </si>
  <si>
    <t>Rạch Ông Bôốn</t>
  </si>
  <si>
    <t>Rạch Chùa Lá</t>
  </si>
  <si>
    <t>Sông Rạch Đĩa</t>
  </si>
  <si>
    <t>Nhà số 839/20 (Khu Dân An)</t>
  </si>
  <si>
    <t>Rạch Chùa Lá (TT8)</t>
  </si>
  <si>
    <t>Khu dân cư Vạn Phát Hưng</t>
  </si>
  <si>
    <t>Rạch Nò (TT3)</t>
  </si>
  <si>
    <t>Chi lưu rạch Chùa Lá (TT8)</t>
  </si>
  <si>
    <t>Đường quy hoạch</t>
  </si>
  <si>
    <t>Chi lưu rạch nắn dòng Quy hoạch 1</t>
  </si>
  <si>
    <t>Rạch nắn dòng Quy hoạch</t>
  </si>
  <si>
    <t>Hẻm 1983</t>
  </si>
  <si>
    <t>Chi lưu rạch nắn dòng Quy hoạch 2</t>
  </si>
  <si>
    <t>Rạch Mười Bé</t>
  </si>
  <si>
    <t>Khu dân cư An Tiến đường LVL</t>
  </si>
  <si>
    <t>Rạch hẻm Mười Nê</t>
  </si>
  <si>
    <t>Hẻm 360 Phạm Hữu Lầu</t>
  </si>
  <si>
    <t>Rạch Hẻm 24</t>
  </si>
  <si>
    <t>Sông Rạch Tôm</t>
  </si>
  <si>
    <t>Hẻm 387 Phạm Hữu Lầu</t>
  </si>
  <si>
    <t>Rạch nhánh Rạch Tôm</t>
  </si>
  <si>
    <t>Đường Phạm Hữu Lầu</t>
  </si>
  <si>
    <t>Rạch nhánh sông Rạch Đĩa</t>
  </si>
  <si>
    <t>Hẻm 724/22 LVL</t>
  </si>
  <si>
    <t xml:space="preserve">32÷52 </t>
  </si>
  <si>
    <t xml:space="preserve">Suối Gò Cát </t>
  </si>
  <si>
    <t>Suối cái</t>
  </si>
  <si>
    <t xml:space="preserve">Nhánh Suối Tiên </t>
  </si>
  <si>
    <t>Cầu Suối Tiên 2</t>
  </si>
  <si>
    <t>Cầu Suối Tiên 1</t>
  </si>
  <si>
    <t>Rạch Can</t>
  </si>
  <si>
    <t>Sông Bào</t>
  </si>
  <si>
    <t>25-86</t>
  </si>
  <si>
    <t>Rạch Vàm Xuống</t>
  </si>
  <si>
    <t>26-69</t>
  </si>
  <si>
    <t>Sông Chẹt</t>
  </si>
  <si>
    <t>Đường Lương Cát</t>
  </si>
  <si>
    <t>Rạch Cầu Ông Đụng</t>
  </si>
  <si>
    <t>Hẻm 195 Quốc lộ 1</t>
  </si>
  <si>
    <t>Hẻm 223 Quốc lộ 1</t>
  </si>
  <si>
    <t>Rạch Ụ Bong Bóng</t>
  </si>
  <si>
    <t>12-20</t>
  </si>
  <si>
    <t xml:space="preserve">Thửa đất số 6, tờ bản đồ số 6 </t>
  </si>
  <si>
    <t>Rạch Rỗng Bùng</t>
  </si>
  <si>
    <t>Rạch Sáu Quờn</t>
  </si>
  <si>
    <t>Ụ Sáu Quờn</t>
  </si>
  <si>
    <t>Nhà bà Kim Anh</t>
  </si>
  <si>
    <t>Rạch Võ Đông Nhất</t>
  </si>
  <si>
    <t>Thửa 39, Tờ 2</t>
  </si>
  <si>
    <t>7-11</t>
  </si>
  <si>
    <t>Rạch Sáu Thứ</t>
  </si>
  <si>
    <t>Ụ Sáu Thứ</t>
  </si>
  <si>
    <t>Rạch Cầu Sáng - Rạch Tra Nhỏ</t>
  </si>
  <si>
    <t>Mương Giáp ranh ấp 2 - ấp 4</t>
  </si>
  <si>
    <t>Thửa 2684 tờ 3 (TL1990)</t>
  </si>
  <si>
    <t>Thửa 2687 tờ 3 (TL1990)</t>
  </si>
  <si>
    <t>Mương giáp khu dân cư đường Đặng Công Bỉnh</t>
  </si>
  <si>
    <t>Rạch Tư Bửu</t>
  </si>
  <si>
    <t>Mương Thới Tây 1</t>
  </si>
  <si>
    <t>Đường Huỳnh Thị Mài</t>
  </si>
  <si>
    <t>Nhánh Rạch Tra 1 (Rỗng Chữ U), ấp 3</t>
  </si>
  <si>
    <t>Từ Rạch Tra</t>
  </si>
  <si>
    <t>Nhánh Rạch Tra 2 (Rỗng Ráo), ấp 3</t>
  </si>
  <si>
    <t>Rạch Cống Lấp (rạch Bà Thân)</t>
  </si>
  <si>
    <t>Rạch Tra Lớn</t>
  </si>
  <si>
    <t xml:space="preserve">Từ Rạch Tra </t>
  </si>
  <si>
    <t>Từ Bọng Bàu</t>
  </si>
  <si>
    <t>Rạch Bọng Bàu</t>
  </si>
  <si>
    <t>Từ rạch Hóc Môn</t>
  </si>
  <si>
    <t>Từ bến Bà May</t>
  </si>
  <si>
    <t xml:space="preserve">Từ Bọng Bàu </t>
  </si>
  <si>
    <t xml:space="preserve">Nhánh Rạch Bến Bà May 3 </t>
  </si>
  <si>
    <t xml:space="preserve">Từ rạch Bà May </t>
  </si>
  <si>
    <t>Từ rạch Bến Lội</t>
  </si>
  <si>
    <t>Rạch rỗng Giữa (ấp 3)</t>
  </si>
  <si>
    <t>Từ rạch Bà Mễn</t>
  </si>
  <si>
    <t>Từ rạch Bến Đá</t>
  </si>
  <si>
    <t>Từ Rạch Hóc Môn</t>
  </si>
  <si>
    <t>Kênh T4, ấp Trung Đông</t>
  </si>
  <si>
    <t>Rạch ông Hồ, ấp Trung Đông</t>
  </si>
  <si>
    <t>Kênh AH 6-1</t>
  </si>
  <si>
    <t>Kênh AH 6-3</t>
  </si>
  <si>
    <t>Kênh AH 6-4</t>
  </si>
  <si>
    <t>Kênh AH 6a-4</t>
  </si>
  <si>
    <t>Kênh AH6a</t>
  </si>
  <si>
    <t>Kênh AH 8-1</t>
  </si>
  <si>
    <t>Kênh AH 8-2</t>
  </si>
  <si>
    <t>Kênh AH 8-3</t>
  </si>
  <si>
    <t>Kênh AH 8-4</t>
  </si>
  <si>
    <t>Kênh AH 8-5</t>
  </si>
  <si>
    <t>Kênh AH 8-6</t>
  </si>
  <si>
    <t>Kênh AH 8-7</t>
  </si>
  <si>
    <t>Kênh AH 8-8</t>
  </si>
  <si>
    <t>Kênh AH 10-1</t>
  </si>
  <si>
    <t>Kênh AH 10-2</t>
  </si>
  <si>
    <t>Kênh AH 10-3</t>
  </si>
  <si>
    <t>Kênh AH 10-4</t>
  </si>
  <si>
    <t>Kênh AH 10-8</t>
  </si>
  <si>
    <t>AH6B</t>
  </si>
  <si>
    <t>Kênh N1 (Lò Đường)</t>
  </si>
  <si>
    <t>Kênh N1A (Hai Ngôi)</t>
  </si>
  <si>
    <t>Kênh N1B (Thằng Tây)</t>
  </si>
  <si>
    <t>Kênh N2 (Bảy Thanh)</t>
  </si>
  <si>
    <t>Kênh N3 (kênh Chùa)</t>
  </si>
  <si>
    <t>Kênh N4 (Hội Đồng)</t>
  </si>
  <si>
    <t>Kênh Độc Lập</t>
  </si>
  <si>
    <t>Kênh N5 (kênh Đình)</t>
  </si>
  <si>
    <t>Kênh N6 (kênh Lò Bún)</t>
  </si>
  <si>
    <t>Kênh K2A (kênh Đôi Lớn)</t>
  </si>
  <si>
    <t>Kênh N7 (Đôi Nhỏ)</t>
  </si>
  <si>
    <t>Kênh N9 (Bảy Hinh)</t>
  </si>
  <si>
    <t>Kênh N10 (Năm Giáp)</t>
  </si>
  <si>
    <t>Kênh N11 (Chài Chìm)</t>
  </si>
  <si>
    <t>Kênh N12 (Bảy Quế)</t>
  </si>
  <si>
    <t>Kênh N13 (Thằng Chông)</t>
  </si>
  <si>
    <t>Kênh K6 (Thân Khải)</t>
  </si>
  <si>
    <t>Kênh K7 (Tư Cu)</t>
  </si>
  <si>
    <t>Kênh Bà Tỵ</t>
  </si>
  <si>
    <t>Kênh T1 (Kênh Ngang)</t>
  </si>
  <si>
    <t>Kênh T2 (Kênh Ngang)</t>
  </si>
  <si>
    <t>Kênh Tám Đại</t>
  </si>
  <si>
    <t>Kênh T3 (Kênh Ngang)</t>
  </si>
  <si>
    <t>Kênh Đôi Lớn</t>
  </si>
  <si>
    <t>Kênh Ranh D1</t>
  </si>
  <si>
    <t>Kênh Ranh D2</t>
  </si>
  <si>
    <t>Kênh K1 (Tám Đại)</t>
  </si>
  <si>
    <t>Kênh K2 (Độc Lập)</t>
  </si>
  <si>
    <t>Kênh K3 (Năm Xuyên)</t>
  </si>
  <si>
    <t>Kênh K4 (Thầy Thuốc)</t>
  </si>
  <si>
    <t>Kênh số 13</t>
  </si>
  <si>
    <t>Kênh Tư Đức</t>
  </si>
  <si>
    <t>Kênh Sáu Ấp</t>
  </si>
  <si>
    <t>Kênh Rau Rămn</t>
  </si>
  <si>
    <t>23-25</t>
  </si>
  <si>
    <t>Rạch Cầu Già</t>
  </si>
  <si>
    <t>Đường Đinh Văn Ước</t>
  </si>
  <si>
    <t>Đường Phạm Thị Tánh</t>
  </si>
  <si>
    <t>Đường Đinh Đức Thiện</t>
  </si>
  <si>
    <t>Kênh 3-4-5</t>
  </si>
  <si>
    <t>Đường Đoàn Nguyễn Tuấn</t>
  </si>
  <si>
    <t>Kênh cặp đường liên ấp 2-3-4</t>
  </si>
  <si>
    <t>Kênh giao thông hào</t>
  </si>
  <si>
    <t>Tỉnh Lộ 9</t>
  </si>
  <si>
    <t>Hương Lộ 5</t>
  </si>
  <si>
    <t>Rạch Bà Giáo</t>
  </si>
  <si>
    <t>Raạch Cá Lăng</t>
  </si>
  <si>
    <t>Rạch Ông Làm</t>
  </si>
  <si>
    <t>Kênh ông Hùng</t>
  </si>
  <si>
    <t>Rạch Ông Dũng</t>
  </si>
  <si>
    <t>Rạch Lò</t>
  </si>
  <si>
    <t>Rạch Xà Đỏ (2 dẩn)</t>
  </si>
  <si>
    <t>Rạch 7 Nhựt</t>
  </si>
  <si>
    <t>Rạch Miểu</t>
  </si>
  <si>
    <t>Rạch 4 Tượng</t>
  </si>
  <si>
    <t>Rạch 2 Gập</t>
  </si>
  <si>
    <t>Rạch Út Rít</t>
  </si>
  <si>
    <t>Kênh Mới (2 Bước)</t>
  </si>
  <si>
    <t>Rạch ba Sơn</t>
  </si>
  <si>
    <t>Rạch bà Linh</t>
  </si>
  <si>
    <t>Rạch 7 Nhỏ</t>
  </si>
  <si>
    <t>Rạch Tắc Vàm Châu</t>
  </si>
  <si>
    <t>Rạch nhánh Mương Chuối</t>
  </si>
  <si>
    <t xml:space="preserve">Rạch Dơi </t>
  </si>
  <si>
    <t xml:space="preserve">Rạch Bùn Tam </t>
  </si>
  <si>
    <t xml:space="preserve"> Rạch Tràm</t>
  </si>
  <si>
    <t>Tắc Miễu</t>
  </si>
  <si>
    <t>Tuyến nối tắt ĐBSCL-VTTVải: Đào mới 2,1km nối sông Soài Rạp - rạch Gốc Tre Nhỏ (Chưa đào)</t>
  </si>
  <si>
    <t>Tắc Cà Đao</t>
  </si>
  <si>
    <t>Rạch Long Vương</t>
  </si>
  <si>
    <t>Đầu nguồn (đắp đập)</t>
  </si>
  <si>
    <t>Tắc Ông Đại - Bà Đây - Ba Giồng</t>
  </si>
  <si>
    <t>Rạch Đước - Rạch Sáu Quán - Rạch Lấp Dời</t>
  </si>
  <si>
    <t>Tắc Lớn</t>
  </si>
  <si>
    <t>Rạch Ăn Thịt - Cái Đước - Rạch Dừa</t>
  </si>
  <si>
    <t>Xã Bình Mỹ</t>
  </si>
  <si>
    <t>Xã Đông Thạnh</t>
  </si>
  <si>
    <t>Phường Thới An</t>
  </si>
  <si>
    <t>Địa điểm (phường, xã, đặc khu)</t>
  </si>
  <si>
    <t>Phường An Khánh</t>
  </si>
  <si>
    <t>Phường Bình Trưng</t>
  </si>
  <si>
    <t>Phường Cát Lái</t>
  </si>
  <si>
    <t>Phường Long Trường</t>
  </si>
  <si>
    <t>Phường An Phú Đông</t>
  </si>
  <si>
    <t>Phường Phước Long</t>
  </si>
  <si>
    <t>Phường Tăng Nhơn Phú</t>
  </si>
  <si>
    <t>Phường Long Phước</t>
  </si>
  <si>
    <t>Phường Long Bình</t>
  </si>
  <si>
    <t>Phường Tam Bình</t>
  </si>
  <si>
    <t>Phường Hiệp Bình</t>
  </si>
  <si>
    <t>Phường Thủ Đức</t>
  </si>
  <si>
    <t>Phường Linh Xuân</t>
  </si>
  <si>
    <t>Phường Bình Hòa</t>
  </si>
  <si>
    <t>Phường Vĩnh Hội</t>
  </si>
  <si>
    <t>Phường Tân Hưng</t>
  </si>
  <si>
    <t>Phường Tân Thuận</t>
  </si>
  <si>
    <t>Phường Tân Mỹ</t>
  </si>
  <si>
    <t>Phường Phú Thuận</t>
  </si>
  <si>
    <t>Xã Bình Hưng</t>
  </si>
  <si>
    <t>Phường Chánh Hưng</t>
  </si>
  <si>
    <t>Phường Phú Định</t>
  </si>
  <si>
    <t>Phường Bình Đông</t>
  </si>
  <si>
    <t>Phường Bình Thới</t>
  </si>
  <si>
    <t>Phường Đông Hưng Thuận</t>
  </si>
  <si>
    <t>Phường Trung Mỹ Tây</t>
  </si>
  <si>
    <t>Phường An Lạc</t>
  </si>
  <si>
    <t>Phường Tân Tạo</t>
  </si>
  <si>
    <t>Phường Bình Tân</t>
  </si>
  <si>
    <t>Phường Bình Trị Đông</t>
  </si>
  <si>
    <t>Phường Gia Định</t>
  </si>
  <si>
    <t>Phường Bình Lợi Trung</t>
  </si>
  <si>
    <t>Phường Bình Thạnh</t>
  </si>
  <si>
    <t>Phường Thạnh Mỹ Tây</t>
  </si>
  <si>
    <t>Phường Bình Quới</t>
  </si>
  <si>
    <t>Phường An Hội Tây</t>
  </si>
  <si>
    <t>Phường An Nhơn</t>
  </si>
  <si>
    <t>Phường An Hội Đông</t>
  </si>
  <si>
    <t>Phường Tân Sơn Hòa</t>
  </si>
  <si>
    <t>Phường Tân Sơn</t>
  </si>
  <si>
    <t>Xã Xuân Thới Sơn</t>
  </si>
  <si>
    <t>Xã Bà Điểm</t>
  </si>
  <si>
    <t>Xã Hóc Môn</t>
  </si>
  <si>
    <t>Xã Bình Chánh</t>
  </si>
  <si>
    <t>Xã Bình Lợi</t>
  </si>
  <si>
    <t>Xã Vĩnh Lộc</t>
  </si>
  <si>
    <t>Xã Nhà Bè</t>
  </si>
  <si>
    <t>Xã Tân Vĩnh Lộc</t>
  </si>
  <si>
    <t>Xã Củ Chi</t>
  </si>
  <si>
    <t>Xã Bình Khánh</t>
  </si>
  <si>
    <t>Xã Hiệp Phước</t>
  </si>
  <si>
    <t>Xã An Thới Đông</t>
  </si>
  <si>
    <t>Xã Cần Giờ</t>
  </si>
  <si>
    <t>Xã Thạnh An</t>
  </si>
  <si>
    <t>Xã An Nhơn Tây</t>
  </si>
  <si>
    <t>Xã Tân An Hội</t>
  </si>
  <si>
    <t>Xã Phú Hòa Đông</t>
  </si>
  <si>
    <t>Xã Thái Mỹ</t>
  </si>
  <si>
    <t>Xã Nhuận Đức</t>
  </si>
  <si>
    <t>Cấp kỹ thuật</t>
  </si>
  <si>
    <t>V</t>
  </si>
  <si>
    <t>Rạch Láng The - Bến Mương</t>
  </si>
  <si>
    <t>VI</t>
  </si>
  <si>
    <t>Sông Bến Lức</t>
  </si>
  <si>
    <t>Rạch Lò Gốm - Ông Buông</t>
  </si>
  <si>
    <t>Rạch Chiếc - Trau Trảu</t>
  </si>
  <si>
    <t>Rạch Đồng Trong - Rạch Giồng Ông Tố</t>
  </si>
  <si>
    <t>Rạch Bà Cua - Ông Cày</t>
  </si>
  <si>
    <t xml:space="preserve">Sông Đồng Nai </t>
  </si>
  <si>
    <t xml:space="preserve">Sông Bến Lức </t>
  </si>
  <si>
    <t>Rạch Xóm Củi - Gò Nổi</t>
  </si>
  <si>
    <t>Rạch Chiếu - Cầu Bà Cả</t>
  </si>
  <si>
    <t>Sông Cần Giuộc (tuyến TW)</t>
  </si>
  <si>
    <t xml:space="preserve">Sông Soài Rạp </t>
  </si>
  <si>
    <t>Rạch Tôm (nhánh Phú Xuân - Mương Chuối)</t>
  </si>
  <si>
    <t>Rạch Dơi - Sông Kinh (Sông Đồng Điền)</t>
  </si>
  <si>
    <t>Rạch Giồng - Sông Kinh Lộ</t>
  </si>
  <si>
    <t>Rạch Bà Chiêm - Bà Chùa - Lấp Dầu</t>
  </si>
  <si>
    <t>Rạch Đinh - Tắc Mương Lớn</t>
  </si>
  <si>
    <t>Rạch Tắc Rỗi (Rạch Cầu Kinh)</t>
  </si>
  <si>
    <t>Cửa Biển Đông</t>
  </si>
  <si>
    <t xml:space="preserve">Cửa Cần Giờ </t>
  </si>
  <si>
    <t xml:space="preserve">Sông Đồng Tranh 2 </t>
  </si>
  <si>
    <t>Sông Cát Lái - Sông Vàm Sát</t>
  </si>
  <si>
    <t>Sông Đồng Đình - Bãi Tiên</t>
  </si>
  <si>
    <t xml:space="preserve">Sông Dinh Bà 2 </t>
  </si>
  <si>
    <t>Tắc Bức Mây</t>
  </si>
  <si>
    <t xml:space="preserve">Sông Đồng Tranh 1 </t>
  </si>
  <si>
    <t xml:space="preserve">Sông Cát Lái </t>
  </si>
  <si>
    <t>Rạch Lá - Tắc Tây Đen</t>
  </si>
  <si>
    <t xml:space="preserve">Sông Lòng Tàu </t>
  </si>
  <si>
    <t>Rạch Tắc Rán</t>
  </si>
  <si>
    <t>Kênh Bà Tổng - Tắc Ông Nghĩa</t>
  </si>
  <si>
    <t>Sông Dinh Bà 1 - Lôi Giang</t>
  </si>
  <si>
    <t>Rạch Tắc Rỗi</t>
  </si>
  <si>
    <t>N3 Tắc Đinh Cậu - Tắc Rỗi</t>
  </si>
  <si>
    <t>Sông Dừa (đoạn ĐTNĐ)</t>
  </si>
  <si>
    <t>Tắc Rỗi</t>
  </si>
  <si>
    <t>Sông Dinh Bà 2</t>
  </si>
  <si>
    <t>Sông Mùng Năm - Tắc Ăn Chè</t>
  </si>
  <si>
    <t>Sông Ông Tiên - Cá Gau</t>
  </si>
  <si>
    <t xml:space="preserve">Rạch Lá </t>
  </si>
  <si>
    <t>Sông Cá Nhám Lớn - Rạch Cá Nháp Lớn</t>
  </si>
  <si>
    <t>Rạch Mồng Gà - Tắc Móc Mu</t>
  </si>
  <si>
    <t xml:space="preserve">Tắc Bức Mây </t>
  </si>
  <si>
    <t>Tắc Ăn Tết - Tắc Cầu Kho</t>
  </si>
  <si>
    <t>Sông Dừa (Tắc Cà Đao)</t>
  </si>
  <si>
    <t>Tắc Ông Nghĩa</t>
  </si>
  <si>
    <t xml:space="preserve">Sông Dinh Bà </t>
  </si>
  <si>
    <t xml:space="preserve">Sông Lò Rèn </t>
  </si>
  <si>
    <t xml:space="preserve">Sông Vàm Sát </t>
  </si>
  <si>
    <t>Ngã ba Sông Bé</t>
  </si>
  <si>
    <t>Đường nội bộ tổng kho Thủ Đức</t>
  </si>
  <si>
    <t>Tên Tuyến</t>
  </si>
  <si>
    <t xml:space="preserve">Phạm vi </t>
  </si>
  <si>
    <t>Chiều dài (km)</t>
  </si>
  <si>
    <t>Điểm đầu (hạ lưu)</t>
  </si>
  <si>
    <t>Điểm cuối (thượng lưu)</t>
  </si>
  <si>
    <t>Quy hoạch</t>
  </si>
  <si>
    <t>Khai thác</t>
  </si>
  <si>
    <t>KHU VỰC TRUNG TÂM</t>
  </si>
  <si>
    <t xml:space="preserve">Cầu Bến Mương </t>
  </si>
  <si>
    <t xml:space="preserve">VI </t>
  </si>
  <si>
    <t>Chưa đạt cấp VI</t>
  </si>
  <si>
    <t xml:space="preserve">Ranh giới Tây Ninh </t>
  </si>
  <si>
    <t xml:space="preserve">V </t>
  </si>
  <si>
    <t xml:space="preserve">Kênh Địa Phận </t>
  </si>
  <si>
    <t xml:space="preserve">Rạch Tra </t>
  </si>
  <si>
    <t xml:space="preserve">Rạch Láng The </t>
  </si>
  <si>
    <t xml:space="preserve">IV </t>
  </si>
  <si>
    <t>Cầu Xáng TL10</t>
  </si>
  <si>
    <t>Kênh Xáng An Hạ- kênh Xáng Lý Văn Mạnh</t>
  </si>
  <si>
    <t xml:space="preserve">Cầu Xáng TL10 </t>
  </si>
  <si>
    <t>Rạch Cầu Mênh - Bến Cát</t>
  </si>
  <si>
    <t xml:space="preserve">Sông Trường Đay </t>
  </si>
  <si>
    <t>Sông Vàm Thuật - Bến Cát - Trường Đay - Tham Lương - Rạch Nước Lên</t>
  </si>
  <si>
    <t>-</t>
  </si>
  <si>
    <t xml:space="preserve">Kênh Ngang Số 3 </t>
  </si>
  <si>
    <t>Kênh Tàu Hủ - Lò Gốm</t>
  </si>
  <si>
    <t xml:space="preserve">Kênh Ngang Số 2 </t>
  </si>
  <si>
    <t xml:space="preserve">Đường Bùi Cẩm Hổ </t>
  </si>
  <si>
    <t xml:space="preserve">Kênh Tàu Hủ - Lò Gốm </t>
  </si>
  <si>
    <t xml:space="preserve">Kênh Đôi </t>
  </si>
  <si>
    <t xml:space="preserve">Rạch Bến Nghé </t>
  </si>
  <si>
    <t>Rạch Nhiêu Lộc - Thị Nghè</t>
  </si>
  <si>
    <t xml:space="preserve">Kênh Thanh Đa </t>
  </si>
  <si>
    <t xml:space="preserve">Sông Vĩnh Bình </t>
  </si>
  <si>
    <t xml:space="preserve">Rạch Nước Trong </t>
  </si>
  <si>
    <t xml:space="preserve">Rạch Gò Dưa </t>
  </si>
  <si>
    <t xml:space="preserve">Cuối tuyến </t>
  </si>
  <si>
    <t xml:space="preserve">Rạch Ông Nhiêu </t>
  </si>
  <si>
    <t xml:space="preserve">Rạch Trau Trảu </t>
  </si>
  <si>
    <t xml:space="preserve">Rạch Cây Cam </t>
  </si>
  <si>
    <t>Rạch Môn - Sông Kinh</t>
  </si>
  <si>
    <t>Rạch Bà Đá - Rạch Giáng</t>
  </si>
  <si>
    <t xml:space="preserve">Rạch Chiếc </t>
  </si>
  <si>
    <t xml:space="preserve">Sông Kỳ Hà </t>
  </si>
  <si>
    <t xml:space="preserve">Đường Võ Chí Công </t>
  </si>
  <si>
    <t xml:space="preserve">Rạch Cá Trê Lớn </t>
  </si>
  <si>
    <t xml:space="preserve">Rạch Bà Tỵ </t>
  </si>
  <si>
    <t xml:space="preserve">Kênh Xáng </t>
  </si>
  <si>
    <t xml:space="preserve">III </t>
  </si>
  <si>
    <t xml:space="preserve">Rạch Bà Lớn - Rạch Chồm </t>
  </si>
  <si>
    <t>Rạch Bà Lào (Xã Tờn) - Rạch Ngang</t>
  </si>
  <si>
    <t xml:space="preserve">Rạch Xóm Củi </t>
  </si>
  <si>
    <t xml:space="preserve">N3 Kênh Cây Khô </t>
  </si>
  <si>
    <t xml:space="preserve">Tắc Bến Rô </t>
  </si>
  <si>
    <t xml:space="preserve">Cuối tuyến (Đa Phước) </t>
  </si>
  <si>
    <t xml:space="preserve">Hạ lưu cầu Trắng </t>
  </si>
  <si>
    <t xml:space="preserve">Rạch Cả Cấm </t>
  </si>
  <si>
    <t xml:space="preserve">Rạch Rơi </t>
  </si>
  <si>
    <t xml:space="preserve">Cầu Đa Khoa </t>
  </si>
  <si>
    <t xml:space="preserve">Rạch Tam Đệ </t>
  </si>
  <si>
    <t xml:space="preserve">Đường Đào Trí </t>
  </si>
  <si>
    <t>Rạch Đĩa - Rạch Rơi - Sông Phú Xuân</t>
  </si>
  <si>
    <t xml:space="preserve">Rạch Ông Lớn </t>
  </si>
  <si>
    <t xml:space="preserve">Sông Phú Xuân </t>
  </si>
  <si>
    <t>Rạch Ông Lớn 2 - Sông Phước Kiểng - Mương Chuối</t>
  </si>
  <si>
    <t xml:space="preserve">Kênh Cây Khô </t>
  </si>
  <si>
    <t>Rạch Tôm (Nhánh Phước Kiểng)</t>
  </si>
  <si>
    <t xml:space="preserve">Sông Cần Giuộc </t>
  </si>
  <si>
    <t xml:space="preserve">Sông Giồng (Tây Ninh) </t>
  </si>
  <si>
    <t xml:space="preserve">Rạch Rộp </t>
  </si>
  <si>
    <t xml:space="preserve">Rạch Đinh </t>
  </si>
  <si>
    <t xml:space="preserve">Tắc Sông Chà </t>
  </si>
  <si>
    <t xml:space="preserve">II </t>
  </si>
  <si>
    <t xml:space="preserve">Rạch Tân - Rạch Bông Giếng Lớn </t>
  </si>
  <si>
    <t>Rạch Lá Tắc Tây Đen</t>
  </si>
  <si>
    <t xml:space="preserve">Kênh Bà Tổng </t>
  </si>
  <si>
    <t xml:space="preserve">Tắc Ông Nghĩa </t>
  </si>
  <si>
    <t xml:space="preserve">Rạch Đôn </t>
  </si>
  <si>
    <t>Sông Soài Rạp (đường Lý Nhơn)</t>
  </si>
  <si>
    <t xml:space="preserve">Sông Dừa </t>
  </si>
  <si>
    <t>Sông Dừa (đoạn hàng hải)</t>
  </si>
  <si>
    <t xml:space="preserve">Rạch Đuôi Cá </t>
  </si>
  <si>
    <t xml:space="preserve">Tắc Bài </t>
  </si>
  <si>
    <t xml:space="preserve">Rạch Thiềng Liềng </t>
  </si>
  <si>
    <t xml:space="preserve">Tắc Đòi Nợ </t>
  </si>
  <si>
    <t xml:space="preserve">Rạch Cá Nhán </t>
  </si>
  <si>
    <t xml:space="preserve">Sông Thêu </t>
  </si>
  <si>
    <t xml:space="preserve">Rạch Năm Mươi </t>
  </si>
  <si>
    <t xml:space="preserve">Sông Cái Mép </t>
  </si>
  <si>
    <t xml:space="preserve">I </t>
  </si>
  <si>
    <t xml:space="preserve">Sông Ngã Bảy </t>
  </si>
  <si>
    <t xml:space="preserve">Tắc Cống </t>
  </si>
  <si>
    <t xml:space="preserve">Sông Lò Vôi </t>
  </si>
  <si>
    <t xml:space="preserve">Sông Dần Xây </t>
  </si>
  <si>
    <t xml:space="preserve">Rạch Tràm - Kênh Kê </t>
  </si>
  <si>
    <t xml:space="preserve">Sông Dinh Bà 1 </t>
  </si>
  <si>
    <t>Cửa Soài Rạp</t>
  </si>
  <si>
    <t xml:space="preserve">Sông Mũi Nai </t>
  </si>
  <si>
    <t xml:space="preserve">Sông Mùng Năm </t>
  </si>
  <si>
    <t xml:space="preserve">Sông Hà Thanh - Đồng Hòa </t>
  </si>
  <si>
    <t xml:space="preserve">Cửa Biển </t>
  </si>
  <si>
    <t xml:space="preserve">Rạch Long Thạnh </t>
  </si>
  <si>
    <t xml:space="preserve">Bến đò Long Thạnh </t>
  </si>
  <si>
    <t>KHU VỰC BÌNH DƯƠNG</t>
  </si>
  <si>
    <t xml:space="preserve">Sông Thị Tính </t>
  </si>
  <si>
    <t>Cầu Đò</t>
  </si>
  <si>
    <t>16,5</t>
  </si>
  <si>
    <t xml:space="preserve">- </t>
  </si>
  <si>
    <t xml:space="preserve">Đoạn 1 </t>
  </si>
  <si>
    <t>Cầu Ông Cộ</t>
  </si>
  <si>
    <t xml:space="preserve">Đoạn 2 </t>
  </si>
  <si>
    <t xml:space="preserve">Cầu Ông Cộ </t>
  </si>
  <si>
    <t xml:space="preserve">Cầu Đò </t>
  </si>
  <si>
    <t>KHU VỰC BÀ RỊA – VŨNG TÀU</t>
  </si>
  <si>
    <t xml:space="preserve">Sông Sao </t>
  </si>
  <si>
    <t xml:space="preserve">Thượng nguồn </t>
  </si>
  <si>
    <t>3,59</t>
  </si>
  <si>
    <t xml:space="preserve">Cầu Rạch Mương </t>
  </si>
  <si>
    <t>Cầu Rạch Mương</t>
  </si>
  <si>
    <t xml:space="preserve">2,64 </t>
  </si>
  <si>
    <t xml:space="preserve">Rạch Bàn Thạch </t>
  </si>
  <si>
    <t>2,80</t>
  </si>
  <si>
    <t xml:space="preserve">Cầu Bàn Thạch </t>
  </si>
  <si>
    <t xml:space="preserve">0,72 </t>
  </si>
  <si>
    <t>Cầu Bàn Thạch</t>
  </si>
  <si>
    <t xml:space="preserve">2,08 </t>
  </si>
  <si>
    <t xml:space="preserve">Sông Mỏ Nhát </t>
  </si>
  <si>
    <t>Cửa Ông Biển</t>
  </si>
  <si>
    <t>10,63</t>
  </si>
  <si>
    <t>Cửa Ông Bền</t>
  </si>
  <si>
    <t xml:space="preserve">Cầu Mỏ Nhát 1 </t>
  </si>
  <si>
    <t xml:space="preserve">2,8 </t>
  </si>
  <si>
    <t>Cầu Mỏ Nhát 1</t>
  </si>
  <si>
    <t xml:space="preserve">Cầu Mỏ Nhát 2 </t>
  </si>
  <si>
    <t xml:space="preserve">4,65 </t>
  </si>
  <si>
    <t xml:space="preserve">Đoạn 3 </t>
  </si>
  <si>
    <t>Cầu Mỏ Nhát 2</t>
  </si>
  <si>
    <t>Ngã 3 S. Mỏ Nhát - Giếng Muối</t>
  </si>
  <si>
    <t xml:space="preserve">1,07 </t>
  </si>
  <si>
    <t>Đoạn 4</t>
  </si>
  <si>
    <t xml:space="preserve">Thượng Nguồn </t>
  </si>
  <si>
    <t xml:space="preserve">2,11 </t>
  </si>
  <si>
    <t xml:space="preserve">Rạch Giếng Muối </t>
  </si>
  <si>
    <t>Ngã 3 S. Mỏ Nhát</t>
  </si>
  <si>
    <t xml:space="preserve">1,2 </t>
  </si>
  <si>
    <t xml:space="preserve">Sông Tắc Lớn </t>
  </si>
  <si>
    <t xml:space="preserve">Rạch Vàm Treo Gũi </t>
  </si>
  <si>
    <t xml:space="preserve">1,40 </t>
  </si>
  <si>
    <t>Rạch Vàm Treo Gũi</t>
  </si>
  <si>
    <t>Cầu Vàm Gũi (Sông Thị Vải)</t>
  </si>
  <si>
    <t xml:space="preserve">Rạch Ông </t>
  </si>
  <si>
    <t xml:space="preserve">1,80 </t>
  </si>
  <si>
    <t xml:space="preserve">Ngã 3 sông Mỏ Nhát </t>
  </si>
  <si>
    <t>5,80</t>
  </si>
  <si>
    <t xml:space="preserve">Cầu Rạch Ông </t>
  </si>
  <si>
    <t xml:space="preserve">3,32 </t>
  </si>
  <si>
    <t>Cầu Rạch Ông</t>
  </si>
  <si>
    <t xml:space="preserve">2,48 </t>
  </si>
  <si>
    <t xml:space="preserve">Rạch Ngã Tư </t>
  </si>
  <si>
    <t xml:space="preserve">Ngã 3 Rạch Ông </t>
  </si>
  <si>
    <t>5,81</t>
  </si>
  <si>
    <t xml:space="preserve">Cầu Rạch Ngã Tư </t>
  </si>
  <si>
    <t xml:space="preserve">0,96 </t>
  </si>
  <si>
    <t>Cầu Rạch Ngã Tư</t>
  </si>
  <si>
    <t xml:space="preserve">Ngã 3 Mỏ Nhát </t>
  </si>
  <si>
    <t xml:space="preserve">3,84 </t>
  </si>
  <si>
    <t>Ngã 3 Rạch Ngã Tư</t>
  </si>
  <si>
    <t xml:space="preserve">1,01 </t>
  </si>
  <si>
    <t xml:space="preserve">Sông Rạng </t>
  </si>
  <si>
    <t>Ngã 3 Sông Mũi Giui</t>
  </si>
  <si>
    <t>Ngã 3 sông Mỏ Nhát (tiếp giáp vùng nước cảng biển)</t>
  </si>
  <si>
    <t>6,61</t>
  </si>
  <si>
    <t xml:space="preserve">Cầu Bà Nanh </t>
  </si>
  <si>
    <t xml:space="preserve">2,42 </t>
  </si>
  <si>
    <t>Cầu Bà Nanh</t>
  </si>
  <si>
    <t xml:space="preserve">Gần Ngã 3 S. Mỏ Nhát </t>
  </si>
  <si>
    <t xml:space="preserve">4,19 </t>
  </si>
  <si>
    <t xml:space="preserve">Rạch Tre </t>
  </si>
  <si>
    <t>3,84</t>
  </si>
  <si>
    <t xml:space="preserve">KM 1+980 </t>
  </si>
  <si>
    <t xml:space="preserve">1,98 </t>
  </si>
  <si>
    <t xml:space="preserve">Thượng lưu </t>
  </si>
  <si>
    <t xml:space="preserve">1,86 </t>
  </si>
  <si>
    <t xml:space="preserve">Sông Rạch Ván </t>
  </si>
  <si>
    <t xml:space="preserve">2,00 </t>
  </si>
  <si>
    <t xml:space="preserve">Sông Long Hòa </t>
  </si>
  <si>
    <t xml:space="preserve">2,29 </t>
  </si>
  <si>
    <t xml:space="preserve">1,8 </t>
  </si>
  <si>
    <t xml:space="preserve">Ngã 3 S. Long Hòa </t>
  </si>
  <si>
    <t xml:space="preserve">0,49 </t>
  </si>
  <si>
    <t xml:space="preserve">Sông Chà Và </t>
  </si>
  <si>
    <t xml:space="preserve">Ngã 3 Sông Mũi Giui </t>
  </si>
  <si>
    <t>3,72</t>
  </si>
  <si>
    <t xml:space="preserve">Cầu Chà Và </t>
  </si>
  <si>
    <t xml:space="preserve">3,11 </t>
  </si>
  <si>
    <t xml:space="preserve">0,61 </t>
  </si>
  <si>
    <t xml:space="preserve">Sông Mũi Giui </t>
  </si>
  <si>
    <t>Ngã 3 Sông Ba Cội</t>
  </si>
  <si>
    <t xml:space="preserve">Ngã 3 Sông Rạng </t>
  </si>
  <si>
    <t>8,39</t>
  </si>
  <si>
    <t xml:space="preserve">Ngã 3 Sông Chà Và </t>
  </si>
  <si>
    <t xml:space="preserve">6,05 </t>
  </si>
  <si>
    <t>Ngã 3 Sông Chà Và</t>
  </si>
  <si>
    <t xml:space="preserve">2,34 </t>
  </si>
  <si>
    <t xml:space="preserve">Sông Bà Tìm </t>
  </si>
  <si>
    <t xml:space="preserve">2,50 </t>
  </si>
  <si>
    <t xml:space="preserve">Rạch Bến Đình </t>
  </si>
  <si>
    <t>Cửa Bến Đình</t>
  </si>
  <si>
    <t>Thượng nguồn (Bến cầu Quan)</t>
  </si>
  <si>
    <t xml:space="preserve">3,00 </t>
  </si>
  <si>
    <t xml:space="preserve">Rạch Bà </t>
  </si>
  <si>
    <t xml:space="preserve">Sông Dinh </t>
  </si>
  <si>
    <t xml:space="preserve">Cầu Rạch Bà </t>
  </si>
  <si>
    <t xml:space="preserve">1,20 </t>
  </si>
  <si>
    <t>Cầu Gò Găng</t>
  </si>
  <si>
    <t>Thượng nguồn (Cửa nhà máy điện Bà Rịa)</t>
  </si>
  <si>
    <t>9,17</t>
  </si>
  <si>
    <t xml:space="preserve">Ngã 3 S. Cỏ May </t>
  </si>
  <si>
    <t xml:space="preserve">5,09 </t>
  </si>
  <si>
    <t>Ngã 3 S. Cỏ May</t>
  </si>
  <si>
    <t xml:space="preserve">Ngã 3 S. Ba Cội </t>
  </si>
  <si>
    <t xml:space="preserve">1,21 </t>
  </si>
  <si>
    <t>Ngã 3 S. Ba Cội</t>
  </si>
  <si>
    <t xml:space="preserve">2,87 </t>
  </si>
  <si>
    <t xml:space="preserve">Sông Ba Cội </t>
  </si>
  <si>
    <t>Ngã 3 Sông Dinh</t>
  </si>
  <si>
    <t xml:space="preserve">Ngã 3 Bến Súc </t>
  </si>
  <si>
    <t xml:space="preserve">4,00 </t>
  </si>
  <si>
    <t xml:space="preserve">Sông Cỏ May - Cửa Lấp </t>
  </si>
  <si>
    <t xml:space="preserve">Ngã 3 Sông Dinh </t>
  </si>
  <si>
    <t>17,63</t>
  </si>
  <si>
    <t xml:space="preserve">Cầu Cửa Lấp </t>
  </si>
  <si>
    <t xml:space="preserve">3,6 </t>
  </si>
  <si>
    <t>Đoạn 2</t>
  </si>
  <si>
    <t>Cầu Nổi (Phước Tỉnh)</t>
  </si>
  <si>
    <t xml:space="preserve">Chân cầu Cửa Lấp </t>
  </si>
  <si>
    <t xml:space="preserve">1,77 </t>
  </si>
  <si>
    <t>Cầu Cửa Lấp</t>
  </si>
  <si>
    <t xml:space="preserve">Cầu Cỏ May </t>
  </si>
  <si>
    <t xml:space="preserve">12,06 </t>
  </si>
  <si>
    <t xml:space="preserve">Đoạn 4 </t>
  </si>
  <si>
    <t>Cầu Cỏ May</t>
  </si>
  <si>
    <t xml:space="preserve">0,2 </t>
  </si>
  <si>
    <t>Rạch Cây Khế</t>
  </si>
  <si>
    <t>Đoạn 3 Sông Cỏ May - Cửa Lấp</t>
  </si>
  <si>
    <t xml:space="preserve">Quốc lộ 51 </t>
  </si>
  <si>
    <t xml:space="preserve">3,90 </t>
  </si>
  <si>
    <t>Sông Vũng Vằn</t>
  </si>
  <si>
    <t>Đoạn 4 Sông Cỏ May - Cửa Lấp</t>
  </si>
  <si>
    <t xml:space="preserve">2,80 </t>
  </si>
  <si>
    <t xml:space="preserve">Sông Ray (Cửa Lộc An) (Rạch Lộc An) </t>
  </si>
  <si>
    <t>Cửa Lộc An</t>
  </si>
  <si>
    <t>Cầu Sông Ray (Bến cây xăng)</t>
  </si>
  <si>
    <t>5,42</t>
  </si>
  <si>
    <t xml:space="preserve">Cửa Lộc An </t>
  </si>
  <si>
    <t xml:space="preserve">Bến cây xăng </t>
  </si>
  <si>
    <t xml:space="preserve">3,66 </t>
  </si>
  <si>
    <t>Bến cây xăng</t>
  </si>
  <si>
    <t xml:space="preserve">Cầu Sông Ray </t>
  </si>
  <si>
    <t xml:space="preserve">1,76 </t>
  </si>
  <si>
    <t xml:space="preserve">Sông Bến Lội </t>
  </si>
  <si>
    <t>Cửa Bến Lội</t>
  </si>
  <si>
    <t xml:space="preserve">Ngã 3 Sông Bằng Chua </t>
  </si>
  <si>
    <t xml:space="preserve">1,30 </t>
  </si>
  <si>
    <t>Đảo Chính Hòn Bảy Cạnh</t>
  </si>
  <si>
    <t xml:space="preserve">Đảo Chính </t>
  </si>
  <si>
    <t xml:space="preserve">Bãi Dương </t>
  </si>
  <si>
    <t xml:space="preserve">Bãi Cát Lớn </t>
  </si>
  <si>
    <t xml:space="preserve">Bãi Bờ Đập </t>
  </si>
  <si>
    <t xml:space="preserve">Hòn Bảy Cạnh </t>
  </si>
  <si>
    <t>Đảo Chính Hòn Cau</t>
  </si>
  <si>
    <t xml:space="preserve">17,8 </t>
  </si>
  <si>
    <t xml:space="preserve">Hòn Cau </t>
  </si>
  <si>
    <t xml:space="preserve">17,7 </t>
  </si>
  <si>
    <t xml:space="preserve">Đảo Chính Hòn Trứng </t>
  </si>
  <si>
    <t xml:space="preserve">Hòn Trứng </t>
  </si>
  <si>
    <t xml:space="preserve">21,8 </t>
  </si>
  <si>
    <t xml:space="preserve">Đảo Chính Vịnh Đầm Tre </t>
  </si>
  <si>
    <t xml:space="preserve">Vịnh Đầm Tre </t>
  </si>
  <si>
    <t xml:space="preserve">16,8 </t>
  </si>
  <si>
    <t xml:space="preserve">Đảo Chính Hòn Tre Nhỏ </t>
  </si>
  <si>
    <t xml:space="preserve">Hòn Tre Nhỏ </t>
  </si>
  <si>
    <t xml:space="preserve">21,9 </t>
  </si>
  <si>
    <t xml:space="preserve">Đảo Chính Hòn Tài </t>
  </si>
  <si>
    <t xml:space="preserve">Hòn Tài </t>
  </si>
  <si>
    <t xml:space="preserve">6,4 </t>
  </si>
  <si>
    <t xml:space="preserve">Đảo Chính Bãi Sạn (Hòn Bà) </t>
  </si>
  <si>
    <t xml:space="preserve">Bãi Sạn (Hòn Bà) </t>
  </si>
  <si>
    <t xml:space="preserve">15,4 </t>
  </si>
  <si>
    <t xml:space="preserve">Đảo Chính Hòn Tre Lớn </t>
  </si>
  <si>
    <t xml:space="preserve">Hòn Tre Lớn </t>
  </si>
  <si>
    <t xml:space="preserve">17,2 </t>
  </si>
  <si>
    <t>Đảo Chính Bãi Ông Đụng (Đảo Lớn)</t>
  </si>
  <si>
    <t>Đảo Chính</t>
  </si>
  <si>
    <t>Bãi Ông Đụng (Đảo Lớn)</t>
  </si>
  <si>
    <t xml:space="preserve">21,2 </t>
  </si>
  <si>
    <t xml:space="preserve">Đảo Chính Hòn Anh </t>
  </si>
  <si>
    <t xml:space="preserve">Hòn Anh </t>
  </si>
  <si>
    <t xml:space="preserve">Đảo Chính Hòn Em </t>
  </si>
  <si>
    <t xml:space="preserve">Hòn Em </t>
  </si>
  <si>
    <t xml:space="preserve">Đảo Chính Hòn Bông Lan </t>
  </si>
  <si>
    <t xml:space="preserve">Hòn Bông Lan </t>
  </si>
  <si>
    <t xml:space="preserve">Đảo Chính Bãi Đất Thắm </t>
  </si>
  <si>
    <t xml:space="preserve">Bãi Đất Thắm </t>
  </si>
  <si>
    <t xml:space="preserve">23,3 </t>
  </si>
  <si>
    <t xml:space="preserve">Đảo Chính Bãi Ông Câu </t>
  </si>
  <si>
    <t xml:space="preserve">Bãi Ông Câu </t>
  </si>
  <si>
    <t xml:space="preserve">18,6 </t>
  </si>
  <si>
    <t xml:space="preserve">Đảo Chính Bãi Đầm Trâu </t>
  </si>
  <si>
    <t xml:space="preserve">Bãi Đầm Trâu </t>
  </si>
  <si>
    <t xml:space="preserve">25,7 </t>
  </si>
  <si>
    <t xml:space="preserve">Đảo Chính Bãi Ông Cường </t>
  </si>
  <si>
    <t xml:space="preserve">Bãi Ông Cường </t>
  </si>
  <si>
    <t xml:space="preserve">27,3 </t>
  </si>
  <si>
    <t xml:space="preserve">I. </t>
  </si>
  <si>
    <t>II.</t>
  </si>
  <si>
    <t>III.</t>
  </si>
  <si>
    <t>IV.</t>
  </si>
  <si>
    <t>KHU VỰC ĐẶC KHU CÔN ĐẢO</t>
  </si>
  <si>
    <t>A. ĐƯỜNG THỦY NỘI ĐỊA QUỐC GIA PHÂN CẤP CHO UBND THÀNH PHỐ QUẢN LÝ</t>
  </si>
  <si>
    <t>Ngã ba sông Cần Giuộc</t>
  </si>
  <si>
    <t xml:space="preserve">Ngã ba Kênh Đôi </t>
  </si>
  <si>
    <t xml:space="preserve">Ngã ba sông Sài Gòn </t>
  </si>
  <si>
    <t xml:space="preserve">Ngã ba rạch Bến Nghé </t>
  </si>
  <si>
    <t xml:space="preserve">Cầu Đồng Nai </t>
  </si>
  <si>
    <t>Hạ lưu đập
Dầu Tiếng 2 km</t>
  </si>
  <si>
    <t>Ngã ba sông
Chợ Đệm Bến Lức</t>
  </si>
  <si>
    <t>Cuối ranh giới xã Tân Nhựt – TP. Hồ Chí Minh</t>
  </si>
  <si>
    <t xml:space="preserve">Đầu ranh giới xã Hưng Long – TP. Hồ
Chí Minh </t>
  </si>
  <si>
    <t>Ngã ba kênh Cây Khô</t>
  </si>
  <si>
    <t>Ngã ba sông Sài Gòn- Rạch Chiếc</t>
  </si>
  <si>
    <t>Ngã ba sông Sài Gòn-Rạch Đào 2</t>
  </si>
  <si>
    <t>C</t>
  </si>
  <si>
    <t>CÁC TUYẾN HÀNG HẢI TRÊN ĐỊA BÀN THÀNH PHỐ PHỐI HỢP QUẢN LÝ</t>
  </si>
  <si>
    <t>B. ĐƯỜNG THỦY NỘI ĐỊA ĐỊA PHƯƠNG TRÊN ĐỊA BÀN THÀNH PHỐ</t>
  </si>
  <si>
    <t>Thông tư số 09/2026/TT-BXD 
ngày 27 tháng 2 năm 2026 phân cấp quản lý nhà nước về giao thông đường thủy nội địa thuộc phạm vi quản lý của Bộ Xây dựng</t>
  </si>
  <si>
    <t>Ngã 3 Sông Mũi Giùi</t>
  </si>
  <si>
    <t>Sông Đồng Nai (bao gồm nhánh cù lao Rùa, cù lao Bạch Đằng)</t>
  </si>
  <si>
    <t>Kênh Tẻ - Kênh Đôi</t>
  </si>
  <si>
    <t>Sông Chợ Đệm - Bến Lức</t>
  </si>
  <si>
    <t>Rạch Ông Lớn - Kênh Cây Khô</t>
  </si>
  <si>
    <t>Rạch Đào 1</t>
  </si>
  <si>
    <t>Rạch Đào 2</t>
  </si>
  <si>
    <t>Tên sông, suối, kênh, rạch</t>
  </si>
  <si>
    <t>Địa điểm 
(phường -xã)</t>
  </si>
  <si>
    <t>Đơn vị được phân cấp quản lý</t>
  </si>
  <si>
    <t xml:space="preserve">Tổng cộng </t>
  </si>
  <si>
    <t>A</t>
  </si>
  <si>
    <t>Hệ thống công trình thủy lợi Hóc Môn - Bắc Bình Chánh</t>
  </si>
  <si>
    <t>Xuân Thới Sơn - Bà Điểm - Vĩnh Lộc - Tân Vĩnh Lộc</t>
  </si>
  <si>
    <t>Sở Nông nghiệp và Môi trường</t>
  </si>
  <si>
    <t>Bà Điểm - Vĩnh Lộc - Tân Vĩnh Lộc</t>
  </si>
  <si>
    <t>Đường Nguyễn Văn Bứa.</t>
  </si>
  <si>
    <t xml:space="preserve"> 14-24 </t>
  </si>
  <si>
    <t>Xuân Thới Sơn - Vĩnh Lộc - Tân Vĩnh Lộc - Bình Lợi</t>
  </si>
  <si>
    <t xml:space="preserve"> 13-24 </t>
  </si>
  <si>
    <t>Kênh dẫn TB Tân Thới Nhì</t>
  </si>
  <si>
    <t>Xuân Thới Sơn</t>
  </si>
  <si>
    <t>Trạm bơm TTN</t>
  </si>
  <si>
    <t xml:space="preserve"> 15-20 </t>
  </si>
  <si>
    <t>xã Tân Vĩnh Lộc + Phường Tân Tạo</t>
  </si>
  <si>
    <t xml:space="preserve"> 25-35 </t>
  </si>
  <si>
    <t>Tân Vĩnh Lộc - Bình Lợi</t>
  </si>
  <si>
    <t xml:space="preserve"> 17-25 </t>
  </si>
  <si>
    <t>xã Bình Lợi + phường Tân Tạo + xã Tân Nhựt</t>
  </si>
  <si>
    <t>Từ Cầu Tân Tạo</t>
  </si>
  <si>
    <t>Vĩnh Lộc - Tân Vĩnh Lộc</t>
  </si>
  <si>
    <t>Vĩnh Lộc</t>
  </si>
  <si>
    <t xml:space="preserve">Bà Điểm  </t>
  </si>
  <si>
    <t>Tân Vĩnh Lộc</t>
  </si>
  <si>
    <t>Kênh AH13 (T10)</t>
  </si>
  <si>
    <t>Bà Điểm</t>
  </si>
  <si>
    <t xml:space="preserve"> 20-22 </t>
  </si>
  <si>
    <t>Kênh AH15 (T9)</t>
  </si>
  <si>
    <t>Kênh AH17 (T8)</t>
  </si>
  <si>
    <t>Kênh AH19 (T7)</t>
  </si>
  <si>
    <t xml:space="preserve">Bà Điểm - Vĩnh Lộc  </t>
  </si>
  <si>
    <t>Kênh AH33 (T0)</t>
  </si>
  <si>
    <t xml:space="preserve"> 15-18 </t>
  </si>
  <si>
    <t>Kênh AH41 (T14)</t>
  </si>
  <si>
    <t>Kênh AH 6A, AH6B</t>
  </si>
  <si>
    <t xml:space="preserve"> 17-20 </t>
  </si>
  <si>
    <t>Kênh dẫn TTN</t>
  </si>
  <si>
    <t>Kênh AH1B</t>
  </si>
  <si>
    <t xml:space="preserve">Kênh AH 3 </t>
  </si>
  <si>
    <t xml:space="preserve">Kênh AH 5 </t>
  </si>
  <si>
    <t>Kênh AH7 (T12)</t>
  </si>
  <si>
    <t>Kênh AH9 (T11)</t>
  </si>
  <si>
    <t>Kênh AH 11 (T10)</t>
  </si>
  <si>
    <t>Bình Lợi</t>
  </si>
  <si>
    <t>Cách đường Võ Hữu Lợi 50m</t>
  </si>
  <si>
    <t>Kênh C3 (kênh 1)</t>
  </si>
  <si>
    <t>Tân Tạo</t>
  </si>
  <si>
    <t>Kênh C5 (kênh 2)</t>
  </si>
  <si>
    <t>Đường Võ Trần Chí</t>
  </si>
  <si>
    <t>Kênh C7 (kênh 3)</t>
  </si>
  <si>
    <t>Kênh C9 (kênh 4)</t>
  </si>
  <si>
    <t>Kênh C11 (kênh 5)</t>
  </si>
  <si>
    <t>Tân Nhựt</t>
  </si>
  <si>
    <t>Cách đường Nguyễn Cửu Phú 40m</t>
  </si>
  <si>
    <t>Đường Bà Điểm</t>
  </si>
  <si>
    <t>Đường kênh C</t>
  </si>
  <si>
    <t>Khu tưởng niệm Tết Mậu Thân</t>
  </si>
  <si>
    <t>Hệ thống thủy lợi kênh Đông Củ Chi và N31A-Bến Mương-Láng The</t>
  </si>
  <si>
    <t>Thái Mỹ -Tân An Hội</t>
  </si>
  <si>
    <t xml:space="preserve"> Xã Thái Mỹ</t>
  </si>
  <si>
    <t xml:space="preserve"> Thái Mỹ-An Nhơn Tây </t>
  </si>
  <si>
    <t>xã Thái Mỹ 
( ranh Trảng Bàng)</t>
  </si>
  <si>
    <t>Kênh N25B</t>
  </si>
  <si>
    <t>Nhuận Đức</t>
  </si>
  <si>
    <t>Kf kênh N25</t>
  </si>
  <si>
    <t>Thái Mỹ</t>
  </si>
  <si>
    <t>Thái Mỹ-Nhuận Đức - Tân An Hội - Củ Chi</t>
  </si>
  <si>
    <t>Kênh N38B</t>
  </si>
  <si>
    <t>Kf kênh N38</t>
  </si>
  <si>
    <t>Tân An Hội</t>
  </si>
  <si>
    <t>Kênh N43KD</t>
  </si>
  <si>
    <t xml:space="preserve">Tân An Hội </t>
  </si>
  <si>
    <t>Kf kênh N43</t>
  </si>
  <si>
    <t>Tân An Hội - Củ Chi</t>
  </si>
  <si>
    <t>An Nhơn Tây</t>
  </si>
  <si>
    <t>Kênh N23A-6</t>
  </si>
  <si>
    <t>Kênh N23A-10</t>
  </si>
  <si>
    <t>Kênh N23A-5KD</t>
  </si>
  <si>
    <t>KF Kênh N23A-5</t>
  </si>
  <si>
    <t>KF Kênh N25-1</t>
  </si>
  <si>
    <t>Thái Mỹ - Nhuận Đức</t>
  </si>
  <si>
    <t>Kênh N25-2A</t>
  </si>
  <si>
    <t>Kênh N25-2B</t>
  </si>
  <si>
    <t>Kênh N25-6KD</t>
  </si>
  <si>
    <t>Kf kênh N25-6</t>
  </si>
  <si>
    <t>Nhuận Đức- An Nhơn Tây</t>
  </si>
  <si>
    <t>Kênh N25-18KD</t>
  </si>
  <si>
    <t>KF Kênh N25-18</t>
  </si>
  <si>
    <t>Kênh N28-6</t>
  </si>
  <si>
    <t>Kênh N29KD (N29-6)</t>
  </si>
  <si>
    <t>T27</t>
  </si>
  <si>
    <t>Kênh N31-8</t>
  </si>
  <si>
    <t>N31A-27KD</t>
  </si>
  <si>
    <t>Kênh N31A-VC2</t>
  </si>
  <si>
    <t>Củ Chi -Tân An Hội</t>
  </si>
  <si>
    <t>Kênh N33-5</t>
  </si>
  <si>
    <t>Kênh N35-2</t>
  </si>
  <si>
    <t>Kênh N38-5B-TM</t>
  </si>
  <si>
    <t>Tân An hội</t>
  </si>
  <si>
    <t>Kênh N23A-3-2</t>
  </si>
  <si>
    <t>Kênh N23A-12-2</t>
  </si>
  <si>
    <t>Kênh N23A-12-4</t>
  </si>
  <si>
    <t>Kênh N23A-12-6</t>
  </si>
  <si>
    <t>Kênh N23A-14-1</t>
  </si>
  <si>
    <t>Kênh N23A-14-3</t>
  </si>
  <si>
    <t>Kênh N25-2-6</t>
  </si>
  <si>
    <t>Kênh N25-2-17</t>
  </si>
  <si>
    <t>Kênh N25-2-19</t>
  </si>
  <si>
    <t>Kênh N25-6-2</t>
  </si>
  <si>
    <t>Kênh N25-16-11</t>
  </si>
  <si>
    <t>Kênh N25-18-10</t>
  </si>
  <si>
    <t>Kênh N31A-8-9</t>
  </si>
  <si>
    <t>Kênh N31A-2D-2</t>
  </si>
  <si>
    <t>Kênh N31A-2D-4</t>
  </si>
  <si>
    <t>Kênh N38-8-3-2</t>
  </si>
  <si>
    <t>Kênh N31A-9-1-2</t>
  </si>
  <si>
    <t>Kênh N31A-9-1</t>
  </si>
  <si>
    <t>Kênh N31A-2A-3-1</t>
  </si>
  <si>
    <t>Kênh N31A-2A-3-3</t>
  </si>
  <si>
    <t>Kênh N38-7-11B</t>
  </si>
  <si>
    <t>Kênh N38-5B-1</t>
  </si>
  <si>
    <t>Kênh N38-7A-2</t>
  </si>
  <si>
    <t>Kênh N43-6-1</t>
  </si>
  <si>
    <t>Kênh N25-2-7-8</t>
  </si>
  <si>
    <t>Kênh N25-2-7-2</t>
  </si>
  <si>
    <t>Kênh N25-20B-2-1</t>
  </si>
  <si>
    <t>Kênh N25-20B-2</t>
  </si>
  <si>
    <t>Kênh N25-2-42-4</t>
  </si>
  <si>
    <t>Kênh N25-2-42-6</t>
  </si>
  <si>
    <t>Kênh N25-2-42-7</t>
  </si>
  <si>
    <t>Kênh N25-2-42-8</t>
  </si>
  <si>
    <t>Kênh N25-16-2TM-1</t>
  </si>
  <si>
    <t>Kênh N25-18-4-1</t>
  </si>
  <si>
    <t>Kênh N25-18-6A-1</t>
  </si>
  <si>
    <t>Kênh N25-18-6-5</t>
  </si>
  <si>
    <t>Kênh N25-18-8-1</t>
  </si>
  <si>
    <t>Kênh N25-18-8-2</t>
  </si>
  <si>
    <t>Kênh N38-2A-10-3</t>
  </si>
  <si>
    <t>Kênh N38-5-3-1</t>
  </si>
  <si>
    <t>Kênh N38-5-3-2</t>
  </si>
  <si>
    <t>Kênh N39-4-2-1</t>
  </si>
  <si>
    <t>Kênh tiêu T46</t>
  </si>
  <si>
    <t xml:space="preserve"> K Đông</t>
  </si>
  <si>
    <t>Kênh tiêu TCC1</t>
  </si>
  <si>
    <t>Thái Mỹ - An Nhơn Tây</t>
  </si>
  <si>
    <t>Kênh tiêu TCC1-2</t>
  </si>
  <si>
    <t xml:space="preserve">Kênh Đông </t>
  </si>
  <si>
    <t>Kênh tiêu TCC1-1</t>
  </si>
  <si>
    <t>Kênh tiêu TCC1-1-2</t>
  </si>
  <si>
    <t>Kênh tiêu T23A-4</t>
  </si>
  <si>
    <t>Kênh tiêu T23A-10</t>
  </si>
  <si>
    <t>Kênh tiêu T23A-12</t>
  </si>
  <si>
    <t>Kênh tiêu T23A-14</t>
  </si>
  <si>
    <t>Tiêu Thai Thai</t>
  </si>
  <si>
    <t>Kênh tiêu T25</t>
  </si>
  <si>
    <t>Kênh tiêu T25-6</t>
  </si>
  <si>
    <t>Kênh tiêu T25-7B</t>
  </si>
  <si>
    <t>Kênh tiêu T25-10</t>
  </si>
  <si>
    <t>Kênh tiêu T25-10-8</t>
  </si>
  <si>
    <t>KF Kênh N25-10-8</t>
  </si>
  <si>
    <t>Kênh tiêu T25-14</t>
  </si>
  <si>
    <t>Kênh tiêu T25-16</t>
  </si>
  <si>
    <t>Kênh tiêu T25-18</t>
  </si>
  <si>
    <t>Kênh tiêu T25-20B</t>
  </si>
  <si>
    <t>Kênh tiêu T25-18-4</t>
  </si>
  <si>
    <t>Kênh tiêu T25-18-6</t>
  </si>
  <si>
    <t>Kênh tiêu T25-18-6A</t>
  </si>
  <si>
    <t>Kênh tiêu T25-18-8</t>
  </si>
  <si>
    <t>Kênh tiêu T25-2</t>
  </si>
  <si>
    <t>Kênh tiêu T25-2-3</t>
  </si>
  <si>
    <t>Kênh tiêu T25-2-5</t>
  </si>
  <si>
    <t>Kênh tiêu T25-2-7</t>
  </si>
  <si>
    <t>Kênh tiêu T25-2-12</t>
  </si>
  <si>
    <t>Kênh tiêu T25-2-14</t>
  </si>
  <si>
    <t>Kênh tiêu T25-2-14A</t>
  </si>
  <si>
    <t>Kênh tiêu T31A</t>
  </si>
  <si>
    <t>Kênh tiêu T31A-1</t>
  </si>
  <si>
    <t>Kênh tiêu T31A-5</t>
  </si>
  <si>
    <t>Kênh tiêu T31A-9</t>
  </si>
  <si>
    <t>Kênh tiêu T31A-11</t>
  </si>
  <si>
    <t>Kênh tiêu T31A-13</t>
  </si>
  <si>
    <t>Nhuận Đức- Tân An Hội</t>
  </si>
  <si>
    <t>Kênh tiêu T31A-16</t>
  </si>
  <si>
    <t>Kênh tiêu T31A-17</t>
  </si>
  <si>
    <t>Kênh tiêu T31A-21</t>
  </si>
  <si>
    <t>Kênh tiêu T31A-23</t>
  </si>
  <si>
    <t>Kênh tiêu T31A-27</t>
  </si>
  <si>
    <t>Kênh tiêu T33-4</t>
  </si>
  <si>
    <t>Kênh tiêu T35</t>
  </si>
  <si>
    <t>TL7(T37)</t>
  </si>
  <si>
    <t>Kênh tiêu T36</t>
  </si>
  <si>
    <t>Kênh tiêu suối sâu</t>
  </si>
  <si>
    <t>Kênh tiêu T36-2</t>
  </si>
  <si>
    <t>Kênh tiêu T37</t>
  </si>
  <si>
    <t>TL7(T39)</t>
  </si>
  <si>
    <t>Kênh tiêu T38-1</t>
  </si>
  <si>
    <t>Kênh tiêu T38-2-1</t>
  </si>
  <si>
    <t>Kênh tiêu T39</t>
  </si>
  <si>
    <t>Thái Mỹ - Tân An Hội</t>
  </si>
  <si>
    <t>Kênh tiêu T39-4</t>
  </si>
  <si>
    <t>Kênh tiêu quyết thắng</t>
  </si>
  <si>
    <t>Kênh tiêu T40</t>
  </si>
  <si>
    <t>Kênh tiêu rọc mía</t>
  </si>
  <si>
    <t>Kênh tiêu T42</t>
  </si>
  <si>
    <t>Kênh tiêu T41</t>
  </si>
  <si>
    <t>Kênh tiêu Quyết Thắng</t>
  </si>
  <si>
    <t>Tiêu Quyết Thắng</t>
  </si>
  <si>
    <t>N43(Kf)</t>
  </si>
  <si>
    <t>Kênh tiêu T43KD</t>
  </si>
  <si>
    <t>Kênh tiêu T43-2</t>
  </si>
  <si>
    <t>kênh tiêu N46</t>
  </si>
  <si>
    <t>Kênh tiêu T43-4</t>
  </si>
  <si>
    <t>Kênh tiêu T43-1-8</t>
  </si>
  <si>
    <t>Đường Quảng Việt</t>
  </si>
  <si>
    <t>Ấp Ba Sa</t>
  </si>
  <si>
    <t xml:space="preserve">Kênh tiêu Quyết Thắng </t>
  </si>
  <si>
    <t>TC2-5</t>
  </si>
  <si>
    <t>Tiêu Trương Thị Kiện
 (Tiêu Ruộng Làng)</t>
  </si>
  <si>
    <t>Đường Trương Thị Kiện</t>
  </si>
  <si>
    <t>Tiêu Bàu Đế</t>
  </si>
  <si>
    <t>Tiêu Bàu Thức</t>
  </si>
  <si>
    <t>TC2-7</t>
  </si>
  <si>
    <t>Tiêu Đình Phước Hiệp</t>
  </si>
  <si>
    <t>N46-4</t>
  </si>
  <si>
    <t>Kênh Tiêu T38-4</t>
  </si>
  <si>
    <t>Kênh Tiêu T38-6</t>
  </si>
  <si>
    <t>Kênh Tiêu Thai Thai</t>
  </si>
  <si>
    <t xml:space="preserve"> Thái Mỹ-An Nhơn Tây</t>
  </si>
  <si>
    <t>Sông sài Gòn</t>
  </si>
  <si>
    <t>Tiêu Gò Cát</t>
  </si>
  <si>
    <t>Kf kênh N25-18</t>
  </si>
  <si>
    <t>Kênh Tiêu T27</t>
  </si>
  <si>
    <t>Kênh TCC1-2</t>
  </si>
  <si>
    <t>Kênh T1 (TPT)</t>
  </si>
  <si>
    <t>Kênh T2 (TPT)</t>
  </si>
  <si>
    <t>Kênh T3 (TPT)</t>
  </si>
  <si>
    <t>Kênh T4 (TPT).</t>
  </si>
  <si>
    <t>Kênh T10 Rỗng Cát (TPT)</t>
  </si>
  <si>
    <t>Giáp ranh sân golf Củ Chi</t>
  </si>
  <si>
    <t>Hệ thống thủy lợi xã Tân Thạnh Đông huyện Củ Chi</t>
  </si>
  <si>
    <t>Phú Hoà Đông</t>
  </si>
  <si>
    <t>Đỗ Văn Dậy</t>
  </si>
  <si>
    <t>Kênh TĐĐ1</t>
  </si>
  <si>
    <t>Kênh TĐĐ2</t>
  </si>
  <si>
    <t>Kênh TĐĐ3</t>
  </si>
  <si>
    <t>Kênh TĐĐ4</t>
  </si>
  <si>
    <t>Kênh TĐĐ5</t>
  </si>
  <si>
    <t>Kênh TĐĐ6</t>
  </si>
  <si>
    <t>Kênh TĐĐ6A</t>
  </si>
  <si>
    <t>Kênh TĐĐ6B</t>
  </si>
  <si>
    <t>Kênh TĐĐ7</t>
  </si>
  <si>
    <t>Kênh TĐĐ8</t>
  </si>
  <si>
    <t>Kênh TĐĐ8A</t>
  </si>
  <si>
    <t>Kênh TĐĐ9</t>
  </si>
  <si>
    <t>Củ Chi -Phú Hoà Đông</t>
  </si>
  <si>
    <t>Kênh T3-7 và T2-8</t>
  </si>
  <si>
    <t>Hệ thống công trình thủy lợi An Phú – Phú Mỹ Hưng, huyện Củ Chi</t>
  </si>
  <si>
    <t>Rạch Ông Lở</t>
  </si>
  <si>
    <t>Nhánh rạch ông Lở</t>
  </si>
  <si>
    <t>Rạch Cầu Trắng (T8)</t>
  </si>
  <si>
    <t>Kênh NT15B</t>
  </si>
  <si>
    <t>Mương Đào</t>
  </si>
  <si>
    <t>Đường D3</t>
  </si>
  <si>
    <t>Kênh NT6-6</t>
  </si>
  <si>
    <t>Công trình Đê bao ven sông Sài Gòn từ rạch Sơn đến rạch Cầu Đen - xã An Nhơn  Tây - huyện Củ Chi</t>
  </si>
  <si>
    <t>Nhuận Đức - An Nhơn Tây</t>
  </si>
  <si>
    <t xml:space="preserve"> Đầu tuyến </t>
  </si>
  <si>
    <t xml:space="preserve"> Sông Sài Gòn </t>
  </si>
  <si>
    <t>Rạch Suốt</t>
  </si>
  <si>
    <t>Rạch Mương 1</t>
  </si>
  <si>
    <t>Rạch Mương 2</t>
  </si>
  <si>
    <t>Công trình đê bao ven sông Sài Gòn đoạn từ rạch Thai Thai đến cầu Bến Súc</t>
  </si>
  <si>
    <t>Rạch Ông Căn</t>
  </si>
  <si>
    <t>IX</t>
  </si>
  <si>
    <t xml:space="preserve">Công trình thủy lợi bờ hữu ven sông Sài Gòn, huyện Củ Chi từ Tỉnh lộ 8 đến rạch Tra </t>
  </si>
  <si>
    <t>Rạch Rỗng Gan</t>
  </si>
  <si>
    <t>Xã Bình Mỹ + Xã Phú Hòa Đông</t>
  </si>
  <si>
    <t>X</t>
  </si>
  <si>
    <t>Hệ thống thủy lợi rạch Cây Xanh - Bà Bếp, xã Hòa Phú - Bình Mỹ, huyện Củ Chi</t>
  </si>
  <si>
    <t>Kênh C3</t>
  </si>
  <si>
    <t>Kênh C5</t>
  </si>
  <si>
    <t>XI</t>
  </si>
  <si>
    <t>Công trình thủy lợi bờ hữu ven sông Sài Gòn từ sông Vàm Thuật đến rạch Tra</t>
  </si>
  <si>
    <t>Phường An Phú Đông + Thới An</t>
  </si>
  <si>
    <t>Phường Thới An + xã Đông Thạnh</t>
  </si>
  <si>
    <t xml:space="preserve">Rạch Cầu Mễn - Rạch Bến Cát (rạch Đá Hàn) </t>
  </si>
  <si>
    <t xml:space="preserve">Ngã ba Sông Rạch Tra </t>
  </si>
  <si>
    <t>Ngã ba sông Trường Đai</t>
  </si>
  <si>
    <t xml:space="preserve">Rạch Ba Thôn </t>
  </si>
  <si>
    <t>Phường An Phú Đông + Phường Thới An</t>
  </si>
  <si>
    <t>Hệ thống tiêu thoát nước Suối Nhum</t>
  </si>
  <si>
    <t>Phường Linh Xuân + Phường Linh Trung</t>
  </si>
  <si>
    <t>Cầu Bà Giang, Đường số 5, P Linh Xuân</t>
  </si>
  <si>
    <t>Công trình rạch Cầu Sa</t>
  </si>
  <si>
    <t>xã Bà Điểm + phường Bình Tân + phường Đông Hưng Thuận + phường Bình Hưng Hòa</t>
  </si>
  <si>
    <t>Kênh Bàu So</t>
  </si>
  <si>
    <t xml:space="preserve"> Sở Nông nghiệp và Môi trường</t>
  </si>
  <si>
    <r>
      <t>Kênh T</t>
    </r>
    <r>
      <rPr>
        <vertAlign val="subscript"/>
        <sz val="12"/>
        <rFont val="Times New Roman"/>
        <family val="1"/>
      </rPr>
      <t>1</t>
    </r>
  </si>
  <si>
    <t>Xã Hòa Hiệp</t>
  </si>
  <si>
    <r>
      <t>Kênh  T</t>
    </r>
    <r>
      <rPr>
        <vertAlign val="subscript"/>
        <sz val="12"/>
        <rFont val="Times New Roman"/>
        <family val="1"/>
      </rPr>
      <t>1-2</t>
    </r>
  </si>
  <si>
    <r>
      <t>Kênh T</t>
    </r>
    <r>
      <rPr>
        <vertAlign val="subscript"/>
        <sz val="12"/>
        <rFont val="Times New Roman"/>
        <family val="1"/>
      </rPr>
      <t>1-4</t>
    </r>
  </si>
  <si>
    <r>
      <t>Kênh  T</t>
    </r>
    <r>
      <rPr>
        <vertAlign val="subscript"/>
        <sz val="12"/>
        <rFont val="Times New Roman"/>
        <family val="1"/>
      </rPr>
      <t>3</t>
    </r>
  </si>
  <si>
    <t>Kênh tiêu Phước Bửu</t>
  </si>
  <si>
    <t>Xã Hồ Tràm</t>
  </si>
  <si>
    <t>Đập Bàu Mây</t>
  </si>
  <si>
    <t>Sông Hỏa</t>
  </si>
  <si>
    <t>Xã Đất Đỏ, xã Long Điền, Phước Hải</t>
  </si>
  <si>
    <t>Đập Bà</t>
  </si>
  <si>
    <t xml:space="preserve">Đập Thầu </t>
  </si>
  <si>
    <t xml:space="preserve">Kênh Cầu Mốc </t>
  </si>
  <si>
    <t>Kênh Bà Súng</t>
  </si>
  <si>
    <t>Kênh tiêu Đất Đỏ</t>
  </si>
  <si>
    <t>Sông Bà Đáp</t>
  </si>
  <si>
    <t>Từ cầu Bà Nghè đến Cầu Dài</t>
  </si>
  <si>
    <t>Từ cầu Cầu Dài đến đập Thầu</t>
  </si>
  <si>
    <t>Kênh tiêu cầu Vông - Bà Đáp</t>
  </si>
  <si>
    <t>Kênh tiêu Long Điền- Long Toàn</t>
  </si>
  <si>
    <t>Nhánh 1</t>
  </si>
  <si>
    <t>Xã Long Điền, phường Long Toàn</t>
  </si>
  <si>
    <t>Xã Long Điền</t>
  </si>
  <si>
    <t>Nhánh 2</t>
  </si>
  <si>
    <t>Hệ thống thủy lợi Cần Nôm</t>
  </si>
  <si>
    <t>Kênh Tiêu</t>
  </si>
  <si>
    <t>Xã Thanh An</t>
  </si>
  <si>
    <t>K0+50 của tràn xả lũ hồ Cần Nôm</t>
  </si>
  <si>
    <t>Hệ thống kênh tưới Suối Giai</t>
  </si>
  <si>
    <r>
      <t>Kênh T</t>
    </r>
    <r>
      <rPr>
        <vertAlign val="subscript"/>
        <sz val="12"/>
        <rFont val="Times New Roman"/>
        <family val="1"/>
      </rPr>
      <t>2</t>
    </r>
  </si>
  <si>
    <t>Xã Phước Thành</t>
  </si>
  <si>
    <t>ấp Sa Dụp - Phước Thành</t>
  </si>
  <si>
    <r>
      <t>Kênh T</t>
    </r>
    <r>
      <rPr>
        <vertAlign val="subscript"/>
        <sz val="12"/>
        <rFont val="Times New Roman"/>
        <family val="1"/>
      </rPr>
      <t>4</t>
    </r>
  </si>
  <si>
    <t>Đầu ấp 5 - Phước Thành</t>
  </si>
  <si>
    <t>cuối ấp 6 - Phước Thành</t>
  </si>
  <si>
    <r>
      <t>Kênh T</t>
    </r>
    <r>
      <rPr>
        <vertAlign val="subscript"/>
        <sz val="12"/>
        <rFont val="Times New Roman"/>
        <family val="1"/>
      </rPr>
      <t>6</t>
    </r>
  </si>
  <si>
    <t>Ấp 5 - Phước Thành</t>
  </si>
  <si>
    <t>ấp 5 - Phước Thành</t>
  </si>
  <si>
    <r>
      <t>Kênh T</t>
    </r>
    <r>
      <rPr>
        <vertAlign val="subscript"/>
        <sz val="12"/>
        <rFont val="Times New Roman"/>
        <family val="1"/>
      </rPr>
      <t>9</t>
    </r>
  </si>
  <si>
    <t>cuối ấp Tân Tiến - Phước Thành</t>
  </si>
  <si>
    <r>
      <t>Kênh T</t>
    </r>
    <r>
      <rPr>
        <vertAlign val="subscript"/>
        <sz val="12"/>
        <rFont val="Times New Roman"/>
        <family val="1"/>
      </rPr>
      <t>11</t>
    </r>
  </si>
  <si>
    <t>Hệ thống tiêu nước KCN Sóng Thần - Đồng An</t>
  </si>
  <si>
    <t>Rạch Ông Bố</t>
  </si>
  <si>
    <t>Cuối kênh tiêu Bình Hòa</t>
  </si>
  <si>
    <t>K0+700</t>
  </si>
  <si>
    <t>Kênh D</t>
  </si>
  <si>
    <t>K0+060 rạch Ông Bố</t>
  </si>
  <si>
    <t>K0+880</t>
  </si>
  <si>
    <t>Rạch Lái Thiêu</t>
  </si>
  <si>
    <t>K0+689</t>
  </si>
  <si>
    <t>Cầu Tân Phú</t>
  </si>
  <si>
    <t>Rạch Cầu Miễu</t>
  </si>
  <si>
    <t>Ngã 3 rạch Ông Bố, rạch Lái Thiêu, rạch Cầu Miễu</t>
  </si>
  <si>
    <t>Cống 4 trụ</t>
  </si>
  <si>
    <t>Rạch Vĩnh Bình</t>
  </si>
  <si>
    <t>K1+200</t>
  </si>
  <si>
    <t>Hệ thống cống, bọng, rạch thuộc hệ thống đê bao An Sơn - Lái Thiêu</t>
  </si>
  <si>
    <t>Rạch Bình Nhâm</t>
  </si>
  <si>
    <t>Phường Lái Thiêu</t>
  </si>
  <si>
    <t>Cầu Bình Nhâm</t>
  </si>
  <si>
    <t>Trạm bơm điện Tân Long</t>
  </si>
  <si>
    <t>Kênh tiêu nội đồng</t>
  </si>
  <si>
    <t>Phường Tân Uyên</t>
  </si>
  <si>
    <t>Khu tưới N1 qua đường nhựa (ĐH)</t>
  </si>
  <si>
    <t>Vị trí cống tiêu qua đường 
giao thông nội đồng</t>
  </si>
  <si>
    <t>Trạm bơm điện Bạch Đằng</t>
  </si>
  <si>
    <t>Kênh tiêu Bàu Rốn</t>
  </si>
  <si>
    <t>Khu ruộng Bàu</t>
  </si>
  <si>
    <t>Khu tái định cư
xã Bạch Đằng</t>
  </si>
  <si>
    <t>Kênh tiêu Cây Gáo</t>
  </si>
  <si>
    <t>Cuối kênh N3-5</t>
  </si>
  <si>
    <t>Cống hộp qua
 đường liên xã</t>
  </si>
  <si>
    <t>KHU VỰC BÀ RỊA - VŨNG TÀU</t>
  </si>
  <si>
    <t>Hệ thống Kênh tiêu Bà Đáp</t>
  </si>
  <si>
    <t>B</t>
  </si>
  <si>
    <t>KHU VỰC BÀ RỊA-VŨNG TÀU</t>
  </si>
  <si>
    <t>Rạch Chùm Chủm</t>
  </si>
  <si>
    <t>UBND phường Bến Cát</t>
  </si>
  <si>
    <t>Hạ lưu cống Suối Tre (QL13)</t>
  </si>
  <si>
    <t>Sông Thị Tính</t>
  </si>
  <si>
    <t>Suối Chà Vi</t>
  </si>
  <si>
    <t>Giáp ranh xã Lai Hưng (cũ)
(hạ lưu suối Bến Tượng)</t>
  </si>
  <si>
    <t>Giáp thượng lưu Cầu Củi (QL13)</t>
  </si>
  <si>
    <t>Suối Lai Khê</t>
  </si>
  <si>
    <t>Khu phố Lai Khê</t>
  </si>
  <si>
    <t>Cầu Đồng Sổ</t>
  </si>
  <si>
    <t>Suối Cầu Đôi</t>
  </si>
  <si>
    <t>Khu phố Cầu Đôi</t>
  </si>
  <si>
    <t>Cầu Bến Ván</t>
  </si>
  <si>
    <t>Suối Duy Bằng</t>
  </si>
  <si>
    <t>Đầu Khu phố Cầu Đôi</t>
  </si>
  <si>
    <t>Cuối Khu phố Cầu Đôi</t>
  </si>
  <si>
    <t>Suối Bến Tượng</t>
  </si>
  <si>
    <t>Suối ông Khương (cầu Bến Tượng - Chánh Phú Hoà)</t>
  </si>
  <si>
    <t>Giáp cầu Củi</t>
  </si>
  <si>
    <t>Suối Xa Văn (suối cống Bể)</t>
  </si>
  <si>
    <t>Nhà ông Nhâm</t>
  </si>
  <si>
    <t>Chân cầu Sắt, khu phố Lai Hưng</t>
  </si>
  <si>
    <t>Suối ông Tề (suối Nông trường)</t>
  </si>
  <si>
    <t>Bà Thủy</t>
  </si>
  <si>
    <t>Ông Sang (tờ 20)</t>
  </si>
  <si>
    <t>Rạch Cầu Mắm</t>
  </si>
  <si>
    <t>Phường Bến Cát</t>
  </si>
  <si>
    <t>Phường Hòa Lợi</t>
  </si>
  <si>
    <t>UBND phường Hòa Lợi</t>
  </si>
  <si>
    <t>Cầu Mắm</t>
  </si>
  <si>
    <t>Suối Tân Định</t>
  </si>
  <si>
    <t>Suối Cầu Định nhánh 1</t>
  </si>
  <si>
    <t>Suối Cầu Định nhánh 2</t>
  </si>
  <si>
    <t>Rạch Cây Bần</t>
  </si>
  <si>
    <t>Suối Bà Cốm</t>
  </si>
  <si>
    <t>Suối Cù Đậy</t>
  </si>
  <si>
    <t>Suối đập Bồng Bông</t>
  </si>
  <si>
    <t>Suối Bến Mít</t>
  </si>
  <si>
    <t>(1223677.089-594047.551)</t>
  </si>
  <si>
    <t>(1224165.431-594063.068)</t>
  </si>
  <si>
    <t>(1224032.267 - 596106.444)</t>
  </si>
  <si>
    <t>(1224900.937 - 593458.183)</t>
  </si>
  <si>
    <t>(1230420.518 - 599206.190)</t>
  </si>
  <si>
    <t>(1226256.335 - 599625.072)</t>
  </si>
  <si>
    <t>(1224104.671- 598296.619)</t>
  </si>
  <si>
    <t>(1224329.317- 593984.003)</t>
  </si>
  <si>
    <t>(1225671.719 - 598059.050)</t>
  </si>
  <si>
    <t>(1223139.109 - 598501.309)</t>
  </si>
  <si>
    <t>(1224269.527 - 593596.867) và (1224188.611 -594032.998)</t>
  </si>
  <si>
    <t>(1231135.983 - 598874.490)</t>
  </si>
  <si>
    <t>(1223736.890 - 598255.197)</t>
  </si>
  <si>
    <t>(1228422.943 - 602784.170)</t>
  </si>
  <si>
    <t>(1228352.542 - 602404.132)</t>
  </si>
  <si>
    <t>Rạch Mương Trâm</t>
  </si>
  <si>
    <t>Nhánh 1 rạch Mương Trâm</t>
  </si>
  <si>
    <t>Nhánh 2 rạch Mương Trâm</t>
  </si>
  <si>
    <t>Rạch Thầy Quỳnh</t>
  </si>
  <si>
    <t>Nhánh 1 rạch Thầy Quỳnh</t>
  </si>
  <si>
    <t>Nhánh 2 rạch Thầy Quỳnh</t>
  </si>
  <si>
    <t>Nhánh 3 rạch Thầy Quỳnh</t>
  </si>
  <si>
    <t>Rạch Ruộng</t>
  </si>
  <si>
    <t>UBND phường Thuận An</t>
  </si>
  <si>
    <t>Phường Thuận An</t>
  </si>
  <si>
    <t>Suối Cát-Bà Lụa</t>
  </si>
  <si>
    <t>đường Hồ Văn Mên</t>
  </si>
  <si>
    <t>Đất bà Sáu Bí</t>
  </si>
  <si>
    <t>Đất ông Ba Bia</t>
  </si>
  <si>
    <t>Rạch Vàm Búng</t>
  </si>
  <si>
    <t>Đường Thạnh Quý</t>
  </si>
  <si>
    <t>nhà ông Ba Sơn</t>
  </si>
  <si>
    <t>Đất ông Ba Tỷ</t>
  </si>
  <si>
    <t>Hệ thống kênh thoát nước Chòm Sao - Suối Đờn</t>
  </si>
  <si>
    <t>&gt;10</t>
  </si>
  <si>
    <t>Hệ thống kênh thoát nước Bưng Biệp - Suối Cát</t>
  </si>
  <si>
    <t>Đại lộ Bình Dương</t>
  </si>
  <si>
    <t>&gt;20</t>
  </si>
  <si>
    <t>Rạch Bà Lụa</t>
  </si>
  <si>
    <t>Hồ Văn Mên</t>
  </si>
  <si>
    <t>Rạch Sáu Ấn</t>
  </si>
  <si>
    <t>Đường An Thạnh 15</t>
  </si>
  <si>
    <t>Rạch Hào Trí</t>
  </si>
  <si>
    <t>Rạch Bảy Tre</t>
  </si>
  <si>
    <t>Đất ông Bảy Tre</t>
  </si>
  <si>
    <t>Rạch Sáu Tro - Nhà Vuông</t>
  </si>
  <si>
    <t>Rạch Suối Cát - Bưng Biệp</t>
  </si>
  <si>
    <t>Giáp Phú Thọ</t>
  </si>
  <si>
    <t>Rạch Búng</t>
  </si>
  <si>
    <t>Cầu Bà Hai</t>
  </si>
  <si>
    <t>Rạch Sáu Em</t>
  </si>
  <si>
    <t>Đất ông Mười Thức</t>
  </si>
  <si>
    <t>Rạch Mương Đỏ</t>
  </si>
  <si>
    <t>Rạch Mã 3 Ông</t>
  </si>
  <si>
    <t>Ụ cùng</t>
  </si>
  <si>
    <t>Đoạn Suối Cát</t>
  </si>
  <si>
    <t>Đoạn Suối Cát nối dài</t>
  </si>
  <si>
    <t>Đường Nguyễn Chí Thanh nối dài</t>
  </si>
  <si>
    <t>Rạch suối Cát khu 3</t>
  </si>
  <si>
    <t>Nhánh Rạch Cầu Lớn - Cầu Móng</t>
  </si>
  <si>
    <t>Đất ông Hai Punl</t>
  </si>
  <si>
    <t>Rạch Ba Tâm</t>
  </si>
  <si>
    <t>8 - 18,5</t>
  </si>
  <si>
    <t>Nhánh rạch Ba Tâm</t>
  </si>
  <si>
    <t>4 - 5,5</t>
  </si>
  <si>
    <t>Rạch Hai Diêu - Mương Đào</t>
  </si>
  <si>
    <t>Rạch nhánh Cầu Quay</t>
  </si>
  <si>
    <t>Đất ông Út Lung</t>
  </si>
  <si>
    <t>Cống ngang đường Thạnh Quý</t>
  </si>
  <si>
    <t>Nhánh rạch Cầu Lớn</t>
  </si>
  <si>
    <t>Nguyễn Thành Trung</t>
  </si>
  <si>
    <t>Rạch Út Kỷ</t>
  </si>
  <si>
    <t>Rạch Cây Trâm</t>
  </si>
  <si>
    <t>Cống chòm sao</t>
  </si>
  <si>
    <t>Rạch Hai Biểu</t>
  </si>
  <si>
    <t>Bọng nước Trường Xuân</t>
  </si>
  <si>
    <t>Rạch Hai Bi</t>
  </si>
  <si>
    <t>Cống đường Nguyễn Hữu Cảnh</t>
  </si>
  <si>
    <t>Nhánh 1 rạch Sơn</t>
  </si>
  <si>
    <t>Nguyễn Văn Hiệp</t>
  </si>
  <si>
    <t>Nhánh 2 rạch Sơn</t>
  </si>
  <si>
    <t>Trường Tiểu học</t>
  </si>
  <si>
    <t>Nhánh 3 rạch Sơn</t>
  </si>
  <si>
    <t>UBND xã An Sơn</t>
  </si>
  <si>
    <t>Nhánh 4 rạch Sơn</t>
  </si>
  <si>
    <t>Hộ 2 Huấn</t>
  </si>
  <si>
    <t>Nhánh 5 rạch Sơn</t>
  </si>
  <si>
    <t>Nhánh 6 rạch Sơn</t>
  </si>
  <si>
    <t>An Sơn 16</t>
  </si>
  <si>
    <t>Nhánh 7 rạch Sơn</t>
  </si>
  <si>
    <t>Gà nướng Phụng Xuân</t>
  </si>
  <si>
    <t>Nhánh 8 rạch Sơn</t>
  </si>
  <si>
    <t>Hộ 2 Đồng</t>
  </si>
  <si>
    <t>Nhánh 9 rạch Sơn</t>
  </si>
  <si>
    <t>Ngoại Nhung</t>
  </si>
  <si>
    <t>Rạch Sáu Hộ</t>
  </si>
  <si>
    <t>Đường An Sơn 44</t>
  </si>
  <si>
    <t>Nhánh 1 rạch Sáu Hộ</t>
  </si>
  <si>
    <t>Rạch 6 Hộ</t>
  </si>
  <si>
    <t>TT Văn hóa xã</t>
  </si>
  <si>
    <t>Nhánh 2 rạch Sáu Hộ</t>
  </si>
  <si>
    <t>Đường An Sơn 19</t>
  </si>
  <si>
    <t>Nhánh 3 rạch Sáu Hộ</t>
  </si>
  <si>
    <t>Hộ Phan Thị Hoa</t>
  </si>
  <si>
    <t>Rạch Hai Diêu</t>
  </si>
  <si>
    <t>Nhánh 2 rạch Hai Diêu</t>
  </si>
  <si>
    <t>Cầu 7 Lên</t>
  </si>
  <si>
    <t>Nhánh 3 rạch Hai Diêu</t>
  </si>
  <si>
    <t>Hộ bà Lý</t>
  </si>
  <si>
    <t>Nhánh 6 rạch Hai Diêu</t>
  </si>
  <si>
    <t>Đất hộ Bảy Trọng</t>
  </si>
  <si>
    <t>Nhánh 1 Hai Diêu</t>
  </si>
  <si>
    <t>Hộ 7 Tý</t>
  </si>
  <si>
    <t>Nhánh 4 Hai Diêu</t>
  </si>
  <si>
    <t>Hộ bà 2 Lan</t>
  </si>
  <si>
    <t>Nhánh 5 Hai Diêu</t>
  </si>
  <si>
    <t>Cơ sở Quý Đảm</t>
  </si>
  <si>
    <t>Nhánh 7 Hai Diêu</t>
  </si>
  <si>
    <t>Vườn khóm</t>
  </si>
  <si>
    <t>Nhánh 8 Hai Diêu</t>
  </si>
  <si>
    <t>Nhánh 9 Hai Diêu</t>
  </si>
  <si>
    <t>Rạch Tư Song</t>
  </si>
  <si>
    <t>Vàm Búng</t>
  </si>
  <si>
    <t>An Sơn 01</t>
  </si>
  <si>
    <t>Rạch Út Ni</t>
  </si>
  <si>
    <t>Nguyễn Ngọc Ni</t>
  </si>
  <si>
    <t>Rạch Út Méo</t>
  </si>
  <si>
    <t>Rạch Ba Kết</t>
  </si>
  <si>
    <t>Hai Diêu</t>
  </si>
  <si>
    <t>Rạch Vàm Cầu Lớn</t>
  </si>
  <si>
    <t>Nguyễn Thị Gái</t>
  </si>
  <si>
    <t>Rạch Bọng</t>
  </si>
  <si>
    <t>Bà Lụa</t>
  </si>
  <si>
    <t>An Sơn 26</t>
  </si>
  <si>
    <t>Nhánh 1 rạch Bọng</t>
  </si>
  <si>
    <t>Nguyễn Văn Hưởng</t>
  </si>
  <si>
    <t>Rạch Ông Thịnh</t>
  </si>
  <si>
    <t>Phạm Ngọc Sơn</t>
  </si>
  <si>
    <t>Rạch Bà Lộc</t>
  </si>
  <si>
    <t>Nhánh 1 rạch Bà Lộc</t>
  </si>
  <si>
    <t>An Sơn 07</t>
  </si>
  <si>
    <t>Rạch Chính Nhuyễn</t>
  </si>
  <si>
    <t>Rạch Năm Trận</t>
  </si>
  <si>
    <t>An Sơn 02</t>
  </si>
  <si>
    <t>Rạch Chòi</t>
  </si>
  <si>
    <t>Ụ 3 Tạ</t>
  </si>
  <si>
    <t>Nhánh 1 rạch Chòi</t>
  </si>
  <si>
    <t>Nhánh 2 rạch Chòi</t>
  </si>
  <si>
    <t>Trần Ngọc Đăng</t>
  </si>
  <si>
    <t>Nhánh 3 rạch Chòi</t>
  </si>
  <si>
    <t>An Sơn 43</t>
  </si>
  <si>
    <t>Rạch Tám Giám</t>
  </si>
  <si>
    <t>An Sơn 49</t>
  </si>
  <si>
    <t>Rạch Tám Trích</t>
  </si>
  <si>
    <t>Rạch Sáu Ri</t>
  </si>
  <si>
    <t>Rạch Sáu Soi</t>
  </si>
  <si>
    <t>Rạch Cầu Ông Táo</t>
  </si>
  <si>
    <t>An Sơn 29</t>
  </si>
  <si>
    <t>Rạch Tư Hiển</t>
  </si>
  <si>
    <t>Rạch Cây Chay</t>
  </si>
  <si>
    <t>Nguyễn Hoàng Minh</t>
  </si>
  <si>
    <t>Rạch Bảy Liễng</t>
  </si>
  <si>
    <t>Nguyễn Văn Được</t>
  </si>
  <si>
    <t>Đất ông Tánh</t>
  </si>
  <si>
    <t>Rạch Tư Độ</t>
  </si>
  <si>
    <t>An Sơn 05</t>
  </si>
  <si>
    <t>Rạch Út Đức</t>
  </si>
  <si>
    <t>An Sơn 33</t>
  </si>
  <si>
    <t>Rạch Hai Lý</t>
  </si>
  <si>
    <t>Đất ông Phúc</t>
  </si>
  <si>
    <t>Phường Thuận Giao, Phường Lái Thiêu</t>
  </si>
  <si>
    <t>Cầu Cây Trâm</t>
  </si>
  <si>
    <t>Điểm đầu tuyến</t>
  </si>
  <si>
    <t>Giáp ĐT 743</t>
  </si>
  <si>
    <t>Cầu Trắng (đường Cách Mạng Tháng Tám)</t>
  </si>
  <si>
    <t>Rạch Bà Cô</t>
  </si>
  <si>
    <t>Suối Cầu Trệt</t>
  </si>
  <si>
    <t>Suối Giữa</t>
  </si>
  <si>
    <t>Phường Chánh Hiệp</t>
  </si>
  <si>
    <t>Suối Cầu Bún</t>
  </si>
  <si>
    <t>Đường ĐL BD</t>
  </si>
  <si>
    <t>Đường ĐX34</t>
  </si>
  <si>
    <t>Rạch Nhà Thờ</t>
  </si>
  <si>
    <t>Khu quy hoạch HUD</t>
  </si>
  <si>
    <t>Hộ Ông Út</t>
  </si>
  <si>
    <t>Rạch Nút</t>
  </si>
  <si>
    <t>Đường ĐX42</t>
  </si>
  <si>
    <t>Rạch Hai Nhỏ</t>
  </si>
  <si>
    <t>Hộ Ông Ro</t>
  </si>
  <si>
    <t>Nhánh Rạch Lò Lu</t>
  </si>
  <si>
    <t>Khu dân cư Huỳnh Long</t>
  </si>
  <si>
    <t>Đường Lê Chí Dân</t>
  </si>
  <si>
    <t>Đường tổ 4, KP TBH 1</t>
  </si>
  <si>
    <t>Rạch Nai</t>
  </si>
  <si>
    <t>Nhánh rạch Nai</t>
  </si>
  <si>
    <t>Hố Trầu, KP TBH 1</t>
  </si>
  <si>
    <t>Rạch Ba Lâu</t>
  </si>
  <si>
    <t>Đường tổ 2, KP TBH 1</t>
  </si>
  <si>
    <t>Nhánh 1 (Rạch Ba Rành)</t>
  </si>
  <si>
    <t>Đường tổ 11-12, KP TBH 2</t>
  </si>
  <si>
    <t>Nhánh 2 (Rạch Ba Rành)</t>
  </si>
  <si>
    <t>Đường tổ 15, KP TBH 2</t>
  </si>
  <si>
    <t>Nhánh 3 (Rạch Ba Rành)</t>
  </si>
  <si>
    <t>Đường tổ 15A, KP TBH 2</t>
  </si>
  <si>
    <t>Rạch Tô Phước Tô</t>
  </si>
  <si>
    <t>Đường tổ 24, KP TBH 3</t>
  </si>
  <si>
    <t>Rạch Ba Tường</t>
  </si>
  <si>
    <t>Nhà ông Ba tường</t>
  </si>
  <si>
    <t>Rạch Bà Sàng</t>
  </si>
  <si>
    <t>Cầu Bà Sàng (Đường Hồ Văn Cống)</t>
  </si>
  <si>
    <t>Suối Mù u</t>
  </si>
  <si>
    <t>Suối Lồ Ô</t>
  </si>
  <si>
    <t>Giáp đường tổ 58</t>
  </si>
  <si>
    <t>Giáp đường Lê Chí Dân</t>
  </si>
  <si>
    <t>Giáp rạch Ba tường</t>
  </si>
  <si>
    <t>Giáp rạch Bà Cô</t>
  </si>
  <si>
    <t>13 - 32</t>
  </si>
  <si>
    <t>Suối Mắc Mèo</t>
  </si>
  <si>
    <t>ĐX65</t>
  </si>
  <si>
    <t>UBND Phường Chánh Hiệp</t>
  </si>
  <si>
    <t>Giáp ranh Bình Chiểu</t>
  </si>
  <si>
    <t>Kênh tiêu Bình Hòa</t>
  </si>
  <si>
    <t>Cuối đường BH 03</t>
  </si>
  <si>
    <t>Kênh tiêu</t>
  </si>
  <si>
    <t>Suối Mạch Chà</t>
  </si>
  <si>
    <t>Phòng khám đa khoa Bình Hòa</t>
  </si>
  <si>
    <t>Rạch Tám Cỡ</t>
  </si>
  <si>
    <t>Đất ông Nguyễn Văn Trên</t>
  </si>
  <si>
    <t>Rạch Suối Cát</t>
  </si>
  <si>
    <t>Nhà ông Hai Lập</t>
  </si>
  <si>
    <t>Kênh tiêu Visip</t>
  </si>
  <si>
    <t>Suối Cây Trâm</t>
  </si>
  <si>
    <t>Đường ĐT 743</t>
  </si>
  <si>
    <t>Rạch Ba Hoà</t>
  </si>
  <si>
    <t>Đường VP25</t>
  </si>
  <si>
    <t>Rạch Chín Đang</t>
  </si>
  <si>
    <t>Rạch Cầu Hảng</t>
  </si>
  <si>
    <t>Đường VP23</t>
  </si>
  <si>
    <t>Rạch Tư Bốn</t>
  </si>
  <si>
    <t>Đường nVP20</t>
  </si>
  <si>
    <t>Rạch Tiểu Học</t>
  </si>
  <si>
    <t xml:space="preserve">Kênh Tiêu </t>
  </si>
  <si>
    <t>Trường T H</t>
  </si>
  <si>
    <t>Rạch Tám Phước</t>
  </si>
  <si>
    <t>Đường nVP15</t>
  </si>
  <si>
    <t>Rạch Kênh Đào 27</t>
  </si>
  <si>
    <t>Rạch Cùng Phú Hội</t>
  </si>
  <si>
    <t>Rạch Út Lô</t>
  </si>
  <si>
    <t>Rạch Bốn Trụ</t>
  </si>
  <si>
    <t>R Kênh Ngang</t>
  </si>
  <si>
    <t xml:space="preserve">Rạch 5 Bê                                     </t>
  </si>
  <si>
    <t xml:space="preserve">Đường VP01 </t>
  </si>
  <si>
    <t>Rạch Giáo Hải</t>
  </si>
  <si>
    <t>Đường VP17</t>
  </si>
  <si>
    <t>Rạch 9 Mìn</t>
  </si>
  <si>
    <t>Đường n VP15</t>
  </si>
  <si>
    <t>Rạch ụ Bà Bóng</t>
  </si>
  <si>
    <t>R. Nước Trong</t>
  </si>
  <si>
    <t xml:space="preserve">Rạch Rạch Cây Xăng </t>
  </si>
  <si>
    <t>R. Kênh Ngang</t>
  </si>
  <si>
    <t>Rạch Kênh Ngang</t>
  </si>
  <si>
    <t>R.Thày Năm</t>
  </si>
  <si>
    <t>R.Út Lô</t>
  </si>
  <si>
    <t>Rạch Bộ Lạc</t>
  </si>
  <si>
    <t>Tân Hiệp Phát</t>
  </si>
  <si>
    <t>R,Cầu Ngang</t>
  </si>
  <si>
    <t>UBND phường Bình Hòa</t>
  </si>
  <si>
    <t>Phường Phú Lợi</t>
  </si>
  <si>
    <t>Phạm Ngọc Thạch</t>
  </si>
  <si>
    <t>Suối Lò Nhang</t>
  </si>
  <si>
    <t>Hẻm 249 Lê Hồng Phong</t>
  </si>
  <si>
    <t>Suối Cát</t>
  </si>
  <si>
    <t>1-3</t>
  </si>
  <si>
    <t>UBND phường Phú Lợi</t>
  </si>
  <si>
    <t>Phường Phú Lợi, Thuận Giao, Phường Thuận An</t>
  </si>
  <si>
    <t>Suối Cầu 4 Trụ</t>
  </si>
  <si>
    <t>Suối Ông Đồng</t>
  </si>
  <si>
    <t>Dự án KDC Đông Bình Dương</t>
  </si>
  <si>
    <t>Suối Bá Tước</t>
  </si>
  <si>
    <t>Đường Bùi Thị Xuân</t>
  </si>
  <si>
    <t>Suối Ông 7 Mi</t>
  </si>
  <si>
    <t>Khoảng 1,5m</t>
  </si>
  <si>
    <t>Suối Cầu Đá</t>
  </si>
  <si>
    <t>Đường Huỳnh Thị Tươi</t>
  </si>
  <si>
    <t>Suối Cây Da</t>
  </si>
  <si>
    <t>Đường Nguyễn Thị Tươi</t>
  </si>
  <si>
    <t>Suối Mạch Máng</t>
  </si>
  <si>
    <t>Khu vực dân cư gần đình Tân Phước</t>
  </si>
  <si>
    <t>Suối Mù U</t>
  </si>
  <si>
    <t>Cầu Thanh Niên</t>
  </si>
  <si>
    <t>Suối Cống Lở + Suối Cầu</t>
  </si>
  <si>
    <t>Đường Liên Huyện</t>
  </si>
  <si>
    <t>Rạch ông Tiếp</t>
  </si>
  <si>
    <t>Suối Ông Ngời</t>
  </si>
  <si>
    <t>Khu Sản xuất tập trung công ty Liên Anh</t>
  </si>
  <si>
    <t>Đường Nguyễn Thị Tươi (Suối Cây Sao)</t>
  </si>
  <si>
    <t>Suối Cây Sao</t>
  </si>
  <si>
    <t>Dự án KDC</t>
  </si>
  <si>
    <t>Suối Bà 6 Dương</t>
  </si>
  <si>
    <t>Suối Sọ</t>
  </si>
  <si>
    <t>Suối ông Bừng</t>
  </si>
  <si>
    <t>Nguyễn Thị Tươi – Ngã 3 Hố Lang</t>
  </si>
  <si>
    <t>Suối Mương Lễ</t>
  </si>
  <si>
    <t>Đoạn từ nhà Ông Bảy Vàng</t>
  </si>
  <si>
    <t>Mương Yến</t>
  </si>
  <si>
    <t>Suối Ông Năm Chiệu</t>
  </si>
  <si>
    <t>Suối Sâu Tân Thắng</t>
  </si>
  <si>
    <t>Suối Cây Trường</t>
  </si>
  <si>
    <t>Đường Trương Văn Vĩnh</t>
  </si>
  <si>
    <t>Ranh Đồng Nai</t>
  </si>
  <si>
    <t>Ranh tỉnh Đồng Nai</t>
  </si>
  <si>
    <t>Suối Thầy Tu</t>
  </si>
  <si>
    <t>KDC Biconsi</t>
  </si>
  <si>
    <t>Suối Sâu (Tân Phước)</t>
  </si>
  <si>
    <t>Nguyễn Thị Tươi</t>
  </si>
  <si>
    <t>Suối Ông 8 Ron</t>
  </si>
  <si>
    <t>Trường THCS Tân Bình</t>
  </si>
  <si>
    <t>Nghĩa trang nhân dân Tân Bình</t>
  </si>
  <si>
    <t>Giáp ranh Đồng Nai</t>
  </si>
  <si>
    <t>Suối Cô Hai Mận</t>
  </si>
  <si>
    <t>Đường N3 thuộc KDC Biconsi</t>
  </si>
  <si>
    <t>Suối Ông Tám In</t>
  </si>
  <si>
    <t>KDC Trung Thành</t>
  </si>
  <si>
    <t>Suối Siệp</t>
  </si>
  <si>
    <t>KDC Đông An</t>
  </si>
  <si>
    <t>Quốc Lộ 1K</t>
  </si>
  <si>
    <t>Phường Tân Đông Hiệp</t>
  </si>
  <si>
    <t>UBND phường Tân Đông Hiệp</t>
  </si>
  <si>
    <t>Rạch Thầy Năm</t>
  </si>
  <si>
    <t>Rạch Ông Đành</t>
  </si>
  <si>
    <t>Phường Thủ Dầu Một</t>
  </si>
  <si>
    <t>Phía sau công viên nước Thanh Lễ</t>
  </si>
  <si>
    <t>Nhánh rạch Ông Đành (mương II)</t>
  </si>
  <si>
    <t>Nhà Bà Đỗ Thị Màu</t>
  </si>
  <si>
    <t>Nhánh rạch Ông Đành (mương III)</t>
  </si>
  <si>
    <t>Đường Tú Xương</t>
  </si>
  <si>
    <t>Nhánh rạch Ông Đành (mương V)</t>
  </si>
  <si>
    <t>Nhà Bà Lâm Thị  Mạnh</t>
  </si>
  <si>
    <t>Nhánh rạch Ông Đành (mương VI)</t>
  </si>
  <si>
    <t>Chùa Phổ Thiện Hòa</t>
  </si>
  <si>
    <t>Rạch Thầy Năng</t>
  </si>
  <si>
    <t>Phía sau Liên đoàn lao động tỉnh</t>
  </si>
  <si>
    <t>Nhánh rạch Thầy Năng
(mương đá hộc)</t>
  </si>
  <si>
    <t>Nhà ông Lâm Ngọc Thu</t>
  </si>
  <si>
    <t>Nhánh rạch Thầy Năng (mương VII)</t>
  </si>
  <si>
    <t>Nhà Bà PhạmThị Ánh Phượng</t>
  </si>
  <si>
    <t>Nhánh rạch Thầy Năng (rạch phụ số 1)</t>
  </si>
  <si>
    <t>Nhà Hàng  Tây Hồ</t>
  </si>
  <si>
    <t xml:space="preserve">Nhánh rạch Thầy Năng (mương VIII) </t>
  </si>
  <si>
    <t>Đất dân</t>
  </si>
  <si>
    <t>Nhánh rạch Thầy Năng (mương IX)</t>
  </si>
  <si>
    <t>Nhà ông Huỳnh Tấn Liêm</t>
  </si>
  <si>
    <t>Nhánh rạch Thầy Năng (mương X)</t>
  </si>
  <si>
    <t>Nhà ông Trần Quang Thanh</t>
  </si>
  <si>
    <t>Nhánh rạch Thầy Năng</t>
  </si>
  <si>
    <t>Quán Nam Phương</t>
  </si>
  <si>
    <t>Đường Nguyễn AnNinh</t>
  </si>
  <si>
    <t>Mương thoát nước Trường Sĩ quan công binh</t>
  </si>
  <si>
    <t>Công trường Sĩ quan Công Binh</t>
  </si>
  <si>
    <t>Đường Bạch Đằng</t>
  </si>
  <si>
    <t>Rạch Bàu Bàng (rạch Chủ Hiếu)</t>
  </si>
  <si>
    <t>Nhà dân</t>
  </si>
  <si>
    <t>Nhánh rạch Bàu Bàng (Nhánh 1)</t>
  </si>
  <si>
    <t>Rạch Bàu Bàng
(số nhà 131/22)</t>
  </si>
  <si>
    <t>Nhánh rạch Bàu Bàng (Nhánh 2)</t>
  </si>
  <si>
    <t>Rạch Bàu Bàng
(tổ 54, khu CN7)</t>
  </si>
  <si>
    <t>Nhánh rạch Bàu Bàng (nhánh 3)</t>
  </si>
  <si>
    <t>Rạch Bàu Bàng
(số nhà 131/66)</t>
  </si>
  <si>
    <t>Rạch Thủ Ngữ</t>
  </si>
  <si>
    <t>Khu dân cư Chánh Nghĩa</t>
  </si>
  <si>
    <t>Nhánh rạch Thủ Ngữ (rạch phụ số 2)</t>
  </si>
  <si>
    <t>Nhánh rạch Thủ Ngữ (rạch phụ số 3)</t>
  </si>
  <si>
    <t>Rạch phụ số 4</t>
  </si>
  <si>
    <t>Nhánh rạch Thủ Ngữ (rạch phụ số 4)</t>
  </si>
  <si>
    <t>Đường Bùi Quốc Khánh</t>
  </si>
  <si>
    <t>Nhánh rạch Thủ Ngữ (rạch phụ số 5)</t>
  </si>
  <si>
    <t>Mương phụ XI</t>
  </si>
  <si>
    <t>Mương phụ XII</t>
  </si>
  <si>
    <t>Đường CMT8</t>
  </si>
  <si>
    <t>Rạch Hai Rộng</t>
  </si>
  <si>
    <t>Đường Nguyễn Tri Phương</t>
  </si>
  <si>
    <t>Rạch Bảy Dần</t>
  </si>
  <si>
    <t>Hẻm 285 Nguyễn Tri Phương</t>
  </si>
  <si>
    <t>Rạch Bảy Gối</t>
  </si>
  <si>
    <t>Đất dân (hẻm 400 NTP)</t>
  </si>
  <si>
    <t>Rạch Cây Nhum</t>
  </si>
  <si>
    <t>Nhà 464 Nguyễn Tri Phương</t>
  </si>
  <si>
    <t>Rạch Bảy Tra</t>
  </si>
  <si>
    <t>Nhà số 478/37</t>
  </si>
  <si>
    <t>Rạch Ông Cớ</t>
  </si>
  <si>
    <t>Rạch Trùm Hiền</t>
  </si>
  <si>
    <t>Bờ ngang (hẻm 636 NTP)</t>
  </si>
  <si>
    <t>Rạch Trại Nhựt</t>
  </si>
  <si>
    <t>Đất dân (hẻm 690 NTP)</t>
  </si>
  <si>
    <t>Rạch Ông Tía</t>
  </si>
  <si>
    <t>Đầu hẻm 690 NTP</t>
  </si>
  <si>
    <t>Rạch Công Một Đồng</t>
  </si>
  <si>
    <t>Rạch Ông Thặng</t>
  </si>
  <si>
    <t>Sông Sài Gòn (Công an đường thủy)</t>
  </si>
  <si>
    <t>Suối Mọi Cầu</t>
  </si>
  <si>
    <t>Đường ĐLBD</t>
  </si>
  <si>
    <t>Suối Hố Sâu</t>
  </si>
  <si>
    <t>Hẻm tổ 61</t>
  </si>
  <si>
    <t>Rạch Miễu (An Thạnh)</t>
  </si>
  <si>
    <t>Suối Ông Chủ</t>
  </si>
  <si>
    <t>Đường Lê Hồng Phong</t>
  </si>
  <si>
    <t>Rạch An Thạnh (6 Tro)</t>
  </si>
  <si>
    <t>Hẻm tổ 73B</t>
  </si>
  <si>
    <t>Rạch Bà Khai</t>
  </si>
  <si>
    <t>Sông Bà Lụa</t>
  </si>
  <si>
    <t>Rạch Mương Xù</t>
  </si>
  <si>
    <t>Hẻm tổ 86</t>
  </si>
  <si>
    <t>Đường AT37</t>
  </si>
  <si>
    <t>Rạch Bà Quyến</t>
  </si>
  <si>
    <t>Rạch Trầu nhánh 1</t>
  </si>
  <si>
    <t>Rạch Trầu nhánh 2</t>
  </si>
  <si>
    <t>Rạch Trầu nhánh 3</t>
  </si>
  <si>
    <t>Rạch Trầu nhánh 4</t>
  </si>
  <si>
    <t>Rạch Trầu nhánh 5</t>
  </si>
  <si>
    <t>Rạch Trầu nhánh 6</t>
  </si>
  <si>
    <t>Rạch Trầu nhánh 7</t>
  </si>
  <si>
    <t>UBND Phường Thủ Dầu Một</t>
  </si>
  <si>
    <t>Rạch Sẻo Cụt</t>
  </si>
  <si>
    <t>Rạch Mít</t>
  </si>
  <si>
    <t>Rạch Bà Cát</t>
  </si>
  <si>
    <t>Rạch Mương Sâu (rạch Lội)</t>
  </si>
  <si>
    <t>Rạch Ông An</t>
  </si>
  <si>
    <t>Rạch Gò Cát</t>
  </si>
  <si>
    <t>Rạch Ông Hòa</t>
  </si>
  <si>
    <t>Rạch Ông Sách</t>
  </si>
  <si>
    <t>Rạch Mương Dâu Nhỏ</t>
  </si>
  <si>
    <t>Rạch Ống Hiếu</t>
  </si>
  <si>
    <t>Rạch Mương Khai</t>
  </si>
  <si>
    <t>Rạch Bà Quạ</t>
  </si>
  <si>
    <t>Rạch Bứa</t>
  </si>
  <si>
    <t>Rạch Bưởi</t>
  </si>
  <si>
    <t>Rạch Sẻo Mây</t>
  </si>
  <si>
    <t>Rạch Sẻo Cung</t>
  </si>
  <si>
    <t>Rạch Ông Đức</t>
  </si>
  <si>
    <t>Rạch Mương Dâu Lớn</t>
  </si>
  <si>
    <t>Giáp đất ông Phạm Văn Nhiễu</t>
  </si>
  <si>
    <t>Giáp đất ông Huỳnh Huy Dũng</t>
  </si>
  <si>
    <t>Giáp đất ông Nguyễn Văn Lục</t>
  </si>
  <si>
    <t>Giáp đất ông Trần Văn Bình</t>
  </si>
  <si>
    <t>Giáp đất ông Nguyễn Văn Ân</t>
  </si>
  <si>
    <t>Giáp đường AT052</t>
  </si>
  <si>
    <t>Giáp đất ông Nguyễn Văn Nù</t>
  </si>
  <si>
    <t>Giáp đường AT 057, AT 058</t>
  </si>
  <si>
    <t>Giáp đường AT 059</t>
  </si>
  <si>
    <t>Giáp đất ông Bùi Văn Quen</t>
  </si>
  <si>
    <t>Giáp đất ông Lê Văn Liếp</t>
  </si>
  <si>
    <t>Giáp đường AT 060</t>
  </si>
  <si>
    <t>Giáp đường AT 065</t>
  </si>
  <si>
    <t>Giáp đất ông Nguyễn Tấn Hoài</t>
  </si>
  <si>
    <t>Giáp đường AT 068</t>
  </si>
  <si>
    <t>Giữa cánh đồng An Thành</t>
  </si>
  <si>
    <t>Giáp đất ông Nguyễn Văn Hiếu</t>
  </si>
  <si>
    <t>Giáp đất bà Ngô Thị Ngọc Lan</t>
  </si>
  <si>
    <t>Giáp đất ông Châu</t>
  </si>
  <si>
    <t>Giáp đất ông Thiên</t>
  </si>
  <si>
    <t>Giáp đường AT 071</t>
  </si>
  <si>
    <t>Đê bao An Tây</t>
  </si>
  <si>
    <t>Phường Tây Nam</t>
  </si>
  <si>
    <t>UBND Phường Tây Nam</t>
  </si>
  <si>
    <t>Kênh T1 thuộc Hệ thống thoát nước bên ngoài các khu công nghiệp An Tây, Mai Trung, Việt Hương 2, KCN Protrade (Trục chính)</t>
  </si>
  <si>
    <t>Hố ga cuối dòng trên đường 19B (cách hàng rào KCN Mai Trung khoảng 10m)</t>
  </si>
  <si>
    <t>Đổ vào nhánh rạch Cua Đinh và ra sông Sài Gòn</t>
  </si>
  <si>
    <t>Rạch Bắp Lớn</t>
  </si>
  <si>
    <t>Rạch Bắp Nhỏ</t>
  </si>
  <si>
    <t>Rạch Ông Bình</t>
  </si>
  <si>
    <t>Rạch Bến Cây</t>
  </si>
  <si>
    <t>Rạch Bến Thị Tính</t>
  </si>
  <si>
    <t>Rạch Bến</t>
  </si>
  <si>
    <t>Rạch Bến đò Bò Cạp</t>
  </si>
  <si>
    <t>Rạch Mướp (rạch Mạch)</t>
  </si>
  <si>
    <t>Rạch Cua Đinh</t>
  </si>
  <si>
    <t>Rạch Bến Đồng</t>
  </si>
  <si>
    <t>Rạch Măng Sinh</t>
  </si>
  <si>
    <t>Rạch Ba Lộc</t>
  </si>
  <si>
    <t>Rạch Ông Thắng</t>
  </si>
  <si>
    <t>Rạch Ông Hiến</t>
  </si>
  <si>
    <t>Rạch Đập Bẻ</t>
  </si>
  <si>
    <t>Rạch  Mít</t>
  </si>
  <si>
    <t>Rạch Xẻo Nguyên</t>
  </si>
  <si>
    <t xml:space="preserve">Rạch Bà Đề </t>
  </si>
  <si>
    <t>Rạch Năm Cà</t>
  </si>
  <si>
    <t>Rạch Cầu Giáo Ba</t>
  </si>
  <si>
    <t>Rạch Bến Lao</t>
  </si>
  <si>
    <t xml:space="preserve">Rạch Đập </t>
  </si>
  <si>
    <t xml:space="preserve">Rạch Cô Hiếu </t>
  </si>
  <si>
    <t xml:space="preserve">Rạch Bà Quảng </t>
  </si>
  <si>
    <t xml:space="preserve">Rạch Sậy </t>
  </si>
  <si>
    <t xml:space="preserve">Rạch Bến </t>
  </si>
  <si>
    <t xml:space="preserve">Rạch Cụt </t>
  </si>
  <si>
    <t>Rạch Cây Chanh</t>
  </si>
  <si>
    <t>Bà Ngãi</t>
  </si>
  <si>
    <t>Rạch Mương Lớn</t>
  </si>
  <si>
    <t>Rạch Kiến</t>
  </si>
  <si>
    <t>Rạch Mương nhỏ</t>
  </si>
  <si>
    <t xml:space="preserve">Nhánh rẽ Ông Phú </t>
  </si>
  <si>
    <t xml:space="preserve">Nhánh rẽ Tai Dê </t>
  </si>
  <si>
    <t>Rạch Biện Tường</t>
  </si>
  <si>
    <t>Rạch Châu Long</t>
  </si>
  <si>
    <t>Rạch Ổ Rồng</t>
  </si>
  <si>
    <t xml:space="preserve">Nhánh rẽ Phản Luôn </t>
  </si>
  <si>
    <t xml:space="preserve">Nhánh rẽ Bún Bột </t>
  </si>
  <si>
    <t xml:space="preserve">Rạch Tai Bèo </t>
  </si>
  <si>
    <t>Rạch Cây Siêu</t>
  </si>
  <si>
    <t>Rạch Con Mương</t>
  </si>
  <si>
    <t>Rạch Sẻo Sậy</t>
  </si>
  <si>
    <t>Giáp đất ông Bảy Minh</t>
  </si>
  <si>
    <t>Giáp đất ông Nguyễn Văn Vũ</t>
  </si>
  <si>
    <t>Công ty Sông Gianh</t>
  </si>
  <si>
    <t>Bê tông ly tâm Thủ Đức</t>
  </si>
  <si>
    <t>Giáp đất ông Nguyễn Văn Ngắn</t>
  </si>
  <si>
    <t>Giáp đất ông Trần Văn Hải</t>
  </si>
  <si>
    <t>Giáp đất ông Trần Văn Hồ</t>
  </si>
  <si>
    <t>Giáp đường AT004</t>
  </si>
  <si>
    <t>Giáp đất ông Võ Thanh Trí</t>
  </si>
  <si>
    <t>Giáp đất ông Phan Văn Trung</t>
  </si>
  <si>
    <t>Giáp đất ông Nguyễn Thành Long</t>
  </si>
  <si>
    <t>Hạ lưu Kênh T1</t>
  </si>
  <si>
    <t>Giáp đất ông Phan Văn Chi</t>
  </si>
  <si>
    <t>Giáp đất ông Trần Văn Bê</t>
  </si>
  <si>
    <t>Nhánh rạch Cua Đinh</t>
  </si>
  <si>
    <t>Giáp đất ông Nguyễn Văn Đến</t>
  </si>
  <si>
    <t>Giáp đất ông Hà Văn Lịnh</t>
  </si>
  <si>
    <t>Giáp đất ông Nguyễn Thanh Tâm</t>
  </si>
  <si>
    <t>Giáp đất ông Đặng Văn Cà</t>
  </si>
  <si>
    <t>Giáp đường ĐT744</t>
  </si>
  <si>
    <t>Giáp đất ông Nguyễn Văn Quý</t>
  </si>
  <si>
    <t>Giáp đường Thanh Tuyền 64</t>
  </si>
  <si>
    <t>Giáp đất ông Lê Việt Triều</t>
  </si>
  <si>
    <t>Giáp đất ông Nguyễn Văn Việt</t>
  </si>
  <si>
    <t>Giáp đất ông Lý Anh Vũ</t>
  </si>
  <si>
    <t>Giáp đất ông Nguyễn Văn Phần</t>
  </si>
  <si>
    <t>Giáp Công ty Phú Cường Thịnh</t>
  </si>
  <si>
    <t>Giáp đất ông Huỳnh Văn Đường</t>
  </si>
  <si>
    <t>Giáp đất ông Bùi Văn Lạc</t>
  </si>
  <si>
    <t>Nhánh 1 giáp đất ông Lý Văn Thu, Nhánh 2 giáp đất ông Võ Văn Sự</t>
  </si>
  <si>
    <t>Giáp đất bà Ngô Thị Quèn</t>
  </si>
  <si>
    <t>Giáp đất ông Trần Tấn Thông</t>
  </si>
  <si>
    <t>Nhánh rạch Lớn</t>
  </si>
  <si>
    <t>Nhánh 1 giáp thửa đất số 927, tờ bản đồ số 33, Nhánh 2 giáp thửa đất số 1497, tờ bản đồ số 30</t>
  </si>
  <si>
    <t>Giáp thửa đất số 234, tờ bản đồ số 32</t>
  </si>
  <si>
    <t>Giáp đất ông Đặng Hữu Tòng</t>
  </si>
  <si>
    <t>Giáp thửa đất 180, tờ bản đồ số 33</t>
  </si>
  <si>
    <t>Giáp đất ông Đặng Văn Lánh</t>
  </si>
  <si>
    <t>Giáp đất quy hoạch Địa đạo Củ Chi</t>
  </si>
  <si>
    <t>Giáp đất ông Tô Tấn Tiệp</t>
  </si>
  <si>
    <t>Suối Xuy Nô</t>
  </si>
  <si>
    <t>Thửa 464, tờ BĐ số 01</t>
  </si>
  <si>
    <t>Thửa 600, tờ BĐ số 42</t>
  </si>
  <si>
    <t>Suối Chòi Ớt</t>
  </si>
  <si>
    <t>Thửa 04, tờ BĐ số 07</t>
  </si>
  <si>
    <t>Thửa 1683, tờ BĐ số 15</t>
  </si>
  <si>
    <t>Suối Vĩnh Lợi</t>
  </si>
  <si>
    <t>Thửa 18, tờ BĐ số 30</t>
  </si>
  <si>
    <t>Suối Vũng Da</t>
  </si>
  <si>
    <t>Thửa 507, tờ BĐ số 33</t>
  </si>
  <si>
    <t>Thửa 528, tờ BĐ số 36</t>
  </si>
  <si>
    <t>Suối Con (KP 4-5)</t>
  </si>
  <si>
    <t>Thửa 632, tờ BĐ số 22</t>
  </si>
  <si>
    <t>Thửa 499, tờ BĐ số 33</t>
  </si>
  <si>
    <t>Suối Con (KP 2-3)</t>
  </si>
  <si>
    <t>Thửa 356, tờ BĐ số 12</t>
  </si>
  <si>
    <t>Thửa 255, tờ BĐ số 29</t>
  </si>
  <si>
    <t>Suối Cua Đinh</t>
  </si>
  <si>
    <t>Thửa 1054, tờ BĐ số 64</t>
  </si>
  <si>
    <t>Giáp Suối Cái</t>
  </si>
  <si>
    <t>Phường Vĩnh Tân</t>
  </si>
  <si>
    <t>UBND Phường Vĩnh Tân</t>
  </si>
  <si>
    <t>Suối Bàu Tảo</t>
  </si>
  <si>
    <t>Cửa sông Bé, xã Phước Hòa</t>
  </si>
  <si>
    <t>Suối Ông Trinh</t>
  </si>
  <si>
    <t>Xã Bàu Bàng</t>
  </si>
  <si>
    <t>Cửa sông Bé, xã An Long</t>
  </si>
  <si>
    <t>Suối Ông Bằng – Ông Bang</t>
  </si>
  <si>
    <t>Cầu số 4, đường ĐT 750</t>
  </si>
  <si>
    <t>Suối Ông Trinh, xã An Long</t>
  </si>
  <si>
    <t>Suối Độn</t>
  </si>
  <si>
    <t>Xã Trừ Văn Thố</t>
  </si>
  <si>
    <t>Suối Thôn, xã An Long</t>
  </si>
  <si>
    <t>Suối Thôn</t>
  </si>
  <si>
    <t>Phường Chơn Thành</t>
  </si>
  <si>
    <t>Suối Nước Trong</t>
  </si>
  <si>
    <t>Suối Ấp Phú Bằng</t>
  </si>
  <si>
    <t>Đất người dân, xã An Long</t>
  </si>
  <si>
    <t>Ranh Phường Bến Cát</t>
  </si>
  <si>
    <t>Xã An Long</t>
  </si>
  <si>
    <t>UBND xã An Long</t>
  </si>
  <si>
    <t>Suối Nước Vàng</t>
  </si>
  <si>
    <t>xã Phú Giáo</t>
  </si>
  <si>
    <t>Thửa đất số 65, tờ bản đồ số 128</t>
  </si>
  <si>
    <t>Thửa đất số 549, tờ bản đồ số 153</t>
  </si>
  <si>
    <t>Suối Tích</t>
  </si>
  <si>
    <t>Thửa đất số 04, tờ bản đồ số 141</t>
  </si>
  <si>
    <t>Thửa đất số 92, tờ bản đồ số 146</t>
  </si>
  <si>
    <t>Suối Đá</t>
  </si>
  <si>
    <t>Thửa đất số 07, tờ bản đồ số 148</t>
  </si>
  <si>
    <t>Thửa đất số 25, tờ bản đồ số 159</t>
  </si>
  <si>
    <t>Suối Mía</t>
  </si>
  <si>
    <t>Thửa đất số 07, tờ bản đồ số 149</t>
  </si>
  <si>
    <t>Thửa đất số 25, tờ bản đồ số 160</t>
  </si>
  <si>
    <t>Suối Tư Đĩa</t>
  </si>
  <si>
    <t>Thửa đất số 324, tờ bản đồ số 29</t>
  </si>
  <si>
    <t>Thửa đất số 83, tờ bản đồ số 40</t>
  </si>
  <si>
    <t>1.5</t>
  </si>
  <si>
    <t>Thửa đất số 07, tờ bản đồ số 144</t>
  </si>
  <si>
    <t>Thửa đất số 25, tờ bản đồ số 155</t>
  </si>
  <si>
    <t>Suối Rạch Bé</t>
  </si>
  <si>
    <t>Thửa đất số 08, tờ bản đồ số 142</t>
  </si>
  <si>
    <t>Thửa đất số 886, tờ bản đồ số 149</t>
  </si>
  <si>
    <t>Suối Đôi</t>
  </si>
  <si>
    <t>Thửa đất số 11, tờ bản đồ số 143</t>
  </si>
  <si>
    <t>Thửa đất số 13, tờ bản đồ số 144</t>
  </si>
  <si>
    <t>Suối Giai</t>
  </si>
  <si>
    <t>Suối Say</t>
  </si>
  <si>
    <t>Thửa đất số 04, tờ bản đồ số 143</t>
  </si>
  <si>
    <t>Suối Dây (Suối Đắc)</t>
  </si>
  <si>
    <t>Thửa đất số 27, tờ bản đồ số 142</t>
  </si>
  <si>
    <t>Thửa đất số 767, tờ bản đồ số 149</t>
  </si>
  <si>
    <t>UBND xã Phú Giáo</t>
  </si>
  <si>
    <t>Xã Phước Hòa</t>
  </si>
  <si>
    <t>20-40</t>
  </si>
  <si>
    <t>Suối Đồng Chinh</t>
  </si>
  <si>
    <t>Tờ BĐ 48, thửa 120</t>
  </si>
  <si>
    <t>Tờ BĐ 45, thửa 134</t>
  </si>
  <si>
    <t>17-20</t>
  </si>
  <si>
    <t>Suối Con</t>
  </si>
  <si>
    <t>Tờ BĐ 45, thửa 120</t>
  </si>
  <si>
    <t>Tờ BĐ 27, thửa 544</t>
  </si>
  <si>
    <t>Suối Bà Tảo</t>
  </si>
  <si>
    <t>Tờ BĐ 50, thửa 74</t>
  </si>
  <si>
    <t>Tờ BĐ 52, thửa 307</t>
  </si>
  <si>
    <t>UBND Xã Phước Hòa</t>
  </si>
  <si>
    <t>Xã Phước Thành, Phước Hòa, Phú Giáo</t>
  </si>
  <si>
    <t>Rạch Cầu Sắt</t>
  </si>
  <si>
    <t>Suối Bà Phó</t>
  </si>
  <si>
    <t>Suối Ông Đông</t>
  </si>
  <si>
    <t>Suối Long Đá</t>
  </si>
  <si>
    <t>Rạch Cầu Xe Lửa</t>
  </si>
  <si>
    <t>Thửa 491, tờ 63 (Đường Bình Nhâm 61)</t>
  </si>
  <si>
    <t>Rạch Bà Học</t>
  </si>
  <si>
    <t>Thửa đất 99, tờ 63</t>
  </si>
  <si>
    <t>Rạch Cách mạng Tháng Tám</t>
  </si>
  <si>
    <t>Thửa đất 172, tờ 59</t>
  </si>
  <si>
    <t>&gt; 10</t>
  </si>
  <si>
    <t>Thửa 1397, tờ 63 (Đường Bình Nhâm 73)</t>
  </si>
  <si>
    <t>Rạch Nhánh 02 rạch Cầu Lớn</t>
  </si>
  <si>
    <t>Thửa đất 150, tờ 63</t>
  </si>
  <si>
    <t>Hệ thống Suối Đờn</t>
  </si>
  <si>
    <t>Rạch Nhánh 03 rạch Cầu Lớn</t>
  </si>
  <si>
    <t>Thửa đất 40, tờ 63</t>
  </si>
  <si>
    <t>Rạch Nhánh 04 rạch Cầu Lớn</t>
  </si>
  <si>
    <t>Thửa đất 471, tờ 60</t>
  </si>
  <si>
    <t>Rạch Nhánh 05 rạch Cầu Lớn</t>
  </si>
  <si>
    <t>Thửa đất 588, tờ 60</t>
  </si>
  <si>
    <t>Rạch Nhánh 06 rạch Cầu Lớn</t>
  </si>
  <si>
    <t>Thửa đất 476, tờ 60</t>
  </si>
  <si>
    <t>Rạch Nhánh 07 rạch Cầu Lớn</t>
  </si>
  <si>
    <t>Đường Nguyễn Chí Thanh</t>
  </si>
  <si>
    <t>Rạch Nhánh 08 rạch Cầu Lớn</t>
  </si>
  <si>
    <t>Thửa đất 795, tờ 60</t>
  </si>
  <si>
    <t>Rạch Nhánh 09 rạch Cầu Lớn</t>
  </si>
  <si>
    <t>Thửa 405, tờ 60 (Quán Cầu Lớn)</t>
  </si>
  <si>
    <t>Rạch Ba Xanh</t>
  </si>
  <si>
    <t>Rạch Ông Tam</t>
  </si>
  <si>
    <t>Rạch Tư Tân</t>
  </si>
  <si>
    <t>Rạch Cây Dầu</t>
  </si>
  <si>
    <t>Thửa đất 564, tờ 62</t>
  </si>
  <si>
    <t>Rạch Năm Khiêm</t>
  </si>
  <si>
    <t>Thửa đất 324, tờ 62</t>
  </si>
  <si>
    <t>Rạch Bà Đệ</t>
  </si>
  <si>
    <t>Rạch Bà Chiểu</t>
  </si>
  <si>
    <t>Rạch Sáu Dện</t>
  </si>
  <si>
    <t>Thửa 1133, tờ 62</t>
  </si>
  <si>
    <t>Thửa 769, tờ 62</t>
  </si>
  <si>
    <t>Rạch Nhánh Bà Chiểu</t>
  </si>
  <si>
    <t>Thửa 395, tờ 62 (Cuối đường BN 04)</t>
  </si>
  <si>
    <t>Rạch Bà Năm</t>
  </si>
  <si>
    <t>Thửa 425, tờ 62</t>
  </si>
  <si>
    <t>Thửa 506, tờ 62</t>
  </si>
  <si>
    <t>Rạch Cầu Bà Cả</t>
  </si>
  <si>
    <t>Đường BN 03 (Thửa 613, tờ 65)</t>
  </si>
  <si>
    <t>Rạch Bảy Cúc</t>
  </si>
  <si>
    <t>Đường Nguyễn Văn Lộng (Khu U&amp;I)</t>
  </si>
  <si>
    <t>Rạch Bà Đơn</t>
  </si>
  <si>
    <t>Đường Cách mạng Tháng Tám</t>
  </si>
  <si>
    <t>&gt; 20</t>
  </si>
  <si>
    <t>Rạch Hai Thế</t>
  </si>
  <si>
    <t>Đường BN 90 (Thửa 250, tờ 65)</t>
  </si>
  <si>
    <t>Thửa 331, tờ 65 (Nông trại Tree)</t>
  </si>
  <si>
    <t>Rạch Ông Môn</t>
  </si>
  <si>
    <t>Thửa 1641, tờ 65 (Bình Nhâm 90)</t>
  </si>
  <si>
    <t>Rạch Nhánh 1 Bình Nhâm</t>
  </si>
  <si>
    <t>Thửa 89, tờ 65</t>
  </si>
  <si>
    <t>Đường Phan Thanh Giản</t>
  </si>
  <si>
    <t>Rạch Bà Út Sử</t>
  </si>
  <si>
    <t>Thửa 30, tờ 20 (Đường Lái Thiêu 70)</t>
  </si>
  <si>
    <t>Rạch Bà Sáu Tuyết</t>
  </si>
  <si>
    <t>Thửa 125, tờ 20</t>
  </si>
  <si>
    <t>Rạch Cầu Đình</t>
  </si>
  <si>
    <t>Thửa 264, tờ 27 (Đường Lái Thiêu 70)</t>
  </si>
  <si>
    <t>Rạch Ngọc Chiếu Đàn</t>
  </si>
  <si>
    <t>Rạch Lò Khạp</t>
  </si>
  <si>
    <t>Thửa 172, tờ 81 (Đường Lái Thiêu 87)</t>
  </si>
  <si>
    <t>Rạch Bảy Cua</t>
  </si>
  <si>
    <t>Thửa 45, tờ 45 (Đường Lái Thiêu 79)</t>
  </si>
  <si>
    <t>Rạch Đình Phú Long</t>
  </si>
  <si>
    <t>Thửa 1027, tờ 78</t>
  </si>
  <si>
    <t>Rạch Xã Hào + Nhánh</t>
  </si>
  <si>
    <t>Rạch Tám Khòm</t>
  </si>
  <si>
    <t>Thửa 61, tờ 83</t>
  </si>
  <si>
    <t>Rạch Lò Búng</t>
  </si>
  <si>
    <t>Rạch Cầu Móng Chùa</t>
  </si>
  <si>
    <t>Rạch Tư Tiến</t>
  </si>
  <si>
    <t>Rạch Chủ Dậu</t>
  </si>
  <si>
    <t>Thửa 979, tờ 87</t>
  </si>
  <si>
    <t>Rạch Giáo Chi</t>
  </si>
  <si>
    <t>Thửa 54, tờ 86</t>
  </si>
  <si>
    <t>Đường Vĩnh Phú 41</t>
  </si>
  <si>
    <t>Rạch Bà Phụ</t>
  </si>
  <si>
    <t>Thửa 430, tờ 88</t>
  </si>
  <si>
    <t>Rạch Nhánh Cầu Miễu</t>
  </si>
  <si>
    <t>Rạch Ủ Chú Tình</t>
  </si>
  <si>
    <t>Công ty Tân Hiệp Phát</t>
  </si>
  <si>
    <t>Đường Vĩnh Phú 42</t>
  </si>
  <si>
    <t>Rạch Sáu Dần</t>
  </si>
  <si>
    <t>Thửa 657, tờ 90</t>
  </si>
  <si>
    <t>Rạch Bảy Đực</t>
  </si>
  <si>
    <t>Thửa đất 87, tờ 89</t>
  </si>
  <si>
    <t>Thửa 153, tờ 90</t>
  </si>
  <si>
    <t>Rạch Năm Chiêm</t>
  </si>
  <si>
    <t>Thửa 170, tờ 90</t>
  </si>
  <si>
    <t>Rạch Chú Tình</t>
  </si>
  <si>
    <t>Thửa 14, tờ 95 (Đường Vĩnh Phú 38A)</t>
  </si>
  <si>
    <t>Rạch Tám Đàn</t>
  </si>
  <si>
    <t>Thửa 187, tờ 95</t>
  </si>
  <si>
    <t>Rạch Đình + Nhánh</t>
  </si>
  <si>
    <t>Thửa đất 611, tờ 96 (Đường Vĩnh Phú 37)</t>
  </si>
  <si>
    <t>Rạch Vàm Bà Thả + Nhánh</t>
  </si>
  <si>
    <t>UBND phường Lái Thiêu</t>
  </si>
  <si>
    <t>5-40</t>
  </si>
  <si>
    <t>6-30</t>
  </si>
  <si>
    <t xml:space="preserve">Rạch Mương Chuối, khu phố 6, phường Thới Hòa. </t>
  </si>
  <si>
    <t>Phường Thới Hòa</t>
  </si>
  <si>
    <t>Đất ông Nguyễn Bá Mỹ</t>
  </si>
  <si>
    <t xml:space="preserve">Rạch Mương Chuối Cụt, khu phố 6, phường Thới Hòa. </t>
  </si>
  <si>
    <t>Giáp đường giao thông (Ranh KDC MP1 - Bà Nguyễn Thị Hồng Phượng)</t>
  </si>
  <si>
    <t xml:space="preserve">Rạch Bến , khu phố 6, phường Thới Hòa. </t>
  </si>
  <si>
    <t>Đất ông Phan Văn Em</t>
  </si>
  <si>
    <t xml:space="preserve">Kênh Cống Hố Cá , khu phố 6, phường Thới Hòa. </t>
  </si>
  <si>
    <t>Quốc lộ 13 (Đất Ông Tư Dưỡng)</t>
  </si>
  <si>
    <t>Vàm Bến Trắc</t>
  </si>
  <si>
    <t xml:space="preserve">Rạch Đập Bẻ , khu phố 5, phường Thới Hòa. </t>
  </si>
  <si>
    <t>Giáp KDC Thới Hòa (Quán Thanh Hải)</t>
  </si>
  <si>
    <t xml:space="preserve">Rạch Kè, khu phố 5, phường Thới Hòa. </t>
  </si>
  <si>
    <t>Giáp KDC Thới Hòa (Nhà ông 3 Thành)</t>
  </si>
  <si>
    <t xml:space="preserve">Rạch Cầu Mắm , khu phố 5, phường Thới Hòa. </t>
  </si>
  <si>
    <t xml:space="preserve">Rạch Cá He, khu phố 5, phường Thới Hòa. </t>
  </si>
  <si>
    <t>Thửa 944, tờ bản đồ 46</t>
  </si>
  <si>
    <t>Mương Hố Lớn, khu phố 4, phường Thới Hòa</t>
  </si>
  <si>
    <t>Đường ĐH603</t>
  </si>
  <si>
    <t>KDC Thới Hòa</t>
  </si>
  <si>
    <t>Rạch Cây Mít</t>
  </si>
  <si>
    <t>Rạch Thầy Khoa</t>
  </si>
  <si>
    <t>Kênh Cầu Tây</t>
  </si>
  <si>
    <t xml:space="preserve">Rạch Bến Trắc </t>
  </si>
  <si>
    <t>Từ đường DE2</t>
  </si>
  <si>
    <t>Bờ Đập Sáu Xoài</t>
  </si>
  <si>
    <t>Từ đường DE3</t>
  </si>
  <si>
    <t>Từ hồ nước Mỹ Phước 4 Sau cty KOMHO</t>
  </si>
  <si>
    <t>Rạch Bến Trắc</t>
  </si>
  <si>
    <t>Từ Giáp Rạch Bến Trắc</t>
  </si>
  <si>
    <t>UBND Phường Thới Hòa</t>
  </si>
  <si>
    <t>Phường Gò Vấp</t>
  </si>
  <si>
    <t>Suối Hàng Nù</t>
  </si>
  <si>
    <t>UBND xã Thanh An</t>
  </si>
  <si>
    <t>Ấp Đất Đỏ</t>
  </si>
  <si>
    <t>Ấp Cà Tong</t>
  </si>
  <si>
    <t>Giáp phường Tây Nam</t>
  </si>
  <si>
    <t>Đất ông Phạm Văn Phu</t>
  </si>
  <si>
    <t>Rạch Bắp</t>
  </si>
  <si>
    <t>ĐT.744</t>
  </si>
  <si>
    <t>Rạch Khe Long</t>
  </si>
  <si>
    <t>Khu đất Hoàng Hiệp</t>
  </si>
  <si>
    <t>Rạch Trung Quỳ</t>
  </si>
  <si>
    <t>Đất bà Nguyễn Thị Mười</t>
  </si>
  <si>
    <t>Rạch Nàng Hai</t>
  </si>
  <si>
    <t>Nhà bà Bảy Đành</t>
  </si>
  <si>
    <t>Mương Lung Vừng</t>
  </si>
  <si>
    <t>Ruộng ông Kháng</t>
  </si>
  <si>
    <t>Mương Bàu Năm Xe</t>
  </si>
  <si>
    <t>Ruộng ông 5 Tiến</t>
  </si>
  <si>
    <t>Suối Tre</t>
  </si>
  <si>
    <t>Vườn bơ Tám Thành</t>
  </si>
  <si>
    <t>Giáp ấp Đường Long</t>
  </si>
  <si>
    <t>Nhánh Suối Tre</t>
  </si>
  <si>
    <t>Đường ĐH 720</t>
  </si>
  <si>
    <t>Bàu Cà Tong</t>
  </si>
  <si>
    <t>Nhánh Suối Độn</t>
  </si>
  <si>
    <t>Đầu lô 29, NTCS Đoàn Văn Tiến (ấp Đồng Trai)</t>
  </si>
  <si>
    <t>Giáp xã Dầu Tiếng</t>
  </si>
  <si>
    <t>Suối Cụt</t>
  </si>
  <si>
    <t>Lô 38, Đội sản xuất Đoàn Văn Tiến</t>
  </si>
  <si>
    <t>Suối Cầu Đỏ</t>
  </si>
  <si>
    <t>ĐT.750</t>
  </si>
  <si>
    <t>Suối Cầu Đen</t>
  </si>
  <si>
    <t>Suối Ba Gò</t>
  </si>
  <si>
    <t>Xã Bắc Tân Uyên</t>
  </si>
  <si>
    <t>UBND xã Bắc Tân Uyên</t>
  </si>
  <si>
    <t>Thửa 428, tờ 55</t>
  </si>
  <si>
    <t>Thửa 171, tờ 64</t>
  </si>
  <si>
    <t>Suối Bà Như</t>
  </si>
  <si>
    <t>Thửa 142, tờ 62</t>
  </si>
  <si>
    <t>Thửa 103, tờ 68</t>
  </si>
  <si>
    <t>Suối Bàu Nai</t>
  </si>
  <si>
    <t>Thửa 433, tờ 55</t>
  </si>
  <si>
    <t>Thửa 173, tờ 64</t>
  </si>
  <si>
    <t>Suối Đá Bàn</t>
  </si>
  <si>
    <t xml:space="preserve"> Xã Bắc Tân Uyên</t>
  </si>
  <si>
    <t>Thửa 59, tờ 36</t>
  </si>
  <si>
    <t>Thửa 330, tờ 27</t>
  </si>
  <si>
    <t>Suối Cá Trào</t>
  </si>
  <si>
    <t>Thửa 4, tờ 7</t>
  </si>
  <si>
    <t>Thửa 131, tờ 38</t>
  </si>
  <si>
    <t>Suối Đĩa</t>
  </si>
  <si>
    <t>Thửa 129, tờ 38</t>
  </si>
  <si>
    <t>Thửa 281, tờ 38</t>
  </si>
  <si>
    <t>Suối Lùng</t>
  </si>
  <si>
    <t>Thửa 153, tờ 34</t>
  </si>
  <si>
    <t>'Thửa 391, tờ 38</t>
  </si>
  <si>
    <t>Suối Bà Sáu Màu</t>
  </si>
  <si>
    <t>Thửa 16, tờ 37</t>
  </si>
  <si>
    <t>Thửa 128, tờ 37</t>
  </si>
  <si>
    <t>Sông Bé</t>
  </si>
  <si>
    <t>Suối Sâu</t>
  </si>
  <si>
    <t>Suối Cầu</t>
  </si>
  <si>
    <t>Đặc khu Côn Đảo</t>
  </si>
  <si>
    <t>Suối Bà Hạp</t>
  </si>
  <si>
    <t>Suối Lò Vôi</t>
  </si>
  <si>
    <t>Suối Đất Dốc</t>
  </si>
  <si>
    <t>Suối Ớt</t>
  </si>
  <si>
    <t>Suối Cỏ Ống</t>
  </si>
  <si>
    <t>Suối Đầm Trầu</t>
  </si>
  <si>
    <t>Tên hồ, đập</t>
  </si>
  <si>
    <t>Quy mô thiết kế</t>
  </si>
  <si>
    <t>Chiều cao đập chính (m)</t>
  </si>
  <si>
    <t>Chiều dài đập chính (m)</t>
  </si>
  <si>
    <t>Chiều rộng đập chính (m)</t>
  </si>
  <si>
    <r>
      <t>Lưu lượng xả tràn, xã lũ (m</t>
    </r>
    <r>
      <rPr>
        <b/>
        <vertAlign val="superscript"/>
        <sz val="12"/>
        <rFont val="Times New Roman"/>
        <family val="1"/>
      </rPr>
      <t>3</t>
    </r>
    <r>
      <rPr>
        <b/>
        <sz val="12"/>
        <rFont val="Times New Roman"/>
        <family val="1"/>
      </rPr>
      <t>/s)</t>
    </r>
  </si>
  <si>
    <t>Loại công trình</t>
  </si>
  <si>
    <t>Hồ</t>
  </si>
  <si>
    <t>Hồ An Hải</t>
  </si>
  <si>
    <t>Hồ Quang Trung I</t>
  </si>
  <si>
    <t>Hồ Suối Ớt</t>
  </si>
  <si>
    <t>Hồ Đất Dốc</t>
  </si>
  <si>
    <t>Hồ Lò Vôi</t>
  </si>
  <si>
    <t>Suối Lê</t>
  </si>
  <si>
    <t>Xã Bàu Lâm</t>
  </si>
  <si>
    <t>Ủy ban nhân dân xã Bàu Lâm</t>
  </si>
  <si>
    <t>460943,43;1184437,91</t>
  </si>
  <si>
    <t>458042,00;1185102,96</t>
  </si>
  <si>
    <t>Suối Lùng Tung</t>
  </si>
  <si>
    <t>460242,52;1182758,24</t>
  </si>
  <si>
    <t>459002,17;1181507,30</t>
  </si>
  <si>
    <t>Suối Le</t>
  </si>
  <si>
    <t>461626,86;1182904,94</t>
  </si>
  <si>
    <t>462727,04;1180930,24</t>
  </si>
  <si>
    <t>Suối Xa Ác</t>
  </si>
  <si>
    <t>465408,92;1186580,60</t>
  </si>
  <si>
    <t>459381,94;1187921,46</t>
  </si>
  <si>
    <t>Rạch Rạng</t>
  </si>
  <si>
    <t>Phường Phú Mỹ</t>
  </si>
  <si>
    <t>Ủy ban nhân dân phường Phú Mỹ</t>
  </si>
  <si>
    <t>418016.94;1176063.76</t>
  </si>
  <si>
    <t>418504.0;1175049.63</t>
  </si>
  <si>
    <t>Tắc Cá Trủng</t>
  </si>
  <si>
    <t>419456.34;1175582.02</t>
  </si>
  <si>
    <t>418621.0;1174083.51</t>
  </si>
  <si>
    <t>421425.94;1174094.76</t>
  </si>
  <si>
    <t>419258.10;1173346.27</t>
  </si>
  <si>
    <t>Suối Thị Vải</t>
  </si>
  <si>
    <t>427631.65;1178172.47</t>
  </si>
  <si>
    <t>Suối Sao</t>
  </si>
  <si>
    <t>428816.17;1171179.69</t>
  </si>
  <si>
    <t>421425.00;1174094.00</t>
  </si>
  <si>
    <t>Rạch Bàn Thạch</t>
  </si>
  <si>
    <t>Phường Tân Phước</t>
  </si>
  <si>
    <t>Ủy ban nhân dân phường Tân Phước</t>
  </si>
  <si>
    <t>420786.06;1170081.68</t>
  </si>
  <si>
    <t>420622.19;1166321.54</t>
  </si>
  <si>
    <t>Rạch Chàm</t>
  </si>
  <si>
    <t>422992.22;1169695.82</t>
  </si>
  <si>
    <t>421478.62;1169237.10</t>
  </si>
  <si>
    <t>Rạch Đông</t>
  </si>
  <si>
    <t>422551.27;1168536.74</t>
  </si>
  <si>
    <t>421216.32;1168277.86</t>
  </si>
  <si>
    <t>Rạch Ông Trịnh</t>
  </si>
  <si>
    <t>423421.49;1167116.16</t>
  </si>
  <si>
    <t>421038.29;1166402.50</t>
  </si>
  <si>
    <t>Suối Ba Sình</t>
  </si>
  <si>
    <t>427556.64;1170247.94</t>
  </si>
  <si>
    <t>Suối Xá Ác</t>
  </si>
  <si>
    <t>469465.36;1189020.83</t>
  </si>
  <si>
    <t>459362.88;1187893.33</t>
  </si>
  <si>
    <t>461563.74;1184206.67</t>
  </si>
  <si>
    <t>457132.33;1185502.84</t>
  </si>
  <si>
    <t>Suối Tầm Bong</t>
  </si>
  <si>
    <t>459027.70;1183137.39</t>
  </si>
  <si>
    <t>456974.69;1180615.04</t>
  </si>
  <si>
    <t>Suối Nùng Tung</t>
  </si>
  <si>
    <t>460398.16;1182907.94</t>
  </si>
  <si>
    <t>459308.59;1181668.98</t>
  </si>
  <si>
    <t>Suối Khỉ</t>
  </si>
  <si>
    <t>Xã Xuân Sơn</t>
  </si>
  <si>
    <t>Ủy ban nhân dân xã Xuân Sơn</t>
  </si>
  <si>
    <t>454770.89;1174707.14</t>
  </si>
  <si>
    <t>456259.96;1173643.52</t>
  </si>
  <si>
    <t>Suối Tà Lung</t>
  </si>
  <si>
    <t>453107.45;1170108.77</t>
  </si>
  <si>
    <t>455747.04;1168632.26</t>
  </si>
  <si>
    <t>Suối Giàu</t>
  </si>
  <si>
    <t>450303.72;1176313.69</t>
  </si>
  <si>
    <t>Suối La</t>
  </si>
  <si>
    <t>Xã Nghĩa Thành</t>
  </si>
  <si>
    <t>Ủy ban nhân dân xã Nghĩa Thành</t>
  </si>
  <si>
    <t>447011.05;1171866.00</t>
  </si>
  <si>
    <t>449835.74;1168616.73</t>
  </si>
  <si>
    <t>Suối Cạn</t>
  </si>
  <si>
    <t>447868.75;1171246.17</t>
  </si>
  <si>
    <t>447914.00;1169714.00</t>
  </si>
  <si>
    <t>Sông Đăng</t>
  </si>
  <si>
    <t>Xã Đất Đỏ</t>
  </si>
  <si>
    <t>Ủy ban nhân dân xã Đất Đỏ</t>
  </si>
  <si>
    <t>458822.39;1160814.35</t>
  </si>
  <si>
    <t>456611.20;1166692.88</t>
  </si>
  <si>
    <t>457052.53;1161765.74</t>
  </si>
  <si>
    <t>457152.77;1166151.63</t>
  </si>
  <si>
    <t>457937.68;1164134.88</t>
  </si>
  <si>
    <t>Sông Bờ Đập</t>
  </si>
  <si>
    <t>Xã Phước Hải</t>
  </si>
  <si>
    <t>Ủy ban nhân dân xã Phước Hải</t>
  </si>
  <si>
    <t>451580.93;1157383.74</t>
  </si>
  <si>
    <t>456374.20;1157385.46</t>
  </si>
  <si>
    <t>Suối Bà Nghè</t>
  </si>
  <si>
    <t>440933.90;1162854.79</t>
  </si>
  <si>
    <t>443984.17;1159828.79</t>
  </si>
  <si>
    <t>Suối Mả Trốc</t>
  </si>
  <si>
    <t>449879.25;1161924.12</t>
  </si>
  <si>
    <t>452665.41;1160403.01</t>
  </si>
  <si>
    <t>Suối Cầu 3</t>
  </si>
  <si>
    <t>Xã Hòa Hội</t>
  </si>
  <si>
    <t>Ủy ban nhân dân xã Hòa Hội</t>
  </si>
  <si>
    <t>466637.10;1178334.67</t>
  </si>
  <si>
    <t>469991.00;1177889.00</t>
  </si>
  <si>
    <t>460378.94;1179315.32</t>
  </si>
  <si>
    <t>463866.68;1177295.86</t>
  </si>
  <si>
    <t>Suối Chua</t>
  </si>
  <si>
    <t>460965.95;1176567.94</t>
  </si>
  <si>
    <t>464401.05;1171400.97</t>
  </si>
  <si>
    <t>Suối Ly</t>
  </si>
  <si>
    <t>459273.39;1176320.30</t>
  </si>
  <si>
    <t>462379.41;1172173.29</t>
  </si>
  <si>
    <t>Suối Gấu</t>
  </si>
  <si>
    <t>461922.23;1175976.23</t>
  </si>
  <si>
    <t>464125.00;1172328.00</t>
  </si>
  <si>
    <t>Suối Đôn</t>
  </si>
  <si>
    <t>Xã Xuyên Mộc</t>
  </si>
  <si>
    <t>Ủy ban nhân dân xã Xuyên Mộc</t>
  </si>
  <si>
    <t>461983.63;1170148.71</t>
  </si>
  <si>
    <t>464638.79;1170850.55</t>
  </si>
  <si>
    <t>468829.21;1164829.71</t>
  </si>
  <si>
    <t>466085.13;1166781.54</t>
  </si>
  <si>
    <t>Suối Bang</t>
  </si>
  <si>
    <t>Xã Bình Châu</t>
  </si>
  <si>
    <t>Ủy ban nhân dân xã Bình Châu</t>
  </si>
  <si>
    <t>471458.44;1189410.25</t>
  </si>
  <si>
    <t>479833.04;1174041.38</t>
  </si>
  <si>
    <t>Suối Đầm La</t>
  </si>
  <si>
    <t>Ủy ban nhân dân xã Hòa Hiệp</t>
  </si>
  <si>
    <t>469594.75;1184274.76</t>
  </si>
  <si>
    <t>476062.50;1 177156.52</t>
  </si>
  <si>
    <t>Suối Các</t>
  </si>
  <si>
    <t>472865.44;1184822.78</t>
  </si>
  <si>
    <t>473172.69;1183114.25</t>
  </si>
  <si>
    <t>472754.83;1173395.72</t>
  </si>
  <si>
    <t>479805.58;1168622.34</t>
  </si>
  <si>
    <t>Suối Lu Hủ</t>
  </si>
  <si>
    <t>473635.14;1173026.88</t>
  </si>
  <si>
    <t>473668.72;1170335.34</t>
  </si>
  <si>
    <t>Suối nước nóng</t>
  </si>
  <si>
    <t>477770.89;1173691.67</t>
  </si>
  <si>
    <t>479134.76;1169383.95</t>
  </si>
  <si>
    <t>Sông Lô</t>
  </si>
  <si>
    <t>478234.94;1167442.44</t>
  </si>
  <si>
    <t>479709.63;1168873.54</t>
  </si>
  <si>
    <t>Suối Cơm</t>
  </si>
  <si>
    <t>Xã Kim Long</t>
  </si>
  <si>
    <t>Ủy ban nhân dân xã Kim Long</t>
  </si>
  <si>
    <t>438383.03;1178230.12</t>
  </si>
  <si>
    <t>437322.89;1175644.58</t>
  </si>
  <si>
    <t>Suối Chích</t>
  </si>
  <si>
    <t>441931.84;1181433.51</t>
  </si>
  <si>
    <t>435686.20;1176677.80</t>
  </si>
  <si>
    <t>Suối Giao Kèo</t>
  </si>
  <si>
    <t>Xã Châu Pha</t>
  </si>
  <si>
    <t>Ủy ban nhân dân xã Châu Pha</t>
  </si>
  <si>
    <t>429983.90;1168072.22</t>
  </si>
  <si>
    <t>434726.12;1170205.17</t>
  </si>
  <si>
    <t>Sông Cây Khế</t>
  </si>
  <si>
    <t>Phường Phước Thắng</t>
  </si>
  <si>
    <t>Ủy ban nhân dân phường Phước Thắng</t>
  </si>
  <si>
    <t>434071.24;1154134.59</t>
  </si>
  <si>
    <t>438235.81;1153335.30</t>
  </si>
  <si>
    <t>Sông Gò Găng</t>
  </si>
  <si>
    <t>Xã Long Sơn</t>
  </si>
  <si>
    <t>Ủy ban nhân dân xã Long Sơn</t>
  </si>
  <si>
    <t>430498.56;1152720.64</t>
  </si>
  <si>
    <t>433230.90;1152125.10</t>
  </si>
  <si>
    <t>Sông Rạch Hào</t>
  </si>
  <si>
    <t>Phường Bà Rịa</t>
  </si>
  <si>
    <t>Ủy ban nhân dân phường Bà Rịa</t>
  </si>
  <si>
    <t>437547.21;1159479.64</t>
  </si>
  <si>
    <t>437085.74;1157993.55</t>
  </si>
  <si>
    <t>Sông Thủ Lựu</t>
  </si>
  <si>
    <t>438471.30;1160661.18</t>
  </si>
  <si>
    <t>438529.66;1157792.08</t>
  </si>
  <si>
    <t>Sông Bến Điệp</t>
  </si>
  <si>
    <t>424235.47;1155773.53</t>
  </si>
  <si>
    <t>427323.24;1153660.74</t>
  </si>
  <si>
    <t>Rạch Bến Gỗ</t>
  </si>
  <si>
    <t>426285.98;1154232.19</t>
  </si>
  <si>
    <t>427919.22;1153932.32</t>
  </si>
  <si>
    <t>Rạch Cồn Bần</t>
  </si>
  <si>
    <t>428380.41;1156219.73</t>
  </si>
  <si>
    <t>430777.34;1156941.10</t>
  </si>
  <si>
    <t>Ngọn Hội Bài</t>
  </si>
  <si>
    <t>420521.19;1160963.19</t>
  </si>
  <si>
    <t>420881.57;1158260.71</t>
  </si>
  <si>
    <t>Sông Cá Cóc</t>
  </si>
  <si>
    <t>423266.90;1167905.98</t>
  </si>
  <si>
    <t>422287.54;1157972.29</t>
  </si>
  <si>
    <t>Ngọn Như Giữa</t>
  </si>
  <si>
    <t>421781.42;116752.4</t>
  </si>
  <si>
    <t>422754.49;1159638.00</t>
  </si>
  <si>
    <t>Ngọn Như Đầu</t>
  </si>
  <si>
    <t>423103.80;116505.12</t>
  </si>
  <si>
    <t>423128.75;1159924.92</t>
  </si>
  <si>
    <t>Sông Xóm Mới</t>
  </si>
  <si>
    <t>Phường Tân Hải</t>
  </si>
  <si>
    <t>Ủy ban nhân dân phường Tân Hải</t>
  </si>
  <si>
    <t>424093.628;1161142.28</t>
  </si>
  <si>
    <t>427442.911;1159262.71</t>
  </si>
  <si>
    <t>Ngọn Ông Mén</t>
  </si>
  <si>
    <t>426296.65;1160322.084</t>
  </si>
  <si>
    <t>427554.95;1159697.99</t>
  </si>
  <si>
    <t>Sông Lạch Ván</t>
  </si>
  <si>
    <t>428986.506;1160620.45</t>
  </si>
  <si>
    <t>429463.639;1158703.41</t>
  </si>
  <si>
    <t>Sông Long Hoà</t>
  </si>
  <si>
    <t>Phường Long Hương</t>
  </si>
  <si>
    <t>Ủy ban nhân dân phường Long Hương</t>
  </si>
  <si>
    <t>430257.366;1160712.50</t>
  </si>
  <si>
    <t>430042.761;1158647.96</t>
  </si>
  <si>
    <t>Tắc So Đũa</t>
  </si>
  <si>
    <t>423285.104;1159840.06</t>
  </si>
  <si>
    <t>424753.784;1159052.43</t>
  </si>
  <si>
    <t>Ngọn Du Thuyền</t>
  </si>
  <si>
    <t>426024.545;1161657.58</t>
  </si>
  <si>
    <t>423815.861;1159737.80</t>
  </si>
  <si>
    <t>Tắc Hào</t>
  </si>
  <si>
    <t>425098.28;1159627.28</t>
  </si>
  <si>
    <t>424612.01;1160174.19</t>
  </si>
  <si>
    <t xml:space="preserve">Đặc khu Côn Đảo </t>
  </si>
  <si>
    <t>Ủy ban nhân dân xã</t>
  </si>
  <si>
    <t>373614.19;963061.60</t>
  </si>
  <si>
    <t>373177.98;959627.23</t>
  </si>
  <si>
    <t>375127.33;963471.82</t>
  </si>
  <si>
    <t>375822.37;961403.87</t>
  </si>
  <si>
    <t>Ủy ban nhân dân đặc khu Côn Đảo</t>
  </si>
  <si>
    <t>375453.67;963476.53</t>
  </si>
  <si>
    <t>376909.46;962311.22</t>
  </si>
  <si>
    <t>375946.77;963638.33</t>
  </si>
  <si>
    <t>377432.68;963654.51</t>
  </si>
  <si>
    <t>678940.09;963623.12</t>
  </si>
  <si>
    <t>679010.39;965483.09</t>
  </si>
  <si>
    <t>375113.95;963590.99</t>
  </si>
  <si>
    <t>375387.26;965476.21</t>
  </si>
  <si>
    <t>Suối 1</t>
  </si>
  <si>
    <t>471422.6099;1169695.3770</t>
  </si>
  <si>
    <t>472581.9276;1168784.5491</t>
  </si>
  <si>
    <t>Suối 2</t>
  </si>
  <si>
    <t>471185.5285;1167959.8195</t>
  </si>
  <si>
    <t>472581.9276;1168784,5491</t>
  </si>
  <si>
    <t>Suối Bà Bầu</t>
  </si>
  <si>
    <t>473823.0605;1168571.3585</t>
  </si>
  <si>
    <t>471886.2892;1171502.4815</t>
  </si>
  <si>
    <t>473029.2175;117139.9958</t>
  </si>
  <si>
    <t>Hồ Nhà Bè</t>
  </si>
  <si>
    <t>Phường Tân Thành</t>
  </si>
  <si>
    <t>Ủy ban nhân dân phường Tân Thành</t>
  </si>
  <si>
    <t>Hồ nhỏ</t>
  </si>
  <si>
    <t>Hồ Suối Đá</t>
  </si>
  <si>
    <t>Hồ vừa</t>
  </si>
  <si>
    <t>Hồ Hải Sơn</t>
  </si>
  <si>
    <t>Đập</t>
  </si>
  <si>
    <t>Đập dâng suối Cầu 4</t>
  </si>
  <si>
    <t>Đập dâng suối Cầu 5</t>
  </si>
  <si>
    <t>Đập dâng suối Cầu 6</t>
  </si>
  <si>
    <t>Đập dâng suối Bang</t>
  </si>
  <si>
    <t>Đập dâng suối Xa ác 1</t>
  </si>
  <si>
    <t>Đập dâng suối Xa ác 2</t>
  </si>
  <si>
    <t>Đập dâng suối Xa ác 3</t>
  </si>
  <si>
    <t>Đập dâng suối Xa ác 4</t>
  </si>
  <si>
    <t>Đập dâng suối Xa ác 5</t>
  </si>
  <si>
    <t>Đập dâng trên Kênh T1 (vi trí T1-3)</t>
  </si>
  <si>
    <t>Đập dâng trên Kênh T1 (vi trí T1-4)</t>
  </si>
  <si>
    <t>Đập dâng Tân Trung</t>
  </si>
  <si>
    <t>Đập dâng Tân Long</t>
  </si>
  <si>
    <t>Đập dâng Tân Lễ A</t>
  </si>
  <si>
    <t>Đập dâng Tân Lễ B</t>
  </si>
  <si>
    <t>Đập dâng suối Đá 1</t>
  </si>
  <si>
    <t>Đập dâng suối Đá 2</t>
  </si>
  <si>
    <t>Đập 6 cửa</t>
  </si>
  <si>
    <t>Đập Ông Tĩnh</t>
  </si>
  <si>
    <t>Đập Tây Phương</t>
  </si>
  <si>
    <t>Đập Rạch Chanh 1</t>
  </si>
  <si>
    <t>Đập Rạch Chanh 2</t>
  </si>
  <si>
    <t>Đập Giao Kèo</t>
  </si>
  <si>
    <t>Đập Tầm Phục</t>
  </si>
  <si>
    <t>Đập Mù U</t>
  </si>
  <si>
    <t>Đập Suối Lội</t>
  </si>
  <si>
    <t>Đập Tập Đoàn 4</t>
  </si>
  <si>
    <t>Đập Gia Hốp 1</t>
  </si>
  <si>
    <t>Xã Châu Đức</t>
  </si>
  <si>
    <t>Ủy ban nhân dân xã Châu Đức</t>
  </si>
  <si>
    <t xml:space="preserve">Đập H21 </t>
  </si>
  <si>
    <t>Đập Chà Răng</t>
  </si>
  <si>
    <t>Đập Suối Chích</t>
  </si>
  <si>
    <t>Đập Suối Đá 1</t>
  </si>
  <si>
    <t>Đập Suối Đá 2</t>
  </si>
  <si>
    <t>Đập Suối Đá 3</t>
  </si>
  <si>
    <t>Đập Suối Đá 4</t>
  </si>
  <si>
    <t>Đập Thôn 3</t>
  </si>
  <si>
    <t>Ủy ban nhân dân xã Suối Rao</t>
  </si>
  <si>
    <t>Địa điểm (phường -xã)</t>
  </si>
  <si>
    <r>
      <t>Dung tích toàn bộ (triệu m</t>
    </r>
    <r>
      <rPr>
        <b/>
        <vertAlign val="superscript"/>
        <sz val="13"/>
        <rFont val="Times New Roman"/>
        <family val="1"/>
      </rPr>
      <t>3</t>
    </r>
    <r>
      <rPr>
        <b/>
        <sz val="13"/>
        <rFont val="Times New Roman"/>
        <family val="1"/>
      </rPr>
      <t>)</t>
    </r>
  </si>
  <si>
    <r>
      <t>Lưu lượng xả tràn, xã lũ (m</t>
    </r>
    <r>
      <rPr>
        <b/>
        <vertAlign val="superscript"/>
        <sz val="13"/>
        <rFont val="Times New Roman"/>
        <family val="1"/>
      </rPr>
      <t>3</t>
    </r>
    <r>
      <rPr>
        <b/>
        <sz val="13"/>
        <rFont val="Times New Roman"/>
        <family val="1"/>
      </rPr>
      <t>/s)</t>
    </r>
  </si>
  <si>
    <t>Hồ Sông Ray</t>
  </si>
  <si>
    <t>Xã Xuân Sơn, xã Hòa Hội, xã Bàu Lâm, xã Sông Ray</t>
  </si>
  <si>
    <t>Hồ lớn</t>
  </si>
  <si>
    <t>Hồ Đá Đen</t>
  </si>
  <si>
    <t>Xã Ngãi Giao, xã Kim Long, xã Châu Pha, Phường Tân Thành</t>
  </si>
  <si>
    <t>Hồ Suối Giàu</t>
  </si>
  <si>
    <t>Xã Xuân Sơn, xã Nghĩa Thành</t>
  </si>
  <si>
    <t>Hồ Đá Bàng</t>
  </si>
  <si>
    <t>Xã Nghĩa Thành, xã Đất Đỏ</t>
  </si>
  <si>
    <t>Hồ Tầm Bó</t>
  </si>
  <si>
    <t>Xã Kim Long, xã Bình Giã</t>
  </si>
  <si>
    <t>Hồ Lồ Ồ</t>
  </si>
  <si>
    <t>Xã Xuân Sơn, xã Đất Đỏ</t>
  </si>
  <si>
    <t>Hồ Xuyên Mộc</t>
  </si>
  <si>
    <t>Hồ Suối Các</t>
  </si>
  <si>
    <t>Hồ Gia Hoét I</t>
  </si>
  <si>
    <t>Xã Bình Giã</t>
  </si>
  <si>
    <t>Hồ Châu Pha</t>
  </si>
  <si>
    <t>Xã Châu Pha, Phường Tân Thành</t>
  </si>
  <si>
    <t>Hồ Kim Long</t>
  </si>
  <si>
    <t>Hồ Sông Hỏa</t>
  </si>
  <si>
    <t>Xã Hòa Hội, xã Xuyên Mộc</t>
  </si>
  <si>
    <t>Hồ Bàu Úc</t>
  </si>
  <si>
    <t>Phường Tam Long</t>
  </si>
  <si>
    <t>Hồ Đá Bàn</t>
  </si>
  <si>
    <t>Hồ Cần Nôm</t>
  </si>
  <si>
    <t>Hồ Suối Đôi I</t>
  </si>
  <si>
    <t>Vừa</t>
  </si>
  <si>
    <t>Hồ Suối Môn</t>
  </si>
  <si>
    <t>Hồ Núi Nhan</t>
  </si>
  <si>
    <t>Xã Ngãi Giao, xã Kim Long</t>
  </si>
  <si>
    <t>Hồ Dốc Nhàn</t>
  </si>
  <si>
    <t>Xã Thường Tân</t>
  </si>
  <si>
    <t>Hồ Gia Hoét II</t>
  </si>
  <si>
    <t>Nhỏ</t>
  </si>
  <si>
    <t>Hồ Suối Sao</t>
  </si>
  <si>
    <t>Đập giữ nước khu vực núi Minh Đạm</t>
  </si>
  <si>
    <t>Hồ Từ Vân I</t>
  </si>
  <si>
    <t>Hồ Từ Vân II</t>
  </si>
  <si>
    <t>Hồ Quang Trung II</t>
  </si>
  <si>
    <t>Hồ Bút Thiền</t>
  </si>
  <si>
    <t>Hồ Sở Bông</t>
  </si>
  <si>
    <t>ĐẬP DÂNG</t>
  </si>
  <si>
    <t>Đập Sông Dinh I</t>
  </si>
  <si>
    <t>Đập dâng Sông Ray</t>
  </si>
  <si>
    <t>Đập Sông Xoài</t>
  </si>
  <si>
    <t>Đập Suối Sỏi</t>
  </si>
  <si>
    <t>Đập Sông Dinh II</t>
  </si>
  <si>
    <t>Đập Suối Nghệ</t>
  </si>
  <si>
    <t>Đập Phước An</t>
  </si>
  <si>
    <t>Đập dâng Cầu Mới</t>
  </si>
  <si>
    <t>Đập Ông Hựu</t>
  </si>
  <si>
    <t>Rạch Bà Kiên</t>
  </si>
  <si>
    <t>Thửa đất số 28, tờ bản đồ số 16</t>
  </si>
  <si>
    <t>Dông Đồng Nai, Thửa đất số 194 lở bản đồ số 15 và thửa đất số 20 tờ bản đồ đồ số 16</t>
  </si>
  <si>
    <t>867.9</t>
  </si>
  <si>
    <t>Rạch Tổng Bản</t>
  </si>
  <si>
    <t>Thửa đất số 64, 4013, tờ bản đồ số 5</t>
  </si>
  <si>
    <t>Sông Đồng Nai, Thửa đất số 281, tờ bản đồ số 10</t>
  </si>
  <si>
    <t>3715.8</t>
  </si>
  <si>
    <t>Rạch Cồ Miễu</t>
  </si>
  <si>
    <t>Thửa đất số 93, 96 tờ bản đồ số 8</t>
  </si>
  <si>
    <t>Suôi Cái, thửa đặt sô 551, 555 tờ bản đồ số 11</t>
  </si>
  <si>
    <t>2227.8</t>
  </si>
  <si>
    <t>Rạch Xóm Cống</t>
  </si>
  <si>
    <t>Thửa đất số 482, 483 tờ bản đồ số 7</t>
  </si>
  <si>
    <t>Sông Đông Nai, thửa đất số 12, 13 tờ bản đồ số 10</t>
  </si>
  <si>
    <t>369.1</t>
  </si>
  <si>
    <t>Thửa đất sô 147 tờ bản đồ sô 4</t>
  </si>
  <si>
    <t>Sông Đông Nai. Thửa đất số 46, tờ  bản đồ số 4</t>
  </si>
  <si>
    <t>327.2</t>
  </si>
  <si>
    <t>Rạch Ông Trí</t>
  </si>
  <si>
    <t>Giáp đường Thạnh Phước 20, thửa đất số 652, tờ bản đồ số 11</t>
  </si>
  <si>
    <t>Ngã ba rạch Bà Kiên, thử đất số 655, tờ bản đồ số 11</t>
  </si>
  <si>
    <t>Rạch Ông Gương</t>
  </si>
  <si>
    <t>Đồng Thạnh Hội 10, thửa đất số 672, tờ bản đồ số 5</t>
  </si>
  <si>
    <t>Sông Đồng Nai, thửa đất số 44, tờ bản đồ số 7</t>
  </si>
  <si>
    <t>Suối Hố Ngởi</t>
  </si>
  <si>
    <t>Thửa đất số 67, 70 tờ bản đồ số 20</t>
  </si>
  <si>
    <t>Suối Chợ, thửa đất số 418, 463 tờ bán đồ số 20</t>
  </si>
  <si>
    <t>Suối Hố Dài</t>
  </si>
  <si>
    <t>Thửa đất số 4, 5, tờ bản đồ số 25</t>
  </si>
  <si>
    <t>Suối Chợ, Thửa đất số 386, 389, tờ bản đồ số 25</t>
  </si>
  <si>
    <t>Thửa đất số 394, tờ bản đồ số 6</t>
  </si>
  <si>
    <t>Suối Cái, thửa đất số 210, tờ bản đồ số 8</t>
  </si>
  <si>
    <t>Nhánh Suối Con</t>
  </si>
  <si>
    <t>Thửa đất số 519, tờ bản đồ số 7</t>
  </si>
  <si>
    <t>Hố Bà Bườm khu phố Tân Hóa</t>
  </si>
  <si>
    <t>Suối Út Ruộng</t>
  </si>
  <si>
    <t>Khau tái định cư Tân Phước Khánh thửa đất số 212, 213, tờ bản đồ số 5</t>
  </si>
  <si>
    <t>Suối Chợ, thửa đất số 2, 5, tờ bản đồ số 1</t>
  </si>
  <si>
    <t>Suối Bưng Cù</t>
  </si>
  <si>
    <t>Thưa đất số 737, 738, tờ bản đồ số 16</t>
  </si>
  <si>
    <t>Thửa đất số 268, tờ bản đồ số 10</t>
  </si>
  <si>
    <t>Suối Hố Đá</t>
  </si>
  <si>
    <t>Khu tái định cư Thái Bình Dương, thửa đất số 390, 162 tờ bản đồ 10</t>
  </si>
  <si>
    <t>Thửa đất số 171, tờ bản đồ số 6</t>
  </si>
  <si>
    <t>Nhánh suối Bưng Cù</t>
  </si>
  <si>
    <t>Đường ĐT747B, thửa đất số 1054, tờ bản đồ số 16</t>
  </si>
  <si>
    <t>Thửa đất số 289, tờ bản đồ  số 16</t>
  </si>
  <si>
    <t>Suối Nước Đứng</t>
  </si>
  <si>
    <t>Giáp thửa đất số 52, 53, tờ bản đồ số 3</t>
  </si>
  <si>
    <t>Suối Cái, thửa đất số 113, 117, tờ bản đồ số 3</t>
  </si>
  <si>
    <t>Suối Cầu Xéo</t>
  </si>
  <si>
    <t>Giáp thửa đất số 372, 394, tờ bản đồ số 4</t>
  </si>
  <si>
    <t>Suối Chợ, thửa đất số 2, 144, tờ bản đồ số 4</t>
  </si>
  <si>
    <t>Thửa đất số 689, tờ bản đồ số 11</t>
  </si>
  <si>
    <t>Thửa đất sớ 116, tờ bản đồ số 11</t>
  </si>
  <si>
    <t>3-21</t>
  </si>
  <si>
    <t>3-9</t>
  </si>
  <si>
    <t>4-41</t>
  </si>
  <si>
    <t>1,5-4</t>
  </si>
  <si>
    <t>Suối Ông Thủ</t>
  </si>
  <si>
    <t>Thửa 131, tờ bản đồ 19</t>
  </si>
  <si>
    <t>Thửa 77, tờ bản đồ 5</t>
  </si>
  <si>
    <t>Thửa 9, tờ bản đồ 11</t>
  </si>
  <si>
    <t>Suối Ngang</t>
  </si>
  <si>
    <t>Thửa 122, tờ bản đồ 39</t>
  </si>
  <si>
    <t>Suối Trại Cưa</t>
  </si>
  <si>
    <t>Thửa 584, tờ bản đồ 48</t>
  </si>
  <si>
    <t>Thửa 27, tờ bản đồ 57</t>
  </si>
  <si>
    <t>Suối Bình Cơ</t>
  </si>
  <si>
    <t>Thửa 86, tờ bản đồ 71</t>
  </si>
  <si>
    <t>Thửa 4, tờ bản đồ 77</t>
  </si>
  <si>
    <t>Thửa 715, tờ bản đồ 79</t>
  </si>
  <si>
    <t>Thửa 99, tờ bản đồ 87</t>
  </si>
  <si>
    <t>4-30</t>
  </si>
  <si>
    <t>Phường Bình Cơ</t>
  </si>
  <si>
    <t>Bờ bao 075</t>
  </si>
  <si>
    <t>Phường An Tây</t>
  </si>
  <si>
    <t>Rạch Xẻo Tiêu</t>
  </si>
  <si>
    <t>Ông Tô Thanh Thiên</t>
  </si>
  <si>
    <t>Rạch Bà Ngợi</t>
  </si>
  <si>
    <t>Ông Dũng</t>
  </si>
  <si>
    <t>Rạch Bà Lợi</t>
  </si>
  <si>
    <t>Ông 3 Thiên</t>
  </si>
  <si>
    <t>Rạch Săng Máu</t>
  </si>
  <si>
    <t>Ông Thọ</t>
  </si>
  <si>
    <t>Kênh Ngang</t>
  </si>
  <si>
    <t>Kênh ngang</t>
  </si>
  <si>
    <t>Rạch Bà Duyên - nhánh Tây Minh</t>
  </si>
  <si>
    <t>Ông Khanh</t>
  </si>
  <si>
    <t>Rạch Bà Liệu</t>
  </si>
  <si>
    <t>Ông Sơn</t>
  </si>
  <si>
    <t>Rạch Ông Nhang</t>
  </si>
  <si>
    <t>Bà Hậu</t>
  </si>
  <si>
    <t>Rạch Ông Huấn</t>
  </si>
  <si>
    <t>Ao câu Nghĩa Thành</t>
  </si>
  <si>
    <t>Rạch Không Tên (ông Đụng)</t>
  </si>
  <si>
    <t>Đông Ông Huấn</t>
  </si>
  <si>
    <t>Bà Ý</t>
  </si>
  <si>
    <t>Rạch Suối Can</t>
  </si>
  <si>
    <t>Ông Nơi</t>
  </si>
  <si>
    <t>Rạch Mương Sao</t>
  </si>
  <si>
    <t>Bờ bao 034</t>
  </si>
  <si>
    <t>ĐT 744</t>
  </si>
  <si>
    <t>Rạch Ông Tàng</t>
  </si>
  <si>
    <t>Rạch Chòi Ngói</t>
  </si>
  <si>
    <t>Ông Hen</t>
  </si>
  <si>
    <t>Rạch Ủ Rủ</t>
  </si>
  <si>
    <t>Ông Nam</t>
  </si>
  <si>
    <t>Rạch Trảng</t>
  </si>
  <si>
    <t>Ông Đót</t>
  </si>
  <si>
    <t>Rạch Bà Khỏe</t>
  </si>
  <si>
    <t>Bờ bao 025</t>
  </si>
  <si>
    <t>Công ty OSCO</t>
  </si>
  <si>
    <t>Rạch Xẻo Cụt 1 (rạch Trầu)</t>
  </si>
  <si>
    <t>Ông 4</t>
  </si>
  <si>
    <t>Rạch Bà Giang</t>
  </si>
  <si>
    <t>Rạch Sẻo Cụt 2 (rạch cây Cóc)</t>
  </si>
  <si>
    <t>Ông Khuê</t>
  </si>
  <si>
    <t>Rạch Bò Cạp (Cá Hô)</t>
  </si>
  <si>
    <t>Út Em</t>
  </si>
  <si>
    <t>Rạch Văn</t>
  </si>
  <si>
    <t>Rạch Hết</t>
  </si>
  <si>
    <t>Rạch Cồn</t>
  </si>
  <si>
    <t>Ông 6 Hợp</t>
  </si>
  <si>
    <t>Rạch Trát (Xẻo phướng)</t>
  </si>
  <si>
    <t>Ông Mẫu</t>
  </si>
  <si>
    <t>Rạch Xẻo Cụt 3 (Nhà Vườn)</t>
  </si>
  <si>
    <t>Ông Dân</t>
  </si>
  <si>
    <t>Rạch Chạy</t>
  </si>
  <si>
    <t>Bà Xuân</t>
  </si>
  <si>
    <t>Rạch Ông Hiếu (rạch Nga)</t>
  </si>
  <si>
    <t>Ông Vũ Cám</t>
  </si>
  <si>
    <t>Rạch Chim Chim</t>
  </si>
  <si>
    <t>Ông Út Vinh</t>
  </si>
  <si>
    <t>Rạch Nhà (Xẻo Cụt)</t>
  </si>
  <si>
    <t>Ông 4 Lào</t>
  </si>
  <si>
    <t>Kênh T6 (nhánh rạch Bà Giang)</t>
  </si>
  <si>
    <t>PA 047</t>
  </si>
  <si>
    <t>Giáp đất dân</t>
  </si>
  <si>
    <t>Giáp rạch cầu Ván</t>
  </si>
  <si>
    <t>Rạch Ông Thiền</t>
  </si>
  <si>
    <t>Rạch Bến Chợ</t>
  </si>
  <si>
    <t>Đường ĐX 126</t>
  </si>
  <si>
    <t>Rạch Miễu (Cống 2)</t>
  </si>
  <si>
    <t>Giáp rạch cầu Tre</t>
  </si>
  <si>
    <t>Đê bao sông SG</t>
  </si>
  <si>
    <t>Rạch Bà Qua</t>
  </si>
  <si>
    <t>Rạch Ông Thành</t>
  </si>
  <si>
    <t>Giáp ĐX 137</t>
  </si>
  <si>
    <t>Giáp rạch Bà Bầu</t>
  </si>
  <si>
    <t>Rạch Lò Lu</t>
  </si>
  <si>
    <t>Vàm ông Màng</t>
  </si>
  <si>
    <t>Rạch Bà Bầu</t>
  </si>
  <si>
    <t>Rạch Ông Nhạn</t>
  </si>
  <si>
    <t>Rạch Lò đường (Út Đen)</t>
  </si>
  <si>
    <t>Đường DX 141</t>
  </si>
  <si>
    <t>Cống 1 bờ bao</t>
  </si>
  <si>
    <t>Rạch cầu Cao (Kênh T2)</t>
  </si>
  <si>
    <t>Rạch cầu Tre</t>
  </si>
  <si>
    <t>Giáp rạch Da</t>
  </si>
  <si>
    <t>Rạch cầu Quảng Thanh</t>
  </si>
  <si>
    <t>Rạch 3 Đúng</t>
  </si>
  <si>
    <t>Giáp rạch Bến Chợ</t>
  </si>
  <si>
    <t>Rạch Tre Tàu</t>
  </si>
  <si>
    <t>Giáp cầu Ngựa</t>
  </si>
  <si>
    <t>Rạch Mốc</t>
  </si>
  <si>
    <t>Rạch Đồng Dứa</t>
  </si>
  <si>
    <t>Rạch Lá Gạc</t>
  </si>
  <si>
    <t>Giáp rạch Tôm</t>
  </si>
  <si>
    <t>Giáp rạch Bình Điền</t>
  </si>
  <si>
    <t>Cống Bình Điền</t>
  </si>
  <si>
    <t>Rạch Bình Điền</t>
  </si>
  <si>
    <t>Rạch Bầu</t>
  </si>
  <si>
    <t>Giáp Suối Cạn &amp; DX124</t>
  </si>
  <si>
    <t>Giáp rạch Bầu</t>
  </si>
  <si>
    <t>Rạch Tàu</t>
  </si>
  <si>
    <t>Rạch Chà</t>
  </si>
  <si>
    <t>Giáp kênh T1</t>
  </si>
  <si>
    <t>Ngã ba Đèn Đỏ</t>
  </si>
  <si>
    <t>Ngã 3 rạch Bến Nghé</t>
  </si>
  <si>
    <t>Hạ lưu cầu Đồng Nai</t>
  </si>
  <si>
    <t>Ngã ba sông Soài Rạp - Lòng Tàu</t>
  </si>
  <si>
    <t>Cửa Biển</t>
  </si>
  <si>
    <t>Ngã ba sông Soài Rạp - sông Nhà Bè (Ngã 3 Bình Khánh)</t>
  </si>
  <si>
    <t>Sông Ngã Bảy</t>
  </si>
  <si>
    <t>Vịnh Gành Rái</t>
  </si>
  <si>
    <t>Sông Dừa  - Tắc Định Cậu - Rạch Tắc Rỗi</t>
  </si>
  <si>
    <t>Ngã ba sông Lòng Tàu</t>
  </si>
  <si>
    <t>Sông Đồng Tranh 1</t>
  </si>
  <si>
    <t xml:space="preserve"> Tắc Ông Cu - Tắc Bài</t>
  </si>
  <si>
    <t>Ngã ba sông Gò Gia</t>
  </si>
  <si>
    <t>Ngã ba sông Đồng Tranh 1</t>
  </si>
  <si>
    <t>Ngã ba sông Ngã Bảy</t>
  </si>
  <si>
    <t>Vũng Tàu - Thị Vải</t>
  </si>
  <si>
    <t>Từ phao số "0"</t>
  </si>
  <si>
    <t>Phía thượng lưu Bến cảng Vedan Phước Thái</t>
  </si>
  <si>
    <t>Sông Dinh</t>
  </si>
  <si>
    <t>Nối tiếp từ luồng Sài Gòn - Vũng Tàu vào sông Dinh</t>
  </si>
  <si>
    <t>Ngã ba sông Cây Khế</t>
  </si>
  <si>
    <t>Đoạn luồng vào cảng Căn cứ Vùng 2 Hải Quân</t>
  </si>
  <si>
    <t>Sông Rạng</t>
  </si>
  <si>
    <t>Đoạn luồng nối từ luồng Vũng Tàu - Thị Vải vào cầu cảng Hydrocarbon</t>
  </si>
  <si>
    <t>Luồng nhánh nối từ luồng Vũng Tàu - Thị Vải vào cầu cảng Hydrocarbon</t>
  </si>
  <si>
    <t>Bến Đầm - Côn Đảo</t>
  </si>
  <si>
    <t>Phao BHHH số "0"</t>
  </si>
  <si>
    <t>Bến Đầm</t>
  </si>
  <si>
    <t>Côn Sơn - Côn Đảo</t>
  </si>
  <si>
    <t>Cầu tàu 914</t>
  </si>
  <si>
    <t>Phường 1, Quận 4</t>
  </si>
  <si>
    <t>A. HỆ THỐNG CÔNG TRÌNH THỦY LỢI</t>
  </si>
  <si>
    <t>A1</t>
  </si>
  <si>
    <t>A2</t>
  </si>
  <si>
    <t>A3</t>
  </si>
  <si>
    <t>B1. KHU VỰC TRUNG TÂM</t>
  </si>
  <si>
    <t>Phường Tân Khánh</t>
  </si>
  <si>
    <t>UBND phường Tân Khánh</t>
  </si>
  <si>
    <t>UBND phường Bình Cơ</t>
  </si>
  <si>
    <t>UBND phường Thủ Dầu Một</t>
  </si>
  <si>
    <t>Phường Phú An</t>
  </si>
  <si>
    <t>UBND phường Phú An</t>
  </si>
  <si>
    <t>Rạch Bà Khâm (đoạn 1)</t>
  </si>
  <si>
    <t>phường Đông Hòa</t>
  </si>
  <si>
    <t>UBND phường Đông Hòa</t>
  </si>
  <si>
    <t>Rạch Bà Lồ</t>
  </si>
  <si>
    <t>11-90</t>
  </si>
  <si>
    <t>Rạch Bà Khâm (đoạn 2)</t>
  </si>
  <si>
    <t>Rạch Bà Khâm đoạn 1</t>
  </si>
  <si>
    <t>Quốc lộ 1 A</t>
  </si>
  <si>
    <t>Rạch Bà Khâm (đoạn 3)</t>
  </si>
  <si>
    <t>Ranh Quận 9 (cũ), TP.HCM</t>
  </si>
  <si>
    <t>Rạch Tân Vạn - rạch Bà Lồ</t>
  </si>
  <si>
    <t>Rạch Vàm Suối</t>
  </si>
  <si>
    <t>29-46</t>
  </si>
  <si>
    <t>Rạch Bà Hiệp</t>
  </si>
  <si>
    <t>Mương tổ 1 (HT)</t>
  </si>
  <si>
    <t>31</t>
  </si>
  <si>
    <t>Trục thoát nước Suối Giữa</t>
  </si>
  <si>
    <t>Suối Bưng Cầu</t>
  </si>
  <si>
    <t>Sân Golf Phú Mỹ</t>
  </si>
  <si>
    <t>ngã ba hợp lưu của rạch Bưng Cầu - Suối Giữa - rạch Bà Cô</t>
  </si>
  <si>
    <t>cống qua đường Nguyễn Chí Thanh (cống Mù U)</t>
  </si>
  <si>
    <t>Phường Dĩ An, Tân Đông Hiệp, Đông Hòa</t>
  </si>
  <si>
    <t>Hệ thống thoát nước thị trấn Dĩ An - Tân Đông Hiệp (gồm tuyến kênh T1, T2, T3, T4, T5B, T6 và rạch Cái Cầu, suối Nhum)</t>
  </si>
  <si>
    <t>Kênh N0-1</t>
  </si>
  <si>
    <t>Ủy ban nhân dân xã Bình Giã</t>
  </si>
  <si>
    <t>Kênh N0-2</t>
  </si>
  <si>
    <t>Kênh N1-1</t>
  </si>
  <si>
    <t>Kênh N2</t>
  </si>
  <si>
    <t>Kênh N2-1</t>
  </si>
  <si>
    <t>Kênh N-2</t>
  </si>
  <si>
    <t>Kênh N2-1 và N2-3</t>
  </si>
  <si>
    <t>Kênh N0-1 và N0-2</t>
  </si>
  <si>
    <t>Kênh N1-2</t>
  </si>
  <si>
    <t>Kênh N1-3</t>
  </si>
  <si>
    <t>Kênh N1-4</t>
  </si>
  <si>
    <t>Kênh N1-5</t>
  </si>
  <si>
    <t>Kênh N1-6</t>
  </si>
  <si>
    <t>Kênh N1-7</t>
  </si>
  <si>
    <t>Kênh Quy Hậu</t>
  </si>
  <si>
    <t>Kênh N1-7-1</t>
  </si>
  <si>
    <t>Kênh N1-7-2</t>
  </si>
  <si>
    <t>Kênh N1-7-3</t>
  </si>
  <si>
    <t>Kênh N1-7-5</t>
  </si>
  <si>
    <t>Mương đất Hòa Long</t>
  </si>
  <si>
    <t>Mương đất Hà Lãng</t>
  </si>
  <si>
    <t>Mương đất TĐ 15</t>
  </si>
  <si>
    <t>Mương đất Mang cá - Hà Lãng</t>
  </si>
  <si>
    <t>Kênh NI-1</t>
  </si>
  <si>
    <t>454221,552; 1172720,469</t>
  </si>
  <si>
    <t>454499,920; 1172612,540</t>
  </si>
  <si>
    <t>345,5</t>
  </si>
  <si>
    <t>Kênh NI-2</t>
  </si>
  <si>
    <t>454193,420; 1172721.080</t>
  </si>
  <si>
    <t>453978,110; 1172538,120</t>
  </si>
  <si>
    <t>304</t>
  </si>
  <si>
    <t>Kênh NI-4</t>
  </si>
  <si>
    <t>454336,480; 1171847,550</t>
  </si>
  <si>
    <t>453911,140; 1171777,870</t>
  </si>
  <si>
    <t>404</t>
  </si>
  <si>
    <t>Kênh N3-2</t>
  </si>
  <si>
    <t>454104,337; 1170170,442</t>
  </si>
  <si>
    <t>455650,510; 1168962,500</t>
  </si>
  <si>
    <t>2180</t>
  </si>
  <si>
    <t>Kênh N3-1</t>
  </si>
  <si>
    <t>453345,542; 1171254,181</t>
  </si>
  <si>
    <t>453914,880; 1171465,190</t>
  </si>
  <si>
    <t>694,5</t>
  </si>
  <si>
    <t>Kênh N3-3</t>
  </si>
  <si>
    <t>453350,353; 1171060,500</t>
  </si>
  <si>
    <t>453878,830; 1171069,640</t>
  </si>
  <si>
    <t>525</t>
  </si>
  <si>
    <t>Kênh N3-5</t>
  </si>
  <si>
    <t>453728,560; 1170444,910</t>
  </si>
  <si>
    <t>453885,740; 1170644,320</t>
  </si>
  <si>
    <t>273</t>
  </si>
  <si>
    <t>Kênh N5-1</t>
  </si>
  <si>
    <t>452461,030; 1169237,261</t>
  </si>
  <si>
    <t>452660,650; 1169417,560</t>
  </si>
  <si>
    <t>327</t>
  </si>
  <si>
    <t>Kênh N5-2</t>
  </si>
  <si>
    <t>452357,070; 1168726,430</t>
  </si>
  <si>
    <t>452084,640; 1167810,470</t>
  </si>
  <si>
    <t>983,7</t>
  </si>
  <si>
    <t>Kênh N5A</t>
  </si>
  <si>
    <t>451654,690; 1169347,043</t>
  </si>
  <si>
    <t>451285,090; 1168517,787</t>
  </si>
  <si>
    <t>910,5</t>
  </si>
  <si>
    <t>Kênh N3-7</t>
  </si>
  <si>
    <t>455564,778; 1170294,620</t>
  </si>
  <si>
    <t>455942,085; 1170141,065</t>
  </si>
  <si>
    <t>517</t>
  </si>
  <si>
    <t>Xã Ngãi Giao</t>
  </si>
  <si>
    <t>Ủy ban nhân dân xã Ngãi Giao</t>
  </si>
  <si>
    <t>Kênh Ba Tài - Tư Xuyên</t>
  </si>
  <si>
    <t>Xây dựng tuyến kênh mương dẫn nước từ đập đỏ vào cánh đồng thôn Gio An</t>
  </si>
  <si>
    <t>Cánh đồng Ba Thắng, thôn Trung Sơn, xã Suối Nghệ</t>
  </si>
  <si>
    <t>Kênh tiêu Phú Thiện</t>
  </si>
  <si>
    <t>Kênh tiêu Bàu Ma</t>
  </si>
  <si>
    <t>Kênh tiêu ấp Phú Tâm</t>
  </si>
  <si>
    <t>Kênh tiêu Phú Quý</t>
  </si>
  <si>
    <t>Mương nước ấp 4</t>
  </si>
  <si>
    <t>Mương nước
 ấp Trang Hoàng</t>
  </si>
  <si>
    <t xml:space="preserve"> Kênh mương tưới ấp Trang Hoàng</t>
  </si>
  <si>
    <t xml:space="preserve"> Kênh mương tưới ấp Trang Định</t>
  </si>
  <si>
    <t xml:space="preserve"> Kênh mương tưới ấp Trang Hùng</t>
  </si>
  <si>
    <t xml:space="preserve"> Kênh mương tưới ấp Trang Nghiêm</t>
  </si>
  <si>
    <t xml:space="preserve"> Kênh mương tưới ấp Trang Trí</t>
  </si>
  <si>
    <t>Kênh tiêu Bàu hàm - Bàu Ngứa KT-1</t>
  </si>
  <si>
    <t>465669,22;1183098,12</t>
  </si>
  <si>
    <t>465358,49;1186572,63</t>
  </si>
  <si>
    <t>Kênh tiêu nhánh KT-1-1</t>
  </si>
  <si>
    <t>464917,82;1183310,05</t>
  </si>
  <si>
    <t>466358,39;1183215,19</t>
  </si>
  <si>
    <t>Kênh tiêu nhánh KT-1-2</t>
  </si>
  <si>
    <t>465664,85;1183572,46</t>
  </si>
  <si>
    <t>466483,11;1183578,57</t>
  </si>
  <si>
    <t>Kênh tiêu nhánh KT-1-3</t>
  </si>
  <si>
    <t>466541,29;1184022,23</t>
  </si>
  <si>
    <t>465202,22;1183908,78</t>
  </si>
  <si>
    <t>Kênh tiêu nhánh KT-1-4</t>
  </si>
  <si>
    <t>466696,69;1184596,71</t>
  </si>
  <si>
    <t>465098,82;1184513,37</t>
  </si>
  <si>
    <t>Kênh tiêu nhánh KT-1-6</t>
  </si>
  <si>
    <t>465319,57;1185038,57</t>
  </si>
  <si>
    <t>465952,36;1185024,96</t>
  </si>
  <si>
    <t>Kênh tiêu nhánh KT-1-7</t>
  </si>
  <si>
    <t>466031,17;1185328,49</t>
  </si>
  <si>
    <t>466490,60;1185203,37</t>
  </si>
  <si>
    <t>Kênh tiêu nhánh KT-1-8</t>
  </si>
  <si>
    <t>465623,69;1185541,31</t>
  </si>
  <si>
    <t>466181,70;1185583,26</t>
  </si>
  <si>
    <t>Kênh tiêu nhánh KT-1-9</t>
  </si>
  <si>
    <t>465474,86;1186051,36</t>
  </si>
  <si>
    <t>466285,01;1186009,48</t>
  </si>
  <si>
    <t>Kênh tiêu nhánh KT-1-10</t>
  </si>
  <si>
    <t>466029,26;1185330,72</t>
  </si>
  <si>
    <t>Kênh tiêu Bàu Chiên KT-2</t>
  </si>
  <si>
    <t>464639,22;1187357,94</t>
  </si>
  <si>
    <t>463640,04;1187379,86</t>
  </si>
  <si>
    <t>Kênh tiêu nhánh KT-2-1</t>
  </si>
  <si>
    <t>463365,37;1188163,03</t>
  </si>
  <si>
    <t>463426,83;1187931,30</t>
  </si>
  <si>
    <t>Kênh tiêu nhánh KT-2-2</t>
  </si>
  <si>
    <t>464100,78;1187825,93</t>
  </si>
  <si>
    <t>464330,58;1187645,00</t>
  </si>
  <si>
    <t>Kênh tiêu Bàu Sôi KT-3</t>
  </si>
  <si>
    <t>460089,50;1187479,94</t>
  </si>
  <si>
    <t>460280,74;1188313,64</t>
  </si>
  <si>
    <t>Kênh tiêu Bàu Sôi KT-4</t>
  </si>
  <si>
    <t>459685,65;1187278,36</t>
  </si>
  <si>
    <t>459715,24;1187889,15</t>
  </si>
  <si>
    <t>Bê tông hoá mương nội đồng Xóm Rẫy</t>
  </si>
  <si>
    <t>Ủy ban nhân dân xã Hồ Tràm</t>
  </si>
  <si>
    <t>Mương nội đồng Quốc lộ 55</t>
  </si>
  <si>
    <t>Mương nội đồng Gò Cà – XRẫy</t>
  </si>
  <si>
    <t>Bê tông hoá kênh mương nội đồng cặp 
mương tiêu cầu Dài – Eo Bồng</t>
  </si>
  <si>
    <t>Kênh mương nội đồng Gò Cát – Gò Cà</t>
  </si>
  <si>
    <t>Mương nội đồng Xóm Rẫy-Gò Tranh-Đồng Chùa</t>
  </si>
  <si>
    <t>Mương nội đồng Gò Mã – Đồng Năng</t>
  </si>
  <si>
    <t>Mương nội đồng Gò Cát – Cây Điệp</t>
  </si>
  <si>
    <t>Mương nội đồng TS2A – Eo Bồng</t>
  </si>
  <si>
    <t>Bê tông hoá mương nội đồng Núi Le - Xóm Rẫy</t>
  </si>
  <si>
    <t>Mương nội đồng Đồng Chùa đi Đồng Năng dưới</t>
  </si>
  <si>
    <t>Mương cây Da</t>
  </si>
  <si>
    <t>Mương nội đồng Bàu Sình</t>
  </si>
  <si>
    <t>Mương từ đập ông Hương đến cống QL 55</t>
  </si>
  <si>
    <t>Mương tưới khu vực Suối Tre</t>
  </si>
  <si>
    <t>Mương từ kênh N1 đến ruộng ông Chèn</t>
  </si>
  <si>
    <t>Mương từ kênh N1 đến ruộng ông Nhị</t>
  </si>
  <si>
    <t>Mương từ cuối kênh N1 đến ruộng ông Trường</t>
  </si>
  <si>
    <t>Mương từ cống bà Cẩn nối trụ điện 4 chân</t>
  </si>
  <si>
    <t>Mương từ ruộng ông ba Xuân đến 
ruộng Ông hai Xuân</t>
  </si>
  <si>
    <t>Mương thoát úng Bàu Tôm - Đồng Chà</t>
  </si>
  <si>
    <t>Tuyến mương nối ruộng ông hai Quế 
đến ruộng ông ba Cầu</t>
  </si>
  <si>
    <t>Mương cống bà Cẩn nối N2</t>
  </si>
  <si>
    <t>Đoạn cuối tuyến mương cây Da N1</t>
  </si>
  <si>
    <t>Đoạn cuối tuyến mương cây Da N2</t>
  </si>
  <si>
    <t>Mương tiêu Gò tranh - Xóm Rẫy</t>
  </si>
  <si>
    <t>Mương tiêu Đồng Chà - Xóm Rẫy</t>
  </si>
  <si>
    <t>Mương tiêu Bàu Sình</t>
  </si>
  <si>
    <t>Mương tiêu Cầu Dài</t>
  </si>
  <si>
    <t>Tuyến mương từ cống dưới kênh N1</t>
  </si>
  <si>
    <t>Mương xử lý ngăn mặn</t>
  </si>
  <si>
    <t>Nâng cấp, sửa chửa tuyến mương cây da nối dài</t>
  </si>
  <si>
    <t>Nâng cấp, sửa chửa tuyến mương nội đồng Đồng Năng - Gò Cà</t>
  </si>
  <si>
    <t>Nâng cấp, sửa chữa tuyến kênh mương nội đồng N3- Đập bờ trái Sông Ray</t>
  </si>
  <si>
    <t>Kênh xứ đồng xóm Rẫy - Eo Bồng</t>
  </si>
  <si>
    <t>Kênh xứ đồng Bắc QL 55- Ông tô- Đồng Chùa- Đồng Chà- xóm Rẫy</t>
  </si>
  <si>
    <t>Duy tu sửa chữa các tuyến kênh mương nội đồng, xã Phước Thuận</t>
  </si>
  <si>
    <t>Bê tông hóa kênh mương nội đồng cặp theo QL 55</t>
  </si>
  <si>
    <t>Kênh mương tưới tiêu khu vực ấp Tân Rú</t>
  </si>
  <si>
    <t>Kênh nội đồng Bàu Tây</t>
  </si>
  <si>
    <t>Kênh tưới tiêu khu vực ấp Tân Rú, Bàu Sa Ra, Bàu Tây, xã Phước Tân</t>
  </si>
  <si>
    <t>Kênh tưới Bàu Xa Ra</t>
  </si>
  <si>
    <t>Tuyến mương N2</t>
  </si>
  <si>
    <t>Tuyến mương N3</t>
  </si>
  <si>
    <t>Tuyến mương N4</t>
  </si>
  <si>
    <t>Tuyến mương N5</t>
  </si>
  <si>
    <t>Tuyến mương từ kênh N7 đến giáp Cống Dầu</t>
  </si>
  <si>
    <t>Tuyến mương từ Cống Dầu đến giáp mương bê tông Phước Hội</t>
  </si>
  <si>
    <t>Tuyến mương Đồng Sình (ruộng bà Thau – Suối Chùa)</t>
  </si>
  <si>
    <t>Tuyến mương từ QL55 (Mã Trốc) đến ruộng ông Huỳnh Văn Hoài</t>
  </si>
  <si>
    <t>Tuyến mương từ kênh N7 đến đường D2 vào KCN Đất Đỏ 1</t>
  </si>
  <si>
    <t>Tuyến mương từ ruộng ông Lê Văn Điệp đến giáp tuyến mương N2</t>
  </si>
  <si>
    <t>Tuyến mương từ QL55 đến giáp đường Lộc An-Láng Dài</t>
  </si>
  <si>
    <t>Tuyến mương từ đường quán bà Dung đến kênh cấp I hồ suối Giàu</t>
  </si>
  <si>
    <t>Tuyến mương từ Bàu ông Thung đến ruộng ông Dương</t>
  </si>
  <si>
    <t>Tuyến mương từ suối Le đến cầu Bà Lá</t>
  </si>
  <si>
    <t>Tuyến mương từ ruộng ông Tùng đến ruộng ông Thắng</t>
  </si>
  <si>
    <t>Tuyến mương từ ngã ba suối Gáo đến sông Đăng</t>
  </si>
  <si>
    <t>Tuyến mương từ kênh cấp I hồ Suối Giàu đến bọng ông Bầu</t>
  </si>
  <si>
    <t>Tuyến mương suối Bà Tùng</t>
  </si>
  <si>
    <t>Tuyến mương từ ruộng bà Sự đến mương Bà Lá - Sông Đăng</t>
  </si>
  <si>
    <t>Tuyến mương từ cầu Bà Lá đến mương Bà Lá - Sông Đăng</t>
  </si>
  <si>
    <t>Tuyến mương Tập đoàn 11</t>
  </si>
  <si>
    <t>Tuyến mương từ kênh N7 ruộng ông Mười Thiết đến Cống Dầu</t>
  </si>
  <si>
    <t>Tuyến mương từ N7 đến ruộng ông Út</t>
  </si>
  <si>
    <t>Tuyến mương nối tiếp cửa 2 thoát nước khu công nghiệp đến mương bê tông Suối Le</t>
  </si>
  <si>
    <t>Tuyến mương nối từ N4 đến ruộng ông Bến</t>
  </si>
  <si>
    <t>Tuyến mương từ ruộng ông Xuân đến ruộng bà Khá</t>
  </si>
  <si>
    <t>Tuyến từ kênh bê tông ông Ba Hay đến ruộng
 ông ba Tiệm</t>
  </si>
  <si>
    <t>Tuyến từ suối Bà Tùng đến mương bê tông
 N7-26,</t>
  </si>
  <si>
    <t>Tuyến từ ruộng ông ba Tiệm đến giáp đường
 Gia Reo</t>
  </si>
  <si>
    <t>Tuyến từ ruộng ông Ba Vân đến giáp mương
 bê tông Bà Sự</t>
  </si>
  <si>
    <t>Tuyến từ đầu mương N4 đến ruộng ông Tư
 Hải</t>
  </si>
  <si>
    <t>Tuyến từ kênh cấp 1 hồ Suối Giàu đến ruộng
 ông 10 Tới</t>
  </si>
  <si>
    <t>Tuyến từ ruộng ông Bửu đến ruộng ông Mạnh</t>
  </si>
  <si>
    <t>Tuyến từ mương N2 đến ruộng ông Lý</t>
  </si>
  <si>
    <t>Tuyến từ mương N2 ruộng ông Hiệp đến
 ruộng ông Danh</t>
  </si>
  <si>
    <t>Tuyến từ mương N2 đất ông Thành đến 
ruộng ông Thọ</t>
  </si>
  <si>
    <t>Tuyến từ mương cấp 1 Hồ Suối Giàu đến 
ruộng ông Mai Văn Thịnh</t>
  </si>
  <si>
    <t>Tuyến từ mương cấp 1 Hồ Suối Giàu đến 
Bọng Ông Bầu</t>
  </si>
  <si>
    <t>Tuyến từ kênh N7 đến ruộng ông 8 Nhỏ</t>
  </si>
  <si>
    <t>Tuyến từ kênh N7 đến ruộng ông Minh, 
nhánh rẻ đến ruộng ông Hoài</t>
  </si>
  <si>
    <t>Tuyến từ kênh N7-21đến ruộng ông Bá</t>
  </si>
  <si>
    <t>Tuyến từ mương N2 đất ông Quý đến ruộng
 ông Tư Ca nhánh rẻ đến ruộng ông Phước</t>
  </si>
  <si>
    <t>Tuyến mương từ cuối cống Mương Bồng đến
 Cầu Băng</t>
  </si>
  <si>
    <t>Tuyến mương giáp Mương Giang Trong đến
 ruộng ông Trần Văn Kính</t>
  </si>
  <si>
    <t>Tuyến mương Gò Duối</t>
  </si>
  <si>
    <t>Tuyến mương  từ Bàu Trờ đến gần TTYT
 huyện Đất Đỏ</t>
  </si>
  <si>
    <t>Tuyến mương Bàu Vừng đến suối Ông Lành</t>
  </si>
  <si>
    <t>Tuyến mương từ đập Ngã Hai đến giáp mương Giang</t>
  </si>
  <si>
    <t>Tuyến mương từ đập Làng đến giáp mương 
Giang</t>
  </si>
  <si>
    <t>Tuyến mương từ ruộng Ông Xinh đến ruộng 
ông Bùi Văn Đông</t>
  </si>
  <si>
    <t>Tuyến mương Bà Hậu</t>
  </si>
  <si>
    <t>Tuyến mương Hang Rái</t>
  </si>
  <si>
    <t>Tuyến mương từ Đập Ngã Hai đến ruộng Ông
 Khánh</t>
  </si>
  <si>
    <t>Tuyến mương từ ruộng ông Hai Xuyên đến 
Vũng Sấu</t>
  </si>
  <si>
    <t>Tuyến mương Bà Dung</t>
  </si>
  <si>
    <t>Tuyến mương Bà Nhiều</t>
  </si>
  <si>
    <t>Tuyến Mương Bính</t>
  </si>
  <si>
    <t>Tuyến mương từ ruộng ông Xệ đến ruộng ông
 Bằng</t>
  </si>
  <si>
    <t>Tuyến mương từ cuối kênh bê tông Bà Nhiều 
đến ruộng ông Lũy và nhánh đến cuối Mương Hồ</t>
  </si>
  <si>
    <t>Tuyến mương từ Đập Xây tập đoàn 01 đến 
đập Cây Bàng</t>
  </si>
  <si>
    <t>Tuyến mương từ ruộng ông Danh đến ruộng
 ông Xuân</t>
  </si>
  <si>
    <t>Tuyến mương từ ruộng ông Xuân đến ruộng 
ông Của</t>
  </si>
  <si>
    <t>Tuyến mương Giang Trong</t>
  </si>
  <si>
    <t>Tuyến mương ông Sáu Châu</t>
  </si>
  <si>
    <t>Tuyến mương Bính đập Xây - kênh Bà Đáp</t>
  </si>
  <si>
    <t>Tuyến mương từ đập bà Vung qua ruộng ông 
Sáu Hớn đến giáp mương hồ</t>
  </si>
  <si>
    <t>Tuyến mương bà Nhiều từ đập Xây đến giáp
 Hang Rái</t>
  </si>
  <si>
    <t>Tuyến mương từ cống cây Táo (ruộng ông 
Danh) đến ruộng ông Xuân Chiều</t>
  </si>
  <si>
    <t>Tuyến mương từ ruộng ông 10 Xệ đến ruộng 
ông Bằng</t>
  </si>
  <si>
    <t>Bê tông các tuyến mương tập đoàn 5</t>
  </si>
  <si>
    <t>Tuyến mương Đập Đá (đoạn từ cống ông An 
đến Bàu Tròn)</t>
  </si>
  <si>
    <t>Các tuyến mương khu vực Bàu Tròn và Bàu 
Chờ</t>
  </si>
  <si>
    <t>Tuyến mương Cống 60 (Đồng láng)</t>
  </si>
  <si>
    <t>Tuyến mương Bàu Vệ, tập đoàn 16</t>
  </si>
  <si>
    <t>Tuyến mương Tập đoàn 4, đồng láng</t>
  </si>
  <si>
    <t>Tuyến mương từ tập đoàn 4 đến Suối ông Lành</t>
  </si>
  <si>
    <t>Tuyến mương Suối ông Lành</t>
  </si>
  <si>
    <t>Tuyến mương nối từ Bàu Vệ đến tập đoàn 1, đồng láng</t>
  </si>
  <si>
    <t>Tuyến mương Cống cầu</t>
  </si>
  <si>
    <t>Tuyến mương Suối Môn – Tỉnh lộ 52</t>
  </si>
  <si>
    <t>Tuyến mương Cây Điệp</t>
  </si>
  <si>
    <t>Tuyến mương từ ông Hai Tiền đến ông Lâm</t>
  </si>
  <si>
    <t>Tuyến mương Vạn Điền – Suối Ngang</t>
  </si>
  <si>
    <t>Tuyến mương Ruộng Tùng</t>
  </si>
  <si>
    <t>Tuyến mương tập đoàn 4 Ruộng Tùng</t>
  </si>
  <si>
    <t>Tuyến mương N7A</t>
  </si>
  <si>
    <t>Tuyến mương N7A-4</t>
  </si>
  <si>
    <t>Tuyến mương N7-4</t>
  </si>
  <si>
    <t>Tuyến mương N7-6</t>
  </si>
  <si>
    <t>Tuyến mương N7-8</t>
  </si>
  <si>
    <t>Tuyến mương N7-10</t>
  </si>
  <si>
    <t>Tuyến mương từ đất ông Nguyễn Văn Hải đến kênh Đồng Láng</t>
  </si>
  <si>
    <t>Tuyến mương tiếp nước về hồ Suối Môn</t>
  </si>
  <si>
    <t>Hệ thống mương tưới Long Tân</t>
  </si>
  <si>
    <t>Tuyến mương Chanh tập đoàn 4 (đồng láng)</t>
  </si>
  <si>
    <t>Tuyến mương tưới tập đoàn 10, Suối Môn</t>
  </si>
  <si>
    <t>Tuyến mương tập đoàn 1 (mương Dong) (2 nhánh)</t>
  </si>
  <si>
    <t>Tuyến mương tứ mương bê tông đập đá đến Bàu vệ</t>
  </si>
  <si>
    <t>Tuyến nhánh vàm suối tre (đập ông 3 Hiển) 
đến giáp QL55</t>
  </si>
  <si>
    <t>Tuyến kênh cấp 1 Hồ Lồ ồ</t>
  </si>
  <si>
    <t>Tuyến từ ông Tầm đến Bàu Số</t>
  </si>
  <si>
    <t>Tuyến từ Vàm ông Đò đến Suối Sâu</t>
  </si>
  <si>
    <t>Tuyến kênh Bà Lá – Sông Đăng</t>
  </si>
  <si>
    <t>Tuyến nhánh vàm suối tre đến cầu Cống Nhẫn I (QL55)</t>
  </si>
  <si>
    <t>Tuyến từ đập Bụi tre đến Sông Đăng</t>
  </si>
  <si>
    <t>Tuyến từ ruộng ông Lượm (tập đoàn 17) đến giáp Sông Đăng</t>
  </si>
  <si>
    <t>Tuyến từ đập Sông Ray đến ruộng ông Tiến</t>
  </si>
  <si>
    <t>Tuyến từ ông 5 Xi đến giáp mương cấp 3 Công nhẫn 2</t>
  </si>
  <si>
    <t>Tuyến nhánh từ vàm ông Đò đến ruộng ông Thành</t>
  </si>
  <si>
    <t>Tuyến từ ruộng ông Búa qua cống đến ruộng ông Dũng</t>
  </si>
  <si>
    <t>Tuyến từ Suối Sâu (ruộng 3 Công) đến giáp Sông Đăng</t>
  </si>
  <si>
    <t>Tuyến rừ Suối Sâu (Suối Dông) đến Sông Đăng</t>
  </si>
  <si>
    <t>Tuyến vàm suối tre đến giáp QL55 (CN1)</t>
  </si>
  <si>
    <t>Tuyến từ QL55 đến Rạch Bà Sàn cặp đường đê ngăn mặn</t>
  </si>
  <si>
    <t>Tuyến từ QL55 đến ruộng ông Nguyễn Hữu Phú</t>
  </si>
  <si>
    <t>Tuyến mương từ ruộng ông Nhỏ đến ông Trần Văn Cảnh</t>
  </si>
  <si>
    <t>Hệ thống kênh tưới Bàu Bè đến Sông Ray</t>
  </si>
  <si>
    <t>Hệ thống kênh tưới từ Quốc lộ 55 đến rạch 
Bà Sàn</t>
  </si>
  <si>
    <t>Tuyến mương từ Vàm Suối Tre đến QL55 (ruộng 10 Lành)</t>
  </si>
  <si>
    <t>Tuyến mương từ ruộng ông Tăng Văn Nhâm 
đến ruộng ông Huỳnh Văn Khéo (TĐ2)</t>
  </si>
  <si>
    <t>Tuyến mương từ ruộng ông Dô đến ruộng 
ông Của</t>
  </si>
  <si>
    <t>Tuyến mương từ ruộng ông 3 Tẻo đến giáp 
QL 55</t>
  </si>
  <si>
    <t>Tuyến mương tưới tiêu kết hợp tại khu vực 
hạ lưu hồ Lồ Ồ</t>
  </si>
  <si>
    <t>Tuyến mương đấu nối tuyến mương cấp I
 nhà Láng</t>
  </si>
  <si>
    <t>Tuyến mương từ QL55 đến ruộng ông 6 Bê</t>
  </si>
  <si>
    <t>Tuyến mương từ ruộng ông Phạm Văn Triệu
 đến Sông Đăng</t>
  </si>
  <si>
    <t>Tuyến mương từ ruộng ông Phạm Văn Triệu 
đến Sông Đăng (giai đoan 2)</t>
  </si>
  <si>
    <t>Tuyến mương từ Suối Sâu đến Bàu Cỏ</t>
  </si>
  <si>
    <t>Các tuyến mương khu vực ấp Cây Cám, ấp 
Gò Sầm</t>
  </si>
  <si>
    <t>Tuyến mương Vàm Ông Đò cũ</t>
  </si>
  <si>
    <t>Tuyến mương Suối Đá - La Hết</t>
  </si>
  <si>
    <t>Tuyến mương nội đồng Tổ 19, ấp An Bình</t>
  </si>
  <si>
    <t>Tuyến mương nội đồng Tổ 20, ấp An Bình</t>
  </si>
  <si>
    <t>Tuyến mương K1</t>
  </si>
  <si>
    <t>Tuyến mương K2</t>
  </si>
  <si>
    <t>Tuyến mương Đồng lớn</t>
  </si>
  <si>
    <t>Tuyến mương Cây Kén</t>
  </si>
  <si>
    <t>Tuyến mương Bàu gốc tới cống ông Sư</t>
  </si>
  <si>
    <t>Tuyến mương Đồng lớn Bàu gốc</t>
  </si>
  <si>
    <t>Tuyến mương cấp I</t>
  </si>
  <si>
    <t>Tuyến mương nhánh 1 đấu nối mương cấp I</t>
  </si>
  <si>
    <t>Tuyến mương nhánh 2 đấu nối mương cấp I</t>
  </si>
  <si>
    <t>Tuyến mương nhánh 3 đấu nối mương cấp I</t>
  </si>
  <si>
    <t>Tuyến mương cấp I - Bàu Ốc</t>
  </si>
  <si>
    <t>Tuyến mương 3 Nhèm</t>
  </si>
  <si>
    <t>Tuyến mương Bàu Náo</t>
  </si>
  <si>
    <t>Tuyến mương Bàu ông Vực</t>
  </si>
  <si>
    <t>Tuyến mương từ ông Cận đến Cổ Đắng</t>
  </si>
  <si>
    <t>Tuyến mương từ Hóa Giang đến ba Cầu</t>
  </si>
  <si>
    <t>Tuyến N7 đến Suối bà Tùng</t>
  </si>
  <si>
    <t>Tuyến mương từ Cổ Đắng đến Gò Liên</t>
  </si>
  <si>
    <t>Tuyến mương từ Bún Cây Dương đến đập Láng</t>
  </si>
  <si>
    <t>Tuyến mương khu vực Gò Bà Đắc</t>
  </si>
  <si>
    <t>Tuyến mương từ ông Cận đến Búng đường cộ</t>
  </si>
  <si>
    <t>Tuyến mương từ Cống cầu Làng đến Cống cây Me</t>
  </si>
  <si>
    <t>Tuyến mương từ Bến Lội đến tập đoàn Hóa Giang</t>
  </si>
  <si>
    <t>Tuyến mương khu vực ông Cục</t>
  </si>
  <si>
    <t>Tuyến mương từ Hóa Giang đến ruộng ông Từ Ngưu</t>
  </si>
  <si>
    <t>Tuyến mương từ Bà Ù đến giáp kênh N7 (giai đoạn 1)</t>
  </si>
  <si>
    <t>Tuyến mương từ Bà Ù đến giáp kênh N7 (giai đoạn 2)</t>
  </si>
  <si>
    <t>Tuyến mương khu vực Bàu ông Quy</t>
  </si>
  <si>
    <t>Tuyến mương từ cây Duối đến ruộng ông Từ Ngưu</t>
  </si>
  <si>
    <t>Tuyến mương từ ba Cầu đến Cổ Đắng</t>
  </si>
  <si>
    <t>Tuyến mương Bà Lơn (Hội Mỹ)</t>
  </si>
  <si>
    <t>Tuyến mương từ ruộng ông Phạm Công Minh đến cầu Làng</t>
  </si>
  <si>
    <t>Tuyến mương từ cầu Làng đến ruộng bà Dương Thị Làm</t>
  </si>
  <si>
    <t>Tuyến mương từ ruộng ông Phạm Văn Oai đến giáp cống Cây Me</t>
  </si>
  <si>
    <t>Tuyến mương từ TL44 đến ruộng ông Lê Thành Bọ</t>
  </si>
  <si>
    <t>Tuyến mương từ ruộng ông Võ Văn Ngời đến ruộng ông Lê Văn Cưng</t>
  </si>
  <si>
    <t>Tuyến mương từ ruộng bà Phúc đến Biền Bến (ấp Phước Lợi)</t>
  </si>
  <si>
    <t>Tuyến mương từ Bàu Làng đến Bến Lội (ấp Phước Lợi)</t>
  </si>
  <si>
    <t>Tuyến mương từ ruộng ông Nguyễn Văn Sáu đến ruộng ông Nguyễn Văn Phước</t>
  </si>
  <si>
    <t>Tuyến mương Búng Cây Dương (Phước Lộc)</t>
  </si>
  <si>
    <t>Ủy ban nhân dân phường Tam Long</t>
  </si>
  <si>
    <t>Kênh N3-4</t>
  </si>
  <si>
    <t>Kênh N1-5 (cây Ké)</t>
  </si>
  <si>
    <t>Kênh N1-7 (Đồng Xoài)</t>
  </si>
  <si>
    <t>Kênh N1-9 (Đồng Xoài)</t>
  </si>
  <si>
    <t>Kênh N1-2 Tập đoàn 6 (Bảy Sình)</t>
  </si>
  <si>
    <t>Kênh N1-4 Tập đoàn 6 (Năm Tâm)</t>
  </si>
  <si>
    <t>Kênh cây ké đường 13</t>
  </si>
  <si>
    <t>Kênh cây ké đường 19</t>
  </si>
  <si>
    <t>Bê tông tuyên mương đất từ đâu đường số 15 đến sông dinh</t>
  </si>
  <si>
    <t>Mương đất Ông 3 Giàu</t>
  </si>
  <si>
    <t>Mương đất đường Hy vọng (Tỉnh đội)</t>
  </si>
  <si>
    <t>Kênh mương Giang xây gạch</t>
  </si>
  <si>
    <t>Kênh N2-9</t>
  </si>
  <si>
    <t>Mương Bàu Dầm 1</t>
  </si>
  <si>
    <t>Mương Bàu Dầm 2</t>
  </si>
  <si>
    <t>Kênh N2-17 (nối tiếp)</t>
  </si>
  <si>
    <t>Kênh N2-13</t>
  </si>
  <si>
    <t>Kênh N2-15</t>
  </si>
  <si>
    <t>Kênh N2-17 đến đường nội đồng số 14</t>
  </si>
  <si>
    <t>Kênh cầu Bàu Súng đến đập cây Trâm</t>
  </si>
  <si>
    <t>Kênh đập Bàu Tre đến cuối TĐ 3</t>
  </si>
  <si>
    <t>Nối tiếp mương Giang - đập Bàu Tre</t>
  </si>
  <si>
    <t>Kênh N2-7 giáp N2-9</t>
  </si>
  <si>
    <t>Tuyến mương cây Đa Tập đoàn 8</t>
  </si>
  <si>
    <t>Mương ông Hoành</t>
  </si>
  <si>
    <t>Tuyến mương Bàu Mỹ (Ban 2)</t>
  </si>
  <si>
    <t>Bê tông mương đất Tập đoàn 6 đoạn qua ruộng nhà ông 5 Lý và Tập đoàn 7 đoạn qua ruộng ông Nhiều</t>
  </si>
  <si>
    <t xml:space="preserve">Bê tông mương đất Tập đoàn 6 đoạn qua ruộng nhà ông Ba An và ông Hoàng, </t>
  </si>
  <si>
    <t xml:space="preserve">Bê tông mương đất Tập đoàn 7 đoạn qua ruộng ông An và ông Rùm, </t>
  </si>
  <si>
    <t xml:space="preserve">Bê tông mương đấtTập đoàn 3 đoạn qua ruộng bà Bé, </t>
  </si>
  <si>
    <t xml:space="preserve">Bê tông mương đất Tập đoàn 3 (khu vực ruộng ông 7 Ất), </t>
  </si>
  <si>
    <t>Tuyến mương N2-7: (Tỉnh)</t>
  </si>
  <si>
    <t>Tuyến mương N2-15(Tỉnh)</t>
  </si>
  <si>
    <t>Tuyến mương N2-17(Tỉnh)</t>
  </si>
  <si>
    <t>Tuyến mương Ông Hoành(Tỉnh)</t>
  </si>
  <si>
    <t>Kênh mương Bàu Súng(Tỉnh)</t>
  </si>
  <si>
    <t>Tuyến mương cây Đa Tập Đoàn 8 (Tỉnh)</t>
  </si>
  <si>
    <t>Mương đất từ ruộng ông 7 Ân đến ruộng ông Mã</t>
  </si>
  <si>
    <t xml:space="preserve">Mương đất ruộng ông 7 Mai ruộng ông 2 Bé </t>
  </si>
  <si>
    <t>Mương đất đoạn nối từ mương tập đoàn 2 đến mương tập đoàn 5</t>
  </si>
  <si>
    <t>Mương đất đoạn nối từ mương tập đoàn 3 đến mương tập đoàn 6</t>
  </si>
  <si>
    <t>Mương đất đoạn nối từ ruộng ông Thảo đến ruộng ông 2 Dũng</t>
  </si>
  <si>
    <t>Mương đất đoạn nối từ ruộng ông An đến ruộng ông Xẩm</t>
  </si>
  <si>
    <t>Mương đất đoạn từ đường 9F đến ruộng ông 5 Quang.</t>
  </si>
  <si>
    <t>Mương đất đoạn từ đường Hương lộ 8 đến HTX Phước Lập.</t>
  </si>
  <si>
    <t>Mương cánh đồng lỗ lội</t>
  </si>
  <si>
    <t>Mương bê tông cánh đồng Long Hòa</t>
  </si>
  <si>
    <t>Mương đất 02 bên đường ống khí</t>
  </si>
  <si>
    <t>Mương đất QL 51- vường rau HTX</t>
  </si>
  <si>
    <t>Mương đất QL 51- đường ống khí</t>
  </si>
  <si>
    <t>Mương đất từ N 2- hồ Lồ Ồ</t>
  </si>
  <si>
    <t>Mương đất từ đồng cây xoài- Phan Đăng Lưu</t>
  </si>
  <si>
    <t>Mương đất từ hồ Lồ Ồ- đồng cây xoài</t>
  </si>
  <si>
    <t>Mương đất từ hồ Lồ Ồ- đồng di đà</t>
  </si>
  <si>
    <t>Mương đất 02 bên đường khí thấp áp</t>
  </si>
  <si>
    <t>Kênh N2-2</t>
  </si>
  <si>
    <t>Kênh N2-4</t>
  </si>
  <si>
    <t>Kênh N2-6</t>
  </si>
  <si>
    <t>Kênh N2-7</t>
  </si>
  <si>
    <t>Kênh N2-11</t>
  </si>
  <si>
    <t>Kênh N2-3</t>
  </si>
  <si>
    <t>Kênh cánh đồng rau răm</t>
  </si>
  <si>
    <t>Bê tông tuyên mương đất Đập Bàu Rựa đến sông dinh</t>
  </si>
  <si>
    <t>Bê tông tuyên mương đất N2-5 Sau sân bóng đá</t>
  </si>
  <si>
    <t>Bê tông tuyên mương đất từ đường Ông Khoa đến hết khu vực trồng rau răm</t>
  </si>
  <si>
    <t xml:space="preserve">Xã Nghĩa Thành </t>
  </si>
  <si>
    <t>Kênh N3</t>
  </si>
  <si>
    <t>Kênh TĐ 8 và TĐ 9
(giai đoạn 2)</t>
  </si>
  <si>
    <t>Kênh TĐ 2, TĐ 8 và TĐ 9</t>
  </si>
  <si>
    <t>Kênh TĐ 8 nối TĐ 9</t>
  </si>
  <si>
    <t>Kênh TĐ 1, 2, 3</t>
  </si>
  <si>
    <t>Kênh TĐ 9 nhánh 1, 2, 3, 4</t>
  </si>
  <si>
    <t>Kênh TĐ 11 nhánh 1, 2, 3</t>
  </si>
  <si>
    <t>Kênh TĐ 18 nhánh 1, 2, 3, 4</t>
  </si>
  <si>
    <t>Tuyến kênh cửa lấy nước tại vị trí km24+440 (bờ trái kênh Sông Ray</t>
  </si>
  <si>
    <t xml:space="preserve">Kênh nội đồng thôn Quảng Thành 2, đấu nối từ điểm cuối của tuyến kênh chính cửa lấy nước kênh chính Sông Ray </t>
  </si>
  <si>
    <t>Tập đoàn 1: đầu tuyến kênh mương cấp II cuối tuyến ruộng ông tư E</t>
  </si>
  <si>
    <t>Tập đoàn 1: đầu tuyến kênh mương cấp I cuối tuyến ruộng ông Bình</t>
  </si>
  <si>
    <t xml:space="preserve">Tập đoàn 18: Nhánh 1 đầu tuyến ruộng Ô Lê Kham cuối tuyến ruộng ông tư Lập        </t>
  </si>
  <si>
    <t>Tập đoàn 2: đầu tuyến kênh cấp I, cuối tuyến ruộng Ô Linh</t>
  </si>
  <si>
    <t>Tập đoàn 3: đầu tuyến ruộng Ô Hưng cuối tuyến ruộng Ô Quý</t>
  </si>
  <si>
    <t>Tập đoàn 18: Nhánh 2 đầu tuyến ruộng Ô Cư cuối tuyến ruộng ông Tài (mương thoát nước)</t>
  </si>
  <si>
    <t>Tuyến kênh chính Sông Ray đến tỉnh lộ 52</t>
  </si>
  <si>
    <t>Kênh nội đồng đấu nối từ kênh chính tại vị trí tổ 7, thôn Quảng Phú</t>
  </si>
  <si>
    <t>Tuyến kênh mương nội đồng A1 (Từ kênh Bà Đáp - giáp Cống Trắng)</t>
  </si>
  <si>
    <t>Ủy ban nhân dân xã Long Điền</t>
  </si>
  <si>
    <t>Tuyến kênh mương nội đồng A2 (Từ kênh Bà Đáp - giáp ruộng ông Lâm Tuấn Kiệt)</t>
  </si>
  <si>
    <t>Tuyến kênh mương nội đồng A3 (Từ ruộng bà Nguyễn Thị Hải - Quán Rường)</t>
  </si>
  <si>
    <t>Tuyến kênh mương nội đồng A4 (Từ kênh Bà Đáp - mương cấp 2)</t>
  </si>
  <si>
    <t>Tuyến kênh mương nội đồng A5 (Từ tỉnh lộ 44B - kênh Bà Đáp</t>
  </si>
  <si>
    <t>Tuyến kênh mương nội đồng A6 (Từ kênh Bà Đáp - tỉnh lộ 44B)</t>
  </si>
  <si>
    <t>Tuyến kênh mương nội đồng A7 (Từ ruộng ông Trương Trung Kiên - kênh Bà Đáp)</t>
  </si>
  <si>
    <t>Tuyến kênh mương nội đồng A8-1 (Từ tỉnh lộ 44B - mương giữa A12-2)</t>
  </si>
  <si>
    <t>Tuyến kênh mương nội đồng A8-2 (Từ tỉnh lộ 44B - kênh mương Bà Đáp)</t>
  </si>
  <si>
    <t>Tuyến kênh mương nội đồng A9 (Từ đáy Trâm Bọng - kênh Bà Đáp)</t>
  </si>
  <si>
    <t>Tuyến kênh mương nội đồng A11 (Từ tỉnh lộ 44B - chòi ông Bình</t>
  </si>
  <si>
    <t>Tuyến kênh mương nội đồng A12-1 (Từ giáp mương A7 đến Trâm Bọng)</t>
  </si>
  <si>
    <t>Tuyến kênh mương nội đồng A12-2 (Từ mương A9 - giáp mương A7)</t>
  </si>
  <si>
    <t>Tuyến kênh mương kênh bà Đáp - kênh A12-1, B2 - Chòi ông Bình.</t>
  </si>
  <si>
    <t>Tuyến kênh mương nội đồng B2-1 (Từ cống đập D1 đến giáp mương A7)</t>
  </si>
  <si>
    <t>Tuyến kênh mương nội đồng B2-2 (Từ mương A7 đến giáp mương A9)</t>
  </si>
  <si>
    <t>Tuyến kênh mương nội đồng B1 (Từ cống đập D1 đến giáp mương A4)</t>
  </si>
  <si>
    <t>Tuyến kênh mương nội đồng Từ cống Bà Sáu đến cầu Bà Nghè</t>
  </si>
  <si>
    <t>Từ kênh Bà Đáp - ruộng ông Mai Văn Cảnh</t>
  </si>
  <si>
    <t>Hồ Bút Thuyền đến Tỉnh lộ 44B</t>
  </si>
  <si>
    <t>Mương suối tía (kenh Bà Đáp-Đoàn Xuân Khánh)</t>
  </si>
  <si>
    <t>Tuyến mươn nội đồng từ ruộng ông 4 lệ đến Nguyễn Văn Cận</t>
  </si>
  <si>
    <t>Tuyến mương giáp ranh Phước Hội</t>
  </si>
  <si>
    <t>Tuyến mương từ cầu Bà Nghè đến Đập D1</t>
  </si>
  <si>
    <t>Tuyến mương từ ruộng ông Ngời đến kênh Bà Đáp</t>
  </si>
  <si>
    <t>Từ Kênh Bà Đáp - sau trại cá sấu</t>
  </si>
  <si>
    <t>Sửa chữa, nâng cấp tuyến mương từ đất ông Định
 đến ruộng ông Trần Văn Biết</t>
  </si>
  <si>
    <t>Kè đá hộc hai bên mương kênh Bà Đáp (từ đập D1 đến ruộng bà Nguyễn Thị Thanh)</t>
  </si>
  <si>
    <t>kè đá hộc hai bên mương từ ruộng ông Lý Văn Tập đến giáp ranh xã Long Mỹ</t>
  </si>
  <si>
    <t>Xây kè mương từ QL55 đến cầu Bà Nghè-đập D1</t>
  </si>
  <si>
    <t>Gò rùa- Khoá (kênh gò rùa)</t>
  </si>
  <si>
    <t>Gò xoài- Bà Lụa (Kênh N10)</t>
  </si>
  <si>
    <t>Ông Đằng- Mười Mẫu (kênh N12)</t>
  </si>
  <si>
    <t>Cây Vừng - Cây Sộp</t>
  </si>
  <si>
    <t>Cây Vừng - Gò Xoài</t>
  </si>
  <si>
    <t>Mương Nội Đồng Đáy Gò Rùa Cổ Rựa</t>
  </si>
  <si>
    <t>Mương Nội Đồng Phần Khoá</t>
  </si>
  <si>
    <t>Mương Đập mù u-ruộng Bảy đám</t>
  </si>
  <si>
    <t>Tuyến kênh mương nội đồng từ giáp mương bêtông đến đập Bà Lụa</t>
  </si>
  <si>
    <t>Tuyến kênh mương nội đồng từ Ông Miên đến Ông Đằng</t>
  </si>
  <si>
    <t xml:space="preserve">Tuyến kênh mương nội đồng từ Cây Vừng đến Cống Bà Bình </t>
  </si>
  <si>
    <t>Tuyến kênh mương nội đồng từ ông Hạnh đến mương cấp 2</t>
  </si>
  <si>
    <t>Tuyến kênh mương nội đồng từ Bà Sum đến mương cấp 2</t>
  </si>
  <si>
    <t>Tuyến kênh mương nội đồng từ Bà Sum đến Ông Hạnh</t>
  </si>
  <si>
    <t>Tuyến Kênh Mương Đập Cây Da - Bà Sùng</t>
  </si>
  <si>
    <t>Tuyến Kênh Mương Gò Rùa - Cổ Rựa</t>
  </si>
  <si>
    <t>Tuyến kênh mương Đập Ông Kỷ - Suối Đất Đỏ</t>
  </si>
  <si>
    <t>Tuyến kênh mương nội đồng ông Đằng đến Quang Viên</t>
  </si>
  <si>
    <t>Tuyến kênh mương nội đồng Giáp võng đến cống N12</t>
  </si>
  <si>
    <t>Tuyến kênh mương từ Cầu Ghe đến Hương lộ 14</t>
  </si>
  <si>
    <t>Tuyến kênh mương từ Bà Mít, ông Tiên</t>
  </si>
  <si>
    <t>Tuyến kênh mương từ Cầu mốc đến ông Thụ</t>
  </si>
  <si>
    <t>Tuyến kênh mương từ Mười Mẫu, Tai Bèo - ông Trương</t>
  </si>
  <si>
    <t>Tuyến kênh mương từ Hương Lộ 14 đến Hổ Hùng</t>
  </si>
  <si>
    <t>Tuyến kênh mương bà Long - đập Làng, cây Sộp - bà Long</t>
  </si>
  <si>
    <t>Tuyến kênh mương Ông Quang - Bà Vườn - Cầu Đất Đỏ, Mù u - Bàu</t>
  </si>
  <si>
    <t>Tuyến kênh mương từ Hổ Hùng, kênh tiêu Bà Đá</t>
  </si>
  <si>
    <t>Tuyến kênh mương nội đồng phần cầu - Mương Thưởng - ông Tiên</t>
  </si>
  <si>
    <t>Tuyến kênh mương nội đồng từ Gò Xoài đến Ông Miên</t>
  </si>
  <si>
    <t>Tuyến kênh mương nội đồng từ Mười Mẫu - bà Đội</t>
  </si>
  <si>
    <t>Tuyến kênh mương nội đồng Từ kênh bê tông hiện hữu đến mương Giáp Võng</t>
  </si>
  <si>
    <t>Tuyến kênh mương nội đồng Cống Mốc - Mã Hộc</t>
  </si>
  <si>
    <t>Tuyến kênh mương nội đồng Phần Chính Đám đến Đồng Nẩy</t>
  </si>
  <si>
    <t>Tuyến kênh mương nội đồng Mương Máng - bà Bếp</t>
  </si>
  <si>
    <t xml:space="preserve">Tuyến mương từ phần Lớn – bê tông cấp I </t>
  </si>
  <si>
    <t xml:space="preserve">Tuyến mương ngã 3 Hang hái – Gò xoài </t>
  </si>
  <si>
    <t>Tuyến mương Mương giang – Đáy 4 mẫu</t>
  </si>
  <si>
    <t>Tuyến mương Cống Cổ rựa – Lọ nồi</t>
  </si>
  <si>
    <t>Tuyến mương Đập 2 Tơ - Lọ nồi</t>
  </si>
  <si>
    <t>Tuyến mương Bổn trấn - Cầu Mốc</t>
  </si>
  <si>
    <t>Tuyến mương Khâu Phần ruộng Bà Thiên – Đáy Lộc</t>
  </si>
  <si>
    <t>Tuyến mương Bồng</t>
  </si>
  <si>
    <t>Tuyến mương Đáy 12 Thượng – Bà Lộc</t>
  </si>
  <si>
    <t>Tuyến mương Khâu Tu Hích - ruộng Tu hích hồi dài</t>
  </si>
  <si>
    <t>Tuyến mương Tre Đôi Trên - phần Thợ</t>
  </si>
  <si>
    <t>Tuyến mương Rẫy đến Đáy ông Trương</t>
  </si>
  <si>
    <t>Tuyến mương đập Làng đến cầu Ông Miên</t>
  </si>
  <si>
    <t>Tuyến Đáy Xà Đôi- Lọ Nồi</t>
  </si>
  <si>
    <t>Tuyến Cây Táo- Bổn Trấn</t>
  </si>
  <si>
    <t>Tuyến bà Đội- Bổn Trấn</t>
  </si>
  <si>
    <t>Tuyến muong Giang- Xà Đô</t>
  </si>
  <si>
    <t>Tuyến mương từ đập ông Đằng - cầu An Nhứt</t>
  </si>
  <si>
    <t>Đường bên hông cầu An Nhứt - Mương Bồng</t>
  </si>
  <si>
    <t>Tuyến mương từ cống ông Vàng đến Bê tông đồng Nãy</t>
  </si>
  <si>
    <t>Tuyến mương từ đồng Nãy đến Hổ Hùng</t>
  </si>
  <si>
    <t>Tuyến mương từ cầu Đất Đỏ đến cống Ngã Hai</t>
  </si>
  <si>
    <t>Tuyến mương từ cầu Bà Súng đến Mù U</t>
  </si>
  <si>
    <t>Tuyến mương từ đập Cây Đa đến đập ông Đằng</t>
  </si>
  <si>
    <t>Mương thoát nước từ cầu An Nhứt đến mương Bồng (đập ngã hai)</t>
  </si>
  <si>
    <t>Tuyến mương nội đồng cầu bà Nghè</t>
  </si>
  <si>
    <t>Mương nội đồng Bà Sáu - cây Vừng, đội 1</t>
  </si>
  <si>
    <t>Mương thoát nước Đáy Phần Nhỏ</t>
  </si>
  <si>
    <t>Mương Khâu Bà Lụa</t>
  </si>
  <si>
    <t>Mương Đáy Xà Đôi</t>
  </si>
  <si>
    <t>Mương từ nhà cô Bảy Xuân tới Hổ Hùng</t>
  </si>
  <si>
    <t>Tuyến mương nội đồng Bà Sáu Cát</t>
  </si>
  <si>
    <t>Tuyến mương nội đồng đầu cầu An Nhứt</t>
  </si>
  <si>
    <t>Tuyến mương nội đồng từ Bà Sùng- Đáy</t>
  </si>
  <si>
    <t>Tuyến mương nội đồng Tu Hít + Mương 12 Hạ, xã An Nhứt</t>
  </si>
  <si>
    <t>Tuyến mương nội đồng từ nhà Bà Tư - Hổ Hùng</t>
  </si>
  <si>
    <t>Mương nội đồng 10 mẫu, đội 2</t>
  </si>
  <si>
    <t>Mương nội đồng Bà Cai 
- Ông Thụ, đội 3</t>
  </si>
  <si>
    <t xml:space="preserve">Mương nội đồng Bàu 
Chảo, đội 1 </t>
  </si>
  <si>
    <t>Mương nội đồng Giáp
 Võng - Tre Đội, đội 3</t>
  </si>
  <si>
    <t>Xây kè mương từ Bà 
Vương đến QL55</t>
  </si>
  <si>
    <t>Xây kè mương từ Cầu
 Mốc đến cống ngã Ba (Mã Học)</t>
  </si>
  <si>
    <t>Tuyến N 19 - 2</t>
  </si>
  <si>
    <t xml:space="preserve">Tuyến N 19 - 2 - </t>
  </si>
  <si>
    <t>Tuyến N 19 - 2 - 3</t>
  </si>
  <si>
    <t>Tuyến N 19 - 2A</t>
  </si>
  <si>
    <t>Tuyến N 19 - 4</t>
  </si>
  <si>
    <t>Tuyến N 19 - 4 - 6</t>
  </si>
  <si>
    <t>Tuyến N 19 - 2 - 5</t>
  </si>
  <si>
    <t>Tuyến N 19 - 2 - 7</t>
  </si>
  <si>
    <t>Tuyến N 19 - 4 - 6 đến giáp tuyến kênh Cầu Ngang</t>
  </si>
  <si>
    <t>Tuyến mương nội đồng khu vực ruộng cá</t>
  </si>
  <si>
    <t>Tuyến mương nội đồng từ ruộng ông Đỗ Hoa đến đập Cây Dừa</t>
  </si>
  <si>
    <t>Tuyến Suối Đắp đến kênh Bà Đáp</t>
  </si>
  <si>
    <t>Tuyến mương nội đồng khu vực đáy Cổ Cò</t>
  </si>
  <si>
    <t>Tuyến mương nội đồng thuộc tập đoàn sản xuất lúa số 01</t>
  </si>
  <si>
    <t>tuyến mương nội đồng khu đáy Quai Mỏ</t>
  </si>
  <si>
    <t>SC, NC Xây kè Tuyến mương nội đồng từ cống qua đường Gò Đình đến cầu Ngang</t>
  </si>
  <si>
    <t>N8A (Cây Vừng dập chua nước LD AN</t>
  </si>
  <si>
    <t>N9 (ông chữ)</t>
  </si>
  <si>
    <t>N8A-7</t>
  </si>
  <si>
    <t>Mương Đá đen (N3 sông dinh)</t>
  </si>
  <si>
    <t>Tuyến kênh mương nội đồng Cây Me - Cây Dừa</t>
  </si>
  <si>
    <t>Tuyến kênh mương nội đồng N9-2 (Mồ Côi)</t>
  </si>
  <si>
    <t>Tuyến kênh mương nội đồng Mương B</t>
  </si>
  <si>
    <t>Tuyến kênh mương 8 Hưng - Suối Ngang, N9 - Do Thành, N9 - Bàu Mang</t>
  </si>
  <si>
    <t>Tuyến kênh mương Mương Bạc - Cổ Cò, Mương Bạc - Suối Ngang</t>
  </si>
  <si>
    <t>Tuyến kênh mương nội đồng N19-2A (đập ông Tôn)</t>
  </si>
  <si>
    <t>Tuyến kênh mương nội đồng N8A1-A (từ lô 4 đến kênh tiêu cầu Bàu Súng)</t>
  </si>
  <si>
    <t>Tuyến kênh mương nội đồng N9 (nối dài)</t>
  </si>
  <si>
    <t>Tuyến kênh mương nội đồng Bàu lát</t>
  </si>
  <si>
    <t>Bàu thành- Suối ngang N3- Mương bộng</t>
  </si>
  <si>
    <t>Đập đá - Cây me</t>
  </si>
  <si>
    <t>Hai Quang</t>
  </si>
  <si>
    <t>Bá ca - Cây duối</t>
  </si>
  <si>
    <t>Tuyết mương Bổ- đập Đá</t>
  </si>
  <si>
    <t>Tuyến mương khu vực Bàu Lát</t>
  </si>
  <si>
    <t>Tuyến mương Khâu- cây Me</t>
  </si>
  <si>
    <t>Tuyến đáy Năm Dây- mương Tiêu- Khâu Bàu Mang Hạ</t>
  </si>
  <si>
    <t>Mương Đá heo</t>
  </si>
  <si>
    <t>Mương Dòng Vấn</t>
  </si>
  <si>
    <t>Tuyến kênh mương Cây Gáo</t>
  </si>
  <si>
    <t>Tuyến kênh mương Bàu Ôi</t>
  </si>
  <si>
    <t>Tuyến mung từ ruộng ông Việt đến N3 Sông Dinh</t>
  </si>
  <si>
    <t>Tuyến mương ruộng ông Thương qua ruộng ông Công, ông Sự, ông Chiến đến ruộng ông Đá, ông Lộc, Khu phố Long Phương</t>
  </si>
  <si>
    <t>Tuyến mương nội đồng từ cầu Bà Súng đến cống ông An</t>
  </si>
  <si>
    <t>Xây kè mương từ Đập Đá đến đập ông Tôn</t>
  </si>
  <si>
    <t>tuyến mương từ ruộng ông Bình Mập đến đáy mương Cầu Bà Súng</t>
  </si>
  <si>
    <t>Bê tông hóa kênh tưới ấp Nam Hải</t>
  </si>
  <si>
    <t>Bê tông kênh Nam Hải (nối dài)</t>
  </si>
  <si>
    <t>Kiên cố kênh tưới láng cát</t>
  </si>
  <si>
    <t>Bê tông hóa kênh tiêu thôn Phước Hải</t>
  </si>
  <si>
    <t>Bê tông hóa kênh tiêu thôn Cát Hải</t>
  </si>
  <si>
    <t>Bê tông hóa kênh tiêu thôn Láng Cát tổ 12</t>
  </si>
  <si>
    <t>Bê tông hóa kênh tiêu thôn Láng Cát tồ 16. xà Tân Hái</t>
  </si>
  <si>
    <t>Bê tông hóa mương tổ 1,2 Phước Hải</t>
  </si>
  <si>
    <t>Bê tông hóa mương tổ 1, tổ 5 thôn Cát Hải</t>
  </si>
  <si>
    <t>Bê tông hóa kênh tô 8 Láng Cát</t>
  </si>
  <si>
    <t>Bê tông hóa kênh tô 16 Láng Cát</t>
  </si>
  <si>
    <t>Bê tông hóa mương Nam Hải</t>
  </si>
  <si>
    <t>Bê tông hóa mương tổ 3 Phước Hải- tổ 6 Cát Hải</t>
  </si>
  <si>
    <t>Bê tông hóa kênh mương tưới tiêu số 4, tổ 7 Cát Hải</t>
  </si>
  <si>
    <t xml:space="preserve">Bê tông hóa kênh mương tưới tiêu Nam Hải. Láng Cát. </t>
  </si>
  <si>
    <t>Bê tông hóa kênh tổ 5, tổ 8 Cá tHải</t>
  </si>
  <si>
    <t>Bê tông hóa mương tổ 7 thôn Cát Hải</t>
  </si>
  <si>
    <t>Bê tông hóa kênh tưới tiêu tổ 8 ấp Cầu Mới</t>
  </si>
  <si>
    <t>Bê tông hóa kênh tưới tiêu tổ 5 - tổ 8 ấp Cầu Mới</t>
  </si>
  <si>
    <t>Bê tông hóa kênh tổ 6 - tổ 8 Cầu Mới</t>
  </si>
  <si>
    <t>Bê tông hóa mương tổ 4 ấp Cầu Ry</t>
  </si>
  <si>
    <t>Kênh tưới ấp Tân Châu</t>
  </si>
  <si>
    <t>Kênh cánh đồng thầy giáo</t>
  </si>
  <si>
    <t>Bê tông hóa kênh N4-1</t>
  </si>
  <si>
    <t>Bê tông hóa kênh N4-3</t>
  </si>
  <si>
    <t>Bê tông hóa kênh N4-5. xã Châu Pha</t>
  </si>
  <si>
    <t>Bê tông kênh tưới N20</t>
  </si>
  <si>
    <t>Bê tông kênh N4-8 Tân Long</t>
  </si>
  <si>
    <t>Bê tông hóa kênh N4-12</t>
  </si>
  <si>
    <t>Bê tông hóa kênh N4-14</t>
  </si>
  <si>
    <t>Bê tông kênh nội đồng N2</t>
  </si>
  <si>
    <t>Bê tông hóa kênh nội đồng N10</t>
  </si>
  <si>
    <t>Bê tông hóa kênh N4-8-CP21</t>
  </si>
  <si>
    <t>Bê tông hóa kênh Tân Trung</t>
  </si>
  <si>
    <t>Bê tông hóa kênh N4-8-CP21 (nối dài)</t>
  </si>
  <si>
    <t>Bê tông hóa kênh N4 Suối Châu Pha</t>
  </si>
  <si>
    <t>Bê tông hóa kênh mương tưới tiêu từ CP21 - CP25</t>
  </si>
  <si>
    <t>Tuyến kênh bê tông 6A</t>
  </si>
  <si>
    <t>Tuyến kênh bê tông 6A (nối dài)</t>
  </si>
  <si>
    <t>Phường Bà Rịa, Phường Long Hương, Phường Tam Long</t>
  </si>
  <si>
    <t>Xã Châu Pha, xã Nghĩa Thành</t>
  </si>
  <si>
    <t>Phường Long Hương, Phường Bà Rịa</t>
  </si>
  <si>
    <t>Phường Tam Long, Xã Đất Đỏ</t>
  </si>
  <si>
    <t>Quốc lộ 1K</t>
  </si>
  <si>
    <t>Suối Lồ Ồ</t>
  </si>
  <si>
    <t>Rạch Bà lồ</t>
  </si>
  <si>
    <t>Suối Bình Thắng</t>
  </si>
  <si>
    <t>Đường Vành đai Đại học Quốc Gia</t>
  </si>
  <si>
    <t>Rạch Bà lồ nhánh 2</t>
  </si>
  <si>
    <t>Địa điểm</t>
  </si>
  <si>
    <t>Tên sông, kênh, rạch, hồ, đập</t>
  </si>
  <si>
    <t>I. Danh mục các tuyến sông, kênh, rạch: Tổng cộng 06 tuyến, tổng chiều dài L= 35.000 m</t>
  </si>
  <si>
    <t>II. Danh mục hồ, đập: Tổng cộng 06 hồ</t>
  </si>
  <si>
    <t>Chiều dài đập chính/kè bảo vệ (m)</t>
  </si>
  <si>
    <t>Lớn</t>
  </si>
  <si>
    <t>Phường Đông Hòa</t>
  </si>
  <si>
    <t>Rạch Bà Lồ nhánh 1</t>
  </si>
  <si>
    <t>Long Bình</t>
  </si>
  <si>
    <t>B2. KHU VỰC BÌNH DƯƠNG</t>
  </si>
  <si>
    <t>Hệ thống suối Tân Lợi - suối sâu - suối Vũng Gấm</t>
  </si>
  <si>
    <t>Xã Bắc Tân Uyên, xã Thường Tân</t>
  </si>
  <si>
    <t>Xã Bắc Tân Uyên (1235769; 704061)</t>
  </si>
  <si>
    <t>Phường Tân Uyên (1231831; 698531)</t>
  </si>
  <si>
    <t>Phường Bình Cơ, Vĩnh Tân, Tân Hiệp, Tân Khánh</t>
  </si>
  <si>
    <t>Phường Bình Cơ (1233421; 698531)</t>
  </si>
  <si>
    <t>Thửa đất số 856, tờ bản đồ số 5</t>
  </si>
  <si>
    <t>Suối Bà Phó thửa đất số 517, tờ số 5</t>
  </si>
  <si>
    <t>Suối Hổ Cao</t>
  </si>
  <si>
    <t>Đường ĐT 746 thửa số 863, tờ số 31</t>
  </si>
  <si>
    <t>Suối Cái thửa số 404, tờ số 31</t>
  </si>
  <si>
    <t>Mương thoát nước đường TH17</t>
  </si>
  <si>
    <t>Đất ông Cảnh, đường Tân Hiệp 17; Thửa 34, 23 tờ 16; Thửa 358, 325 tờ 16</t>
  </si>
  <si>
    <t>Suối Ông Đông, thửa số 221, 113 tờ 21</t>
  </si>
  <si>
    <t>Mương thoát nước đường Nguyễn Khuyến (gần đường 15)</t>
  </si>
  <si>
    <t>Công ty SANG SHUN; Thửa số 116, 125 tờ 28</t>
  </si>
  <si>
    <t>Đường Nguyễn Khuyến; Thửa số 101, 1355 tờ 28</t>
  </si>
  <si>
    <t>Mương thoát nước đường Nguyễn Khuyến (gần cống ngang)</t>
  </si>
  <si>
    <t>Đường Nguyễn Khuyến; Thửa số 138, 1012 tờ 28</t>
  </si>
  <si>
    <t>Thửa đất số 1790, 389 tờ 24 (giáp đất công)</t>
  </si>
  <si>
    <t>Mương thoát nước đường Nguyễn Khuyến (gần sân bóng Thành Nam)</t>
  </si>
  <si>
    <t>Thửa đất số 15, 968 tờ 31 (giáp đất ông Công)</t>
  </si>
  <si>
    <t>Suối Cái; Thửa đất số 59, 60 tờ 31</t>
  </si>
  <si>
    <t>Mương thoát nước Hồ Miếu Bà</t>
  </si>
  <si>
    <t>Thửa đất số 1085, 190 tờ 37 (giáp đường đất)</t>
  </si>
  <si>
    <t>Suối Cái; Thửa đất số 158, 1182 tờ 24</t>
  </si>
  <si>
    <t>Nhánh 1 Mương thoát nước Hồ Voi</t>
  </si>
  <si>
    <t>TH26 Thửa đất số 2280, 1701 tờ 29 (đường Nguyễn Tri Phương)</t>
  </si>
  <si>
    <t>Thửa đất số 1700, tờ 29 (Mương thoát nước Hồ Voi)</t>
  </si>
  <si>
    <t>Nhánh 2 Mương thoát nước Hồ Voi</t>
  </si>
  <si>
    <t>Thửa đất số 1709, tờ 29; Thửa số 1939 tờ 30</t>
  </si>
  <si>
    <t>Thửa đất số 1706 tờ 29; Thửa số 1709 tờ 29 (Mương thoát nước Hồ Voi)</t>
  </si>
  <si>
    <t>Mương nước đường Tân Hiệp 30, 31</t>
  </si>
  <si>
    <t>Thửa số 91, tờ 37 (Giáp đường Tân Hiệp 30, 31)</t>
  </si>
  <si>
    <t>Thửa số 114, tờ 37 (Mương hồ Miếu Bà)</t>
  </si>
  <si>
    <t>Mương Hồ Tân Long</t>
  </si>
  <si>
    <t>Thửa số 982, 2320 tờ 27 (Giáp Miếu Ông)</t>
  </si>
  <si>
    <t>Thửa số 1092, tờ 24 (Suối Cái)</t>
  </si>
  <si>
    <t>Mương Ngọn Đầu Cùng</t>
  </si>
  <si>
    <t>Đường ĐT 747B, thửa số 571, 430 tờ 38</t>
  </si>
  <si>
    <t>Mương Bà Tô, thửa số 681, 679 tờ 46</t>
  </si>
  <si>
    <t>Mương khu phố Khánh Lộc</t>
  </si>
  <si>
    <t>Thửa số 788, 2009 tờ 45</t>
  </si>
  <si>
    <t>Mương Bà Tô, thửa số 602 tờ 45 và thửa 876 tờ 46</t>
  </si>
  <si>
    <t>Suối Rạch Cát</t>
  </si>
  <si>
    <t>Thửa số 817, 732 tờ 47</t>
  </si>
  <si>
    <t>Sông Đồng Nai, thửa số 631, 709 tờ 47</t>
  </si>
  <si>
    <t>Suối Ông Thu</t>
  </si>
  <si>
    <t>Đường Khánh Bình 53, thửa 787 tờ 41</t>
  </si>
  <si>
    <t>Sông Đồng Nai, thửa số 129, 1606 tờ 47</t>
  </si>
  <si>
    <t>4,5-5</t>
  </si>
  <si>
    <t>Mương Nước Trong</t>
  </si>
  <si>
    <t>Đường ĐT 747, thửa số 178, 177 tờ 41</t>
  </si>
  <si>
    <t>Suối Cái, thửa số 204 tờ 41 và thửa 56 tờ 42</t>
  </si>
  <si>
    <t>Mương Ông Mua</t>
  </si>
  <si>
    <t>Đường ĐT 747, thửa số 48, 558 tờ 42</t>
  </si>
  <si>
    <t>Sông Đồng Nai, thửa số 96, 97 tờ 42</t>
  </si>
  <si>
    <t>Mương Ông Mẻn</t>
  </si>
  <si>
    <t>Thửa số 79, 82 tờ 35</t>
  </si>
  <si>
    <t>Thửa số 145, 147 tờ 36</t>
  </si>
  <si>
    <t>Đường ĐT 747A, thửa số 99 tờ 34</t>
  </si>
  <si>
    <t>Sông Đồng Nai, thửa số 111 tờ 50</t>
  </si>
  <si>
    <t>Mương nước Bình Khánh</t>
  </si>
  <si>
    <t>Thửa số 499 tờ 34</t>
  </si>
  <si>
    <t>Mương Bà Tô, thửa số 47 tờ 40</t>
  </si>
  <si>
    <t>Mương nhà Út Phước</t>
  </si>
  <si>
    <t>Đường Lê Quang Định thửa số 100 tờ 34</t>
  </si>
  <si>
    <t>Mương Bà Tô, thửa số 210 tờ 34</t>
  </si>
  <si>
    <t>Mương Ông Hề</t>
  </si>
  <si>
    <t>Đường ĐT 747A</t>
  </si>
  <si>
    <t>Mương Bà Chin</t>
  </si>
  <si>
    <t>Thửa số 649 tờ 38</t>
  </si>
  <si>
    <t>Suối Cái, thửa số 190 tờ 43</t>
  </si>
  <si>
    <t>Mương Hồ đầu lâu</t>
  </si>
  <si>
    <t>Đường Tân Hiệp 15; Thửa 90, 563, 22 tờ 11</t>
  </si>
  <si>
    <t>Suối Bà Phó, thửa 01, 02 tờ 10</t>
  </si>
  <si>
    <t>Mương Hồ Cây Dền</t>
  </si>
  <si>
    <t>Đường Nguyễn Khuyến; Thửa 3003 tờ 11; Thửa 292 tờ 16</t>
  </si>
  <si>
    <t>Suối Bà Phó, thửa 617, 618 tờ 10</t>
  </si>
  <si>
    <t>Phường Tân Hiệp</t>
  </si>
  <si>
    <t>UBND phường Tân Hiệp</t>
  </si>
  <si>
    <t>2,4</t>
  </si>
  <si>
    <t>5-7</t>
  </si>
  <si>
    <t xml:space="preserve">Đập Thị Tính (Hàng Nù) </t>
  </si>
  <si>
    <t>xã Phước Thành (1259381; 696304)</t>
  </si>
  <si>
    <t>Đập Phước Hòa</t>
  </si>
  <si>
    <t>Xã Phước Thành, An Long, Phước Hòa, Phú Giáo, Bắc Tân Uyên</t>
  </si>
  <si>
    <t>VII</t>
  </si>
  <si>
    <t>Hồ Dầu Tiếng</t>
  </si>
  <si>
    <t>xã An Long, Trừ Văn Thố, 
Minh Thạnh, Dầu Tiếng</t>
  </si>
  <si>
    <t>Hệ thống suối Bến Ván - suối Đồng Sổ - suối Bà Lăng - suối Ông Tề</t>
  </si>
  <si>
    <t>xã Phường Bến Cát (1237943; 674328)</t>
  </si>
  <si>
    <t>B. SÔNG, SUỐI, KÊNH, RẠCH ĐI QUA ĐỊA BÀN TỪ 02 PHƯỜNG, XÃ; CÁC TUYẾN TRỤC CHÍNH</t>
  </si>
  <si>
    <t>Điểm đầu
(tọa độ X;Y)</t>
  </si>
  <si>
    <t>Điểm cuối
(tọa độ X;Y)</t>
  </si>
  <si>
    <t>Núi Thánh giá
(373614.19;
963061.60)</t>
  </si>
  <si>
    <t xml:space="preserve">Hồ An Hải
(373177.98;
959627.23) </t>
  </si>
  <si>
    <t>Núi Chúa
(375127.33;
963471.82)</t>
  </si>
  <si>
    <t>Bãi biển Lò vôi
(375822.37;
961403.87)</t>
  </si>
  <si>
    <t>Núi Chúa
(375453.67;
963476.53)</t>
  </si>
  <si>
    <t>Bãi biển Sixsens
(376909.46;
962311.22)</t>
  </si>
  <si>
    <t>Núi Chúa
(375946.77;
963638.33)</t>
  </si>
  <si>
    <t>Bãi Vong
(377432.68;
963654.51)</t>
  </si>
  <si>
    <t>(678940.09;
963623.12)</t>
  </si>
  <si>
    <t>(679010.39;
965483.09)</t>
  </si>
  <si>
    <t>Núi Chúa
(375113.95;
963590.99)</t>
  </si>
  <si>
    <t>Bãi Đầm Trầu
(375387.26;
965476.21)</t>
  </si>
  <si>
    <t>Phân loại hồ</t>
  </si>
  <si>
    <t>Suối Lội</t>
  </si>
  <si>
    <t>Sông Ray</t>
  </si>
  <si>
    <t>Suối Tầm Bó</t>
  </si>
  <si>
    <t>Suối Gia Hoét</t>
  </si>
  <si>
    <t>Suối Lồ Ồ 2</t>
  </si>
  <si>
    <t>Suối Đá Bàng</t>
  </si>
  <si>
    <t>Suối Chùa</t>
  </si>
  <si>
    <t>Suối Bà Tùng</t>
  </si>
  <si>
    <t>Suối Dán Ý</t>
  </si>
  <si>
    <t>Sông La Gum</t>
  </si>
  <si>
    <t>Suối Cầu 4</t>
  </si>
  <si>
    <t>Sông Dân Y</t>
  </si>
  <si>
    <t>Suối Gạo</t>
  </si>
  <si>
    <t>Sông Đu Đủ</t>
  </si>
  <si>
    <t>Sông Xoài</t>
  </si>
  <si>
    <t>Suối Chà Răng</t>
  </si>
  <si>
    <t>Suối Liên Hiệp</t>
  </si>
  <si>
    <t>Suối Sông Xoài</t>
  </si>
  <si>
    <t>Suối Nhạc</t>
  </si>
  <si>
    <t>Suối Lúp</t>
  </si>
  <si>
    <t>Suối Son</t>
  </si>
  <si>
    <t>Suối Châu Pha</t>
  </si>
  <si>
    <t>Suối Sông Cầu</t>
  </si>
  <si>
    <t>Sông Cỏ May</t>
  </si>
  <si>
    <t>Sông Bà Cội</t>
  </si>
  <si>
    <t>Sông Bà Tìm</t>
  </si>
  <si>
    <t>Suối Cầu 1</t>
  </si>
  <si>
    <t>Phường Tân Thành, Phường Phú Mỹ</t>
  </si>
  <si>
    <t>Xã Châu Pha, Phường Phú Mỹ</t>
  </si>
  <si>
    <t>Xã Bàu Lâm, Xã Phước Hải</t>
  </si>
  <si>
    <t>Xã Bình Giã, Xã Xuân Sơn</t>
  </si>
  <si>
    <t>Xã Bình Giã, Xã Hồ Tràm</t>
  </si>
  <si>
    <t>Xã Bình Giã, Xã Nghĩa Thành</t>
  </si>
  <si>
    <t>Xã Nghĩa Thành, Xã Long Điền</t>
  </si>
  <si>
    <t>Xã Nghĩa Thành, Xã Đất Đỏ</t>
  </si>
  <si>
    <t>Phường Tam Long, Xã Long Điền</t>
  </si>
  <si>
    <t>Xã Đất Đỏ, Xã Phước Hải</t>
  </si>
  <si>
    <t>Xã Bàu Lâm, Xã Hòa Hội</t>
  </si>
  <si>
    <t>Xã Hồ Tràm, Xã Hòa Hội</t>
  </si>
  <si>
    <t>Xã Hòa Hiệp, Xã Bình Châu</t>
  </si>
  <si>
    <t>Phường Tân Thành, Phường Rạch Dừa</t>
  </si>
  <si>
    <t>Xã Châu Đức, Phường Tân Thành</t>
  </si>
  <si>
    <t>Xã Châu Đức, Xã Kim Long</t>
  </si>
  <si>
    <t>Xã Kim Long, Xã Ngãi Giao</t>
  </si>
  <si>
    <t>Xã Ngãi Giao, Xã Nghĩa Thành</t>
  </si>
  <si>
    <t>Phường Tân Thành, Xã Châu Pha</t>
  </si>
  <si>
    <t>Xã Ngãi Giao, Phường Bà Rịa</t>
  </si>
  <si>
    <t>Phường Long Hương, Phường Phước Thắng</t>
  </si>
  <si>
    <t>Phường Long Hương, Phường Tân Hải</t>
  </si>
  <si>
    <t>Xã Xuyên Mộc, xã Hòa Hội</t>
  </si>
  <si>
    <t>Xã Xuyên Mộc, xã Hồ Tràm</t>
  </si>
  <si>
    <t>B3. KHU VỰC BÀ RỊA - VŨNG TÀU</t>
  </si>
  <si>
    <t>429841.97; 1175351.32</t>
  </si>
  <si>
    <t>429006.28; 1173531.15</t>
  </si>
  <si>
    <t>467264.90; 1194774.51</t>
  </si>
  <si>
    <t>447208.39; 1182742.63</t>
  </si>
  <si>
    <t>449594.08; 1183105.11</t>
  </si>
  <si>
    <t>445830.22; 1176347.14</t>
  </si>
  <si>
    <t>447904.00; 1174877.00</t>
  </si>
  <si>
    <t>449007.37; 1174291.31</t>
  </si>
  <si>
    <t>446019.52; 1179590.26</t>
  </si>
  <si>
    <t>450033.44; 1164994.65</t>
  </si>
  <si>
    <t>442174.71; 1165654.34</t>
  </si>
  <si>
    <t>449304.28; 1156567.12</t>
  </si>
  <si>
    <t>464430.38; 1179414.25</t>
  </si>
  <si>
    <t>461633.23; 1182908.78</t>
  </si>
  <si>
    <t>462674.94; 1182944.41</t>
  </si>
  <si>
    <t>468039.78; 1181200.19</t>
  </si>
  <si>
    <t>471361.09; 1175400.84</t>
  </si>
  <si>
    <t>460394.96; 1180674.72</t>
  </si>
  <si>
    <t>462208.87; 1176419.78</t>
  </si>
  <si>
    <t>472995.27; 1191186.11</t>
  </si>
  <si>
    <t>435456.82; 1174905.02</t>
  </si>
  <si>
    <t>435908.55; 1181760.85</t>
  </si>
  <si>
    <t>443119.87; 1190419.73</t>
  </si>
  <si>
    <t>444076.61; 1188590.67</t>
  </si>
  <si>
    <t>435739.85; 1185689.71</t>
  </si>
  <si>
    <t>443190.41; 1186537.80</t>
  </si>
  <si>
    <t>439941.91; 1177966.64</t>
  </si>
  <si>
    <t>442991.60; 1182374.68</t>
  </si>
  <si>
    <t>443257.27; 1173075.00</t>
  </si>
  <si>
    <t>433529.46; 1183840.36</t>
  </si>
  <si>
    <t>443848.37; 1170870.72</t>
  </si>
  <si>
    <t>434458.66; 1155324.41</t>
  </si>
  <si>
    <t>434530.74; 1157345.63</t>
  </si>
  <si>
    <t>433288.48; 1157490.67</t>
  </si>
  <si>
    <t>462963.17; 1171047.1776</t>
  </si>
  <si>
    <t>465459.5784; 1170407.3358</t>
  </si>
  <si>
    <t>462428.5521; 1166930.7801</t>
  </si>
  <si>
    <t>430943.25; 1159610.30</t>
  </si>
  <si>
    <t>440460.78; 1154491.75</t>
  </si>
  <si>
    <t>437676.11; 1163812.82</t>
  </si>
  <si>
    <t>436535.54; 1168860.91</t>
  </si>
  <si>
    <t>437922.08; 1165852.13</t>
  </si>
  <si>
    <t>436034.23; 1175192.76</t>
  </si>
  <si>
    <t>437755.23; 1175567.82</t>
  </si>
  <si>
    <t>436016.67; 1179643.10</t>
  </si>
  <si>
    <t>437754.60; 1183921.09</t>
  </si>
  <si>
    <t>436055.36; 1178267.69</t>
  </si>
  <si>
    <t>431323.24; 1151786.19</t>
  </si>
  <si>
    <t>479844.94; 1173952.10</t>
  </si>
  <si>
    <t>463368.01; 1173303.86</t>
  </si>
  <si>
    <t>465639.06; 1166709.41</t>
  </si>
  <si>
    <t>466954.97; 1176391.87</t>
  </si>
  <si>
    <t>468687.28; 1169489.21</t>
  </si>
  <si>
    <t>458961.22; 1160408.06</t>
  </si>
  <si>
    <t>449094.98; 1161138.58</t>
  </si>
  <si>
    <t>442033.00; 1160977.23</t>
  </si>
  <si>
    <t>446383.72; 1157103.31</t>
  </si>
  <si>
    <t>443559.58; 1158899.95</t>
  </si>
  <si>
    <t>451329.62; 1168090.37</t>
  </si>
  <si>
    <t>447468.22; 1172996.74</t>
  </si>
  <si>
    <t>457155.83; 1166251.64</t>
  </si>
  <si>
    <t>454017.62; 1180719.11</t>
  </si>
  <si>
    <t>452968.15; 1179975.93</t>
  </si>
  <si>
    <t>455541.47; 1156485.90</t>
  </si>
  <si>
    <t>425876.58; 1174910.32</t>
  </si>
  <si>
    <t>424517.22; 1174929.91</t>
  </si>
  <si>
    <t xml:space="preserve"> 3 - 4,1 </t>
  </si>
  <si>
    <t xml:space="preserve"> 5 - 10 </t>
  </si>
  <si>
    <t xml:space="preserve"> 0,5 - 1,3 </t>
  </si>
  <si>
    <t xml:space="preserve"> 3,9 - 5,4 </t>
  </si>
  <si>
    <t xml:space="preserve"> 0,9 - 2,6 </t>
  </si>
  <si>
    <t xml:space="preserve"> 0,6 - 4 </t>
  </si>
  <si>
    <t xml:space="preserve"> 0,8 - 3,45</t>
  </si>
  <si>
    <t xml:space="preserve"> 1,5 - 2 </t>
  </si>
  <si>
    <t xml:space="preserve"> 1 - 4,5 </t>
  </si>
  <si>
    <t xml:space="preserve"> 12 - 18 </t>
  </si>
  <si>
    <t xml:space="preserve"> 24 - 31 </t>
  </si>
  <si>
    <t xml:space="preserve"> 29 - 38 </t>
  </si>
  <si>
    <t>0,7 - 1,5</t>
  </si>
  <si>
    <t>K0+733 - K1+633</t>
  </si>
  <si>
    <t xml:space="preserve"> 16 - 20 </t>
  </si>
  <si>
    <t xml:space="preserve"> 8 - 10 </t>
  </si>
  <si>
    <t xml:space="preserve"> 4 - 7 </t>
  </si>
  <si>
    <t xml:space="preserve"> 5 - 6,8 </t>
  </si>
  <si>
    <t xml:space="preserve"> 9 - 10 </t>
  </si>
  <si>
    <t xml:space="preserve"> 0,5 - 2,5 </t>
  </si>
  <si>
    <t xml:space="preserve"> 1,1 - 1,6 </t>
  </si>
  <si>
    <t xml:space="preserve"> 0,8 - 1,5 </t>
  </si>
  <si>
    <t xml:space="preserve"> 0,6 - 1,0 </t>
  </si>
  <si>
    <t xml:space="preserve"> 0,8 - 3 </t>
  </si>
  <si>
    <t xml:space="preserve"> 1,5 - 4 </t>
  </si>
  <si>
    <t xml:space="preserve"> 2 - 3 </t>
  </si>
  <si>
    <t xml:space="preserve"> 1 - 3,0 </t>
  </si>
  <si>
    <t xml:space="preserve"> 0,8 - 1,0 </t>
  </si>
  <si>
    <t xml:space="preserve"> 1,0 - 2,0 </t>
  </si>
  <si>
    <t xml:space="preserve"> 0,6 - 2,0 </t>
  </si>
  <si>
    <t xml:space="preserve"> 1,2 - 3,0 </t>
  </si>
  <si>
    <t xml:space="preserve"> 7 - 10 </t>
  </si>
  <si>
    <t xml:space="preserve"> 5,5 - 6 </t>
  </si>
  <si>
    <t xml:space="preserve"> 1,0 - 2 </t>
  </si>
  <si>
    <t xml:space="preserve"> 0,8 - 2 </t>
  </si>
  <si>
    <t xml:space="preserve"> 1,0 - 2,5 </t>
  </si>
  <si>
    <t xml:space="preserve"> 2,0 - 3,6 </t>
  </si>
  <si>
    <t xml:space="preserve"> 1 - 3 </t>
  </si>
  <si>
    <t xml:space="preserve"> 0,7 - 2 </t>
  </si>
  <si>
    <t xml:space="preserve"> 1,0 - 3 </t>
  </si>
  <si>
    <t xml:space="preserve"> 1 - 2 </t>
  </si>
  <si>
    <t xml:space="preserve"> 1,2 - 3 </t>
  </si>
  <si>
    <t xml:space="preserve"> 1,5 - 3 </t>
  </si>
  <si>
    <t>0,5 - 0,8</t>
  </si>
  <si>
    <t xml:space="preserve"> 0,6 - 0,8 </t>
  </si>
  <si>
    <t xml:space="preserve"> 4 - 10 </t>
  </si>
  <si>
    <t xml:space="preserve"> 10 - 15 </t>
  </si>
  <si>
    <t xml:space="preserve"> 10 - 16 </t>
  </si>
  <si>
    <t xml:space="preserve"> 10 - 18 </t>
  </si>
  <si>
    <t xml:space="preserve"> 11,6 - 16,6 </t>
  </si>
  <si>
    <t xml:space="preserve"> 30 - 40 </t>
  </si>
  <si>
    <t xml:space="preserve"> 20 - 26 </t>
  </si>
  <si>
    <t xml:space="preserve"> 16 - 17 </t>
  </si>
  <si>
    <t xml:space="preserve"> 20 - 22 </t>
  </si>
  <si>
    <t xml:space="preserve"> 18 - 20 </t>
  </si>
  <si>
    <t xml:space="preserve"> 20 - 30 </t>
  </si>
  <si>
    <t>25 - 45</t>
  </si>
  <si>
    <t xml:space="preserve"> 32 - 86 </t>
  </si>
  <si>
    <t xml:space="preserve"> 24 - 50 </t>
  </si>
  <si>
    <t xml:space="preserve"> 22 - 24 </t>
  </si>
  <si>
    <t xml:space="preserve"> 6 - 9 </t>
  </si>
  <si>
    <t xml:space="preserve"> 6 - 6,5 </t>
  </si>
  <si>
    <t xml:space="preserve"> 7 - 8 </t>
  </si>
  <si>
    <t xml:space="preserve"> 8 - 9 </t>
  </si>
  <si>
    <t xml:space="preserve"> 6 - 7 </t>
  </si>
  <si>
    <t xml:space="preserve"> 20 - 23 </t>
  </si>
  <si>
    <t xml:space="preserve"> 18 - 22 </t>
  </si>
  <si>
    <t xml:space="preserve"> 23 - 41 </t>
  </si>
  <si>
    <t xml:space="preserve"> 16,6 - 18,6 </t>
  </si>
  <si>
    <t xml:space="preserve"> 32 - 42 </t>
  </si>
  <si>
    <t xml:space="preserve"> 5 - 7 </t>
  </si>
  <si>
    <t xml:space="preserve"> 2 - 4 </t>
  </si>
  <si>
    <t xml:space="preserve"> 22 - 26 </t>
  </si>
  <si>
    <t xml:space="preserve"> 25 - 32 </t>
  </si>
  <si>
    <t xml:space="preserve"> 24 - 30 </t>
  </si>
  <si>
    <t xml:space="preserve"> 20 - 25 </t>
  </si>
  <si>
    <t xml:space="preserve"> 15 - 20 </t>
  </si>
  <si>
    <t xml:space="preserve"> 14 - 16 </t>
  </si>
  <si>
    <t xml:space="preserve"> 12 - 16 </t>
  </si>
  <si>
    <t xml:space="preserve"> 36 - 42 </t>
  </si>
  <si>
    <t xml:space="preserve"> 28 - 32 </t>
  </si>
  <si>
    <t xml:space="preserve"> 10 - 30 </t>
  </si>
  <si>
    <t xml:space="preserve"> 12 - 14 </t>
  </si>
  <si>
    <t xml:space="preserve"> 16 - 26 </t>
  </si>
  <si>
    <t xml:space="preserve"> 22 - 41 </t>
  </si>
  <si>
    <t xml:space="preserve"> 10 - 12 </t>
  </si>
  <si>
    <t xml:space="preserve"> 11 - 14 </t>
  </si>
  <si>
    <t xml:space="preserve"> 13 - 16 </t>
  </si>
  <si>
    <t xml:space="preserve"> 11 - 13 </t>
  </si>
  <si>
    <t xml:space="preserve"> 28 - 30 </t>
  </si>
  <si>
    <t xml:space="preserve"> 30 - 33 </t>
  </si>
  <si>
    <t xml:space="preserve"> 39 - 46 </t>
  </si>
  <si>
    <t xml:space="preserve"> 45 - 52 </t>
  </si>
  <si>
    <t xml:space="preserve"> 25 - 35 </t>
  </si>
  <si>
    <t xml:space="preserve"> 15 - 25 </t>
  </si>
  <si>
    <t xml:space="preserve"> 4 - 6</t>
  </si>
  <si>
    <t xml:space="preserve"> 3 - 13</t>
  </si>
  <si>
    <t>1,5 - 11</t>
  </si>
  <si>
    <t>K0+000 - K1+041</t>
  </si>
  <si>
    <t>K1+041 - K2+009</t>
  </si>
  <si>
    <t>K2+009 - K3+450</t>
  </si>
  <si>
    <t>K0 - K1+200</t>
  </si>
  <si>
    <t>K1+200 - K2+100</t>
  </si>
  <si>
    <t>K2+100 - K3+100</t>
  </si>
  <si>
    <t>K3+100 - K3+385</t>
  </si>
  <si>
    <t>K0+000 -  K2+918</t>
  </si>
  <si>
    <t>K0+000 - K1+650</t>
  </si>
  <si>
    <t>K1+650 - K3+091</t>
  </si>
  <si>
    <t>K3+091 - K4+500</t>
  </si>
  <si>
    <t>K4+500 - K5+815</t>
  </si>
  <si>
    <t>K0+000 - K6+010</t>
  </si>
  <si>
    <t>K0+000 - K2+159</t>
  </si>
  <si>
    <t>K0+000 - K0+555</t>
  </si>
  <si>
    <t>K0+555 -  K0+873</t>
  </si>
  <si>
    <t>K0+000 - K0+427</t>
  </si>
  <si>
    <t>12-23</t>
  </si>
  <si>
    <t>10" - 11</t>
  </si>
  <si>
    <t>10- 14</t>
  </si>
  <si>
    <t>10 - 16</t>
  </si>
  <si>
    <t>11 - 13</t>
  </si>
  <si>
    <t>11 - 14</t>
  </si>
  <si>
    <t>10 - 11</t>
  </si>
  <si>
    <t>11 - 24</t>
  </si>
  <si>
    <t>9 - 11</t>
  </si>
  <si>
    <t>11 - 16</t>
  </si>
  <si>
    <t>11 - 22</t>
  </si>
  <si>
    <t xml:space="preserve">6 - 9 
</t>
  </si>
  <si>
    <t>Mương nước
 ấp Nhân Trung</t>
  </si>
  <si>
    <t>Xã Xuyên Mộc,Xã Hồ Tràm</t>
  </si>
  <si>
    <t>467811.4480; 1167245.0710</t>
  </si>
  <si>
    <t xml:space="preserve">471971.1891; 1167367.3823 </t>
  </si>
  <si>
    <t>463239.5713; 1165626.1983</t>
  </si>
  <si>
    <t>464096.9396; 1163954.2228</t>
  </si>
  <si>
    <t>467207.4790; 1167452.5870</t>
  </si>
  <si>
    <t>472316.1091; 1168489.7907</t>
  </si>
  <si>
    <t>Kênh Rạch Bà (nhánh 1)</t>
  </si>
  <si>
    <t xml:space="preserve">Phường Tam Thắng, Phường Rạch Dừa, phường Phước Thắng  </t>
  </si>
  <si>
    <t>Hồ Bàu Trũng phường Tam Thắng</t>
  </si>
  <si>
    <t>Kênh Rạch Bà (nhánh 2)</t>
  </si>
  <si>
    <r>
      <t>Kênh N</t>
    </r>
    <r>
      <rPr>
        <vertAlign val="subscript"/>
        <sz val="13"/>
        <rFont val="Times New Roman"/>
        <family val="1"/>
      </rPr>
      <t>2-2</t>
    </r>
  </si>
  <si>
    <r>
      <t>Kênh N</t>
    </r>
    <r>
      <rPr>
        <vertAlign val="subscript"/>
        <sz val="13"/>
        <rFont val="Times New Roman"/>
        <family val="1"/>
      </rPr>
      <t xml:space="preserve">1-30 </t>
    </r>
    <r>
      <rPr>
        <sz val="13"/>
        <rFont val="Times New Roman"/>
        <family val="1"/>
      </rPr>
      <t>(TĐ 1)</t>
    </r>
  </si>
  <si>
    <r>
      <t>Kênh N</t>
    </r>
    <r>
      <rPr>
        <vertAlign val="subscript"/>
        <sz val="13"/>
        <rFont val="Times New Roman"/>
        <family val="1"/>
      </rPr>
      <t xml:space="preserve">1-8 </t>
    </r>
    <r>
      <rPr>
        <sz val="13"/>
        <rFont val="Times New Roman"/>
        <family val="1"/>
      </rPr>
      <t>(TĐ 2)</t>
    </r>
  </si>
  <si>
    <r>
      <t>Kênh N</t>
    </r>
    <r>
      <rPr>
        <vertAlign val="subscript"/>
        <sz val="13"/>
        <rFont val="Times New Roman"/>
        <family val="1"/>
      </rPr>
      <t xml:space="preserve">1-2 </t>
    </r>
    <r>
      <rPr>
        <sz val="13"/>
        <rFont val="Times New Roman"/>
        <family val="1"/>
      </rPr>
      <t>(TĐ 3)</t>
    </r>
  </si>
  <si>
    <r>
      <t>Kênh N</t>
    </r>
    <r>
      <rPr>
        <vertAlign val="subscript"/>
        <sz val="13"/>
        <rFont val="Times New Roman"/>
        <family val="1"/>
      </rPr>
      <t xml:space="preserve">1-12 </t>
    </r>
    <r>
      <rPr>
        <sz val="13"/>
        <rFont val="Times New Roman"/>
        <family val="1"/>
      </rPr>
      <t>(TĐ 8)</t>
    </r>
  </si>
  <si>
    <r>
      <t>Kênh N</t>
    </r>
    <r>
      <rPr>
        <vertAlign val="subscript"/>
        <sz val="13"/>
        <rFont val="Times New Roman"/>
        <family val="1"/>
      </rPr>
      <t xml:space="preserve">1-42 </t>
    </r>
    <r>
      <rPr>
        <sz val="13"/>
        <rFont val="Times New Roman"/>
        <family val="1"/>
      </rPr>
      <t>(TĐ 18)</t>
    </r>
  </si>
  <si>
    <t>PHỤ LỤC 4
DANH MỤC CÁC HỒ, ĐẬP CÓ CHỨC NĂNG TƯỚI TIÊU PHỤC VỤ SẢN XUẤT NÔNG NGHIỆP, CẤP NƯỚC SINH HOẠT, ĐIỀU TIẾT LŨ CÓ PHẠM VI ẢNH HƯỞNG TRÊN ĐỊA BÀN TỪ 02 PHƯỜNG - XÃ TRỞ LÊN THUỘC THẨM QUYỀN QUẢN LÝ CỦA ỦY BAN NHÂN DÂN THÀNH PHỐ HỒ CHÍ MINH PHÂN CẤP CHO SỞ NÔNG NGHIỆP VÀ MÔI TRƯỜNG QUẢN LÝ, KHAI THÁC</t>
  </si>
  <si>
    <t>Rạch Cầu Ông Hựu</t>
  </si>
  <si>
    <t>Rạch Cầu Gõ</t>
  </si>
  <si>
    <t>(1226820; 695317)</t>
  </si>
  <si>
    <t>(1225694; 697045)</t>
  </si>
  <si>
    <t>(1225977; 697171)</t>
  </si>
  <si>
    <t>UBND phường Tân Uyên</t>
  </si>
  <si>
    <t>xã Thường Tân</t>
  </si>
  <si>
    <t>Suối Bún</t>
  </si>
  <si>
    <t>Tiếp nối suối Cái (xã Bắc Tân Uyên)</t>
  </si>
  <si>
    <t>Sông Đồng Nai (khúc cầu Suối Bún)</t>
  </si>
  <si>
    <t>Suối Rạch Gốc</t>
  </si>
  <si>
    <t>bắt nguồn từ các kênh rạch  có địa danh Bào Tre (ấp Thường Tân 1)</t>
  </si>
  <si>
    <t>Sông Đồng Nai (khúc cầu Rạch Gốc)</t>
  </si>
  <si>
    <t>Suối Bà Của</t>
  </si>
  <si>
    <t>bắt nguồn từ mương Đầu Heo (ấp Thường Tân 2)</t>
  </si>
  <si>
    <t>Sông Đồng Nai (khúc Cầu Bà Của)</t>
  </si>
  <si>
    <t>Suối Bà Đặng</t>
  </si>
  <si>
    <t>bắt nguồn từ các kênh rạch có địa danh Dũng Trung (ấp Thường Tân 4)</t>
  </si>
  <si>
    <t>Sông Đồng Nai (khúc Cầu Bà Đặng)</t>
  </si>
  <si>
    <t>UBND xã Thường Tân</t>
  </si>
  <si>
    <t xml:space="preserve">Xã Phước Thành, Phước Hòa, </t>
  </si>
  <si>
    <t>xã Phước Thành (1267789; 696920)</t>
  </si>
  <si>
    <t>Suối Xà Mách</t>
  </si>
  <si>
    <t>Thửa 792, tờ 21 (giáp tỉnh Đồng Nai)</t>
  </si>
  <si>
    <t>Thửa 601, tờ 22 (giáp cầu suối Nước Trong)</t>
  </si>
  <si>
    <t>Suối Bà Tứ</t>
  </si>
  <si>
    <t>Suối Ông Bằng</t>
  </si>
  <si>
    <t>Xã Bàu Bàng, An Long</t>
  </si>
  <si>
    <t>Xã Bàu Bàng, xã Long Hòa</t>
  </si>
  <si>
    <t>Suối Ông Chài</t>
  </si>
  <si>
    <t>Tổ 6, ấp Cây Trường</t>
  </si>
  <si>
    <t>Tổ 2, ấp suối Cạn</t>
  </si>
  <si>
    <t>Suối Ông Thanh</t>
  </si>
  <si>
    <t>Tổ 5, ấp ông Thanh</t>
  </si>
  <si>
    <t>Cầu Căm Xe</t>
  </si>
  <si>
    <t>Suối Ông Cát</t>
  </si>
  <si>
    <t>Lô cao su 3A</t>
  </si>
  <si>
    <t>Cầu ông Lợi</t>
  </si>
  <si>
    <t>Suối Cầu Sinh</t>
  </si>
  <si>
    <t>Tổ 1, ấp suối Cạn</t>
  </si>
  <si>
    <t>Cầu ông Chài</t>
  </si>
  <si>
    <t>Suối Sáu Đá</t>
  </si>
  <si>
    <t>Tiếp giáp tỉnh Đồng Nai</t>
  </si>
  <si>
    <t>Ông Sáu Đá</t>
  </si>
  <si>
    <t>Suối Bàu Lòng</t>
  </si>
  <si>
    <t>Ấp Dinh Điền</t>
  </si>
  <si>
    <t>Xã Tân Long</t>
  </si>
  <si>
    <t>Suối Bàu Lòng 2</t>
  </si>
  <si>
    <t>Quốc Lộ 13</t>
  </si>
  <si>
    <t>Suối Tân Long</t>
  </si>
  <si>
    <t>UBND xã Trừ Văn Thố</t>
  </si>
  <si>
    <t>Đập Thị Tính 
(Đập Hàng Nù)</t>
  </si>
  <si>
    <t>xã Long Hòa, xã Thanh An</t>
  </si>
  <si>
    <t>Phường Chánh Phú Hòa</t>
  </si>
  <si>
    <t>UBND phường Chánh Phú Hòa</t>
  </si>
  <si>
    <t xml:space="preserve">  </t>
  </si>
  <si>
    <t>Phường Bến Cát, Long Nguyên, Chánh Phú Hòa</t>
  </si>
  <si>
    <t>Xã Hòa Hội, xã Hòa Hiệp</t>
  </si>
  <si>
    <t>Xã Thanh An, Long Hòa; Phường Long Nguyên, Tây Nam</t>
  </si>
  <si>
    <t>Xã Bàu Bàng
(1251311; 678495)</t>
  </si>
  <si>
    <t>xã Bàu Bàng
(1249005; 674378)</t>
  </si>
  <si>
    <t xml:space="preserve">Kênh Xáng Đứng </t>
  </si>
  <si>
    <t>Cầu An Hạ</t>
  </si>
  <si>
    <t xml:space="preserve"> 30-35 </t>
  </si>
  <si>
    <t>Tiêu Bàu Sim</t>
  </si>
  <si>
    <t>Đường số 171</t>
  </si>
  <si>
    <t>Đường số 5</t>
  </si>
  <si>
    <t>Giáp ranh Tây Ninh</t>
  </si>
  <si>
    <t xml:space="preserve"> 25-30 </t>
  </si>
  <si>
    <t>Rạch Ông Ngang</t>
  </si>
  <si>
    <t>Rạch Chuối Nước</t>
  </si>
  <si>
    <t>Rạch An Bình</t>
  </si>
  <si>
    <t>Rạch N1</t>
  </si>
  <si>
    <t xml:space="preserve"> Rạch Sông Lu </t>
  </si>
  <si>
    <t>Rạch N2</t>
  </si>
  <si>
    <t>Rạch N3</t>
  </si>
  <si>
    <t>Rạch N4</t>
  </si>
  <si>
    <t>Cầu Bến Mương</t>
  </si>
  <si>
    <t>Rạch Nàng Âm</t>
  </si>
  <si>
    <t>Rạch Câu Lượng</t>
  </si>
  <si>
    <t>Rạch T1</t>
  </si>
  <si>
    <t>Rạch T2</t>
  </si>
  <si>
    <t>Rạch T3</t>
  </si>
  <si>
    <t>Rạch Ông Thọ</t>
  </si>
  <si>
    <t>Rạch Ông Sái</t>
  </si>
  <si>
    <t>Rạch Ông Tính</t>
  </si>
  <si>
    <t>Rạch Ông Ba</t>
  </si>
  <si>
    <t>Rạch Bà Phan</t>
  </si>
  <si>
    <t>Rạch Láng Lược</t>
  </si>
  <si>
    <t>Rạch T7</t>
  </si>
  <si>
    <t>Rạch Cây Điệp (C1a)</t>
  </si>
  <si>
    <t>Rạch Thi Đua (C1)</t>
  </si>
  <si>
    <t>Rạch Đinh Thuận (C3a)</t>
  </si>
  <si>
    <t>Rạch Ông Huyện ( C3)</t>
  </si>
  <si>
    <t>Rạch Chú Cua (C5)</t>
  </si>
  <si>
    <t>Rạch cây Dương (Nhà Vuông)</t>
  </si>
  <si>
    <t>Rạch Nhà Việt</t>
  </si>
  <si>
    <t>xã Bình Mỹ</t>
  </si>
  <si>
    <t>Đập Cua Pari</t>
  </si>
  <si>
    <t>xã Phú Hoà Đông</t>
  </si>
  <si>
    <t>Xã Bình Mỹ, Xã Phú Hòa Đông</t>
  </si>
  <si>
    <t>Xã Tân Nhựt, Xã Bình Chánh</t>
  </si>
  <si>
    <t>Xã Vĩnh Lộc, Xã Tân Vĩnh Lộc</t>
  </si>
  <si>
    <t>xã Nhuận Đức</t>
  </si>
  <si>
    <t>7-12</t>
  </si>
  <si>
    <t>Kênh Đường Đỏ</t>
  </si>
  <si>
    <t>Xã Hóc Môn, xã Phú Hòa Đông</t>
  </si>
  <si>
    <t>sông Rạch Tra (1207550,98; 592623,57)</t>
  </si>
  <si>
    <t>Ranh xã Phú Hòa Đông (120110,03;592733,28)</t>
  </si>
  <si>
    <t>Rạch Sáu Mía</t>
  </si>
  <si>
    <t>Đường đê bao Kênh Xáng (1207229,16;594233,18)</t>
  </si>
  <si>
    <t>Rạch Hóc Môn (1206862,82;594143,48)</t>
  </si>
  <si>
    <t>VIII</t>
  </si>
  <si>
    <t>Kênh Phước Hòa 
(Sở Nông nghiệp và Môi trường phối hợp quản lý theo thẩm quyền)</t>
  </si>
  <si>
    <r>
      <t xml:space="preserve">Nhánh rạch Đắp Ô Hiền-Ô Niệm 2 </t>
    </r>
    <r>
      <rPr>
        <i/>
        <sz val="13"/>
        <rFont val="Times New Roman"/>
        <family val="1"/>
      </rPr>
      <t>(nhánh Thủ Đảo)</t>
    </r>
  </si>
  <si>
    <r>
      <t xml:space="preserve">Nhánh rạch Đắp Ô Hiền-Ô Niệm 3 </t>
    </r>
    <r>
      <rPr>
        <i/>
        <sz val="13"/>
        <rFont val="Times New Roman"/>
        <family val="1"/>
      </rPr>
      <t>(nhánh Thủ Đảo)</t>
    </r>
  </si>
  <si>
    <r>
      <t xml:space="preserve">Kênh ấp 4 - xã Bình Chánh </t>
    </r>
    <r>
      <rPr>
        <i/>
        <sz val="13"/>
        <rFont val="Times New Roman"/>
        <family val="1"/>
      </rPr>
      <t>(Trịnh Như Khuê)</t>
    </r>
  </si>
  <si>
    <t xml:space="preserve">Tổng cộng: </t>
  </si>
  <si>
    <t>Phường Chợ Quán</t>
  </si>
  <si>
    <t>Ngã ba hợp lưu của rạch Bưng Cầu - Suối Giữa - rạch Bà Cô</t>
  </si>
  <si>
    <t>Thái Mỹ - An Nhơn Tây- Nhuận Đức</t>
  </si>
  <si>
    <t>xã Thái Mỹ, xã Tân An Hội, Củ Chi</t>
  </si>
  <si>
    <t>xã Nhuận Đức, Củ Chi, Phú Hòa Đông</t>
  </si>
  <si>
    <t>xã Củ Chi</t>
  </si>
  <si>
    <t>xã Xuân Thới Sơn, Bà Điểm, Vĩnh Lộc, Tân Vĩnh Lộc, Bình Lợi</t>
  </si>
  <si>
    <t>10,4 - 30</t>
  </si>
  <si>
    <t>Cống thoát nước đường Tắc Xuất</t>
  </si>
  <si>
    <t>25-90</t>
  </si>
  <si>
    <t>Rạch Cây é</t>
  </si>
  <si>
    <t>Suối Cầu Củi</t>
  </si>
  <si>
    <t>Suối Lạnh</t>
  </si>
  <si>
    <t>Rạch Đình Bến Liễu</t>
  </si>
  <si>
    <t>Rạch 5 Phần</t>
  </si>
  <si>
    <t>Rạch Phó Viễn (5 điền)</t>
  </si>
  <si>
    <t>Rạch Bảy Chép</t>
  </si>
  <si>
    <t>Rạch Mây</t>
  </si>
  <si>
    <t>Rạch Lò (Nhỏ)</t>
  </si>
  <si>
    <t>Rạch Mù U</t>
  </si>
  <si>
    <t>Rạch Ngay (GTNĐ)</t>
  </si>
  <si>
    <t>Rạch Ông Miên</t>
  </si>
  <si>
    <t>Rạch Bà Phó</t>
  </si>
  <si>
    <t>Rạch bà 6 Anh (Mương kênh)</t>
  </si>
  <si>
    <t>Rạch Bến Rong</t>
  </si>
  <si>
    <t xml:space="preserve">Rạch Bến Quãng </t>
  </si>
  <si>
    <t>Rạch Bến Nảy</t>
  </si>
  <si>
    <t>Rạch Cầu Ông Kỳ</t>
  </si>
  <si>
    <t>Rạch Bến Kinh</t>
  </si>
  <si>
    <t>Rạch Cầu Khởi</t>
  </si>
  <si>
    <t>Rạch Ông Phán</t>
  </si>
  <si>
    <t>Rạch Ông Đàm</t>
  </si>
  <si>
    <t>Rạch Xiêm Vú</t>
  </si>
  <si>
    <t>Rạch Ụ Tàu</t>
  </si>
  <si>
    <t>Rạch Ông Mộng</t>
  </si>
  <si>
    <t>Rạch Lò Gạch</t>
  </si>
  <si>
    <t>Rạch Bến Tre (GTNĐ)</t>
  </si>
  <si>
    <t>Rạch Cá Ngựa</t>
  </si>
  <si>
    <t>Mương nước</t>
  </si>
  <si>
    <t>Suối Bến Ván</t>
  </si>
  <si>
    <t xml:space="preserve">Suối Đòn Gánh </t>
  </si>
  <si>
    <t>Suối Đòn Gánh (nhánh 2)</t>
  </si>
  <si>
    <t>Suối Nhà Mát</t>
  </si>
  <si>
    <t>Suối bến ông Báo</t>
  </si>
  <si>
    <t>Mương nước Hố Ông Do</t>
  </si>
  <si>
    <t>Mương nước Hố Miểu</t>
  </si>
  <si>
    <t>Suối Bưng Thuốc</t>
  </si>
  <si>
    <t>Xã Long Nguyên</t>
  </si>
  <si>
    <t>UBND xã Long Nguyên</t>
  </si>
  <si>
    <t>Giáp đường 
làng An Sơn</t>
  </si>
  <si>
    <t>Giáp đất ông Nguyễn Ngọc Điệp</t>
  </si>
  <si>
    <t>Giáp đất bà Rum</t>
  </si>
  <si>
    <t>Giáp đất 10 My</t>
  </si>
  <si>
    <t>Giáp đất 10 Lý</t>
  </si>
  <si>
    <t>Giáp đường 3 Đạt</t>
  </si>
  <si>
    <t>Giáp đất ông Thuấn</t>
  </si>
  <si>
    <t>Giáp đất ông Hoài Vũ</t>
  </si>
  <si>
    <t>Giáp đường 7 Nhỏ</t>
  </si>
  <si>
    <t>Giáp đất ông Trung</t>
  </si>
  <si>
    <t>Giáp đường Hoa Thiện Mỹ</t>
  </si>
  <si>
    <t>Giáp GTNĐ An Mỹ</t>
  </si>
  <si>
    <t>Giáp đường bà 6 Anh</t>
  </si>
  <si>
    <t>Giáp đất bà Yến</t>
  </si>
  <si>
    <t>Giáp đất ông Vọt</t>
  </si>
  <si>
    <t>Giáp đường ông 3 Cu</t>
  </si>
  <si>
    <t>Cầu ông Kỳ</t>
  </si>
  <si>
    <t>Giáp nghĩa địa Kiến Điền</t>
  </si>
  <si>
    <t>Giáp đường ông 7 Tài</t>
  </si>
  <si>
    <t>Giáp đất Kim Oanh</t>
  </si>
  <si>
    <t>Giáp đất ba Phí</t>
  </si>
  <si>
    <t>Giáp đất Việt Hùng</t>
  </si>
  <si>
    <t>Giáp đất Hoàn Tuấn Thành</t>
  </si>
  <si>
    <t>Giáp lò mổ An Điền</t>
  </si>
  <si>
    <t>Giáp đất ông Mộng</t>
  </si>
  <si>
    <t>Giáp đất ông Tèo</t>
  </si>
  <si>
    <t>Giáp đất ông Hiếu</t>
  </si>
  <si>
    <t>Long Nguyên - 10</t>
  </si>
  <si>
    <t>Lô 12 Nông trường cao su Long Tân</t>
  </si>
  <si>
    <t>bà Nguyên</t>
  </si>
  <si>
    <t>chảy vào Suối Cầu Trệt (kp Sa Thêm)</t>
  </si>
  <si>
    <t>ĐH610-cầu Bến Ván</t>
  </si>
  <si>
    <t xml:space="preserve">Suối Lồ Ô - giáp kp Long Hưng </t>
  </si>
  <si>
    <t>nhà Liên Thi</t>
  </si>
  <si>
    <t>Cầu Tân Bình (Bến Ván)</t>
  </si>
  <si>
    <t>DT749C (nhà bà Hà, ông Bảo)</t>
  </si>
  <si>
    <t>nối vào Suối Bến Ván kp Hố Muôn</t>
  </si>
  <si>
    <t>ông Hoàng Văn Đồng</t>
  </si>
  <si>
    <t>chảy ra suối Bến  KP Long Bình</t>
  </si>
  <si>
    <t>ông Nguyễn Văn Hùng</t>
  </si>
  <si>
    <t>ông Nguyễn Văn Cương</t>
  </si>
  <si>
    <t>nhà ông Bình giáp xã Long Hòa</t>
  </si>
  <si>
    <t>cống Bến Ông Báo</t>
  </si>
  <si>
    <t>nhà ông 5 Đuổi</t>
  </si>
  <si>
    <t>chảy ra suối Nhà Mát</t>
  </si>
  <si>
    <t>nhà ông 6 Nguyên, kp Nhà Mát</t>
  </si>
  <si>
    <t>Sông Thị Tính (bến Gò Mã)</t>
  </si>
  <si>
    <t>Rừng Ngọn Mọi</t>
  </si>
  <si>
    <t>Bảy Vòng</t>
  </si>
  <si>
    <t>Suối tre (Cống ông tư Đặng, ĐH 615)</t>
  </si>
  <si>
    <t>Khu đất cao su Nông trường Long Tân</t>
  </si>
  <si>
    <t>VP kp Suối Tre</t>
  </si>
  <si>
    <t>đất bà Hạnh</t>
  </si>
  <si>
    <t>Đất ông Hải</t>
  </si>
  <si>
    <t>đất ông Ro</t>
  </si>
  <si>
    <t>Đường Long Nguyên - 89</t>
  </si>
  <si>
    <t>đường Long Nguyên 21 giáp Mương Đào</t>
  </si>
  <si>
    <t>đất ông Vương Thanh Sang</t>
  </si>
  <si>
    <t>suối Bưng Thuốc</t>
  </si>
  <si>
    <t>Long Nguyên 21 Mương Đào</t>
  </si>
  <si>
    <t xml:space="preserve">Cuối đường Long Nguyên 24 giáp KP Cầu Quan </t>
  </si>
  <si>
    <t>giáp KP Bà Phái (nhà ông 5 Căn)</t>
  </si>
  <si>
    <t>ông Út Dùm</t>
  </si>
  <si>
    <t>Suối Lồ Ô (giáp KP Long Hưng)</t>
  </si>
  <si>
    <t>11</t>
  </si>
  <si>
    <t>Nhánh rạch Gò Công (Hẻm 272 Nguyễn Văn Tăng)</t>
  </si>
  <si>
    <t>Nguyễn Văn Tăng</t>
  </si>
  <si>
    <t>Nhánh rạch Gò Công 1</t>
  </si>
  <si>
    <t>Hẻm 26 Đường 15</t>
  </si>
  <si>
    <t>Nhánh rạch Gò Công 2</t>
  </si>
  <si>
    <t>Hẻm 23 Đường 15</t>
  </si>
  <si>
    <t>Nhánh rạch Gò Công 3</t>
  </si>
  <si>
    <t>Hẻm 348 Nguyễn Văn Tăng</t>
  </si>
  <si>
    <t>Nhánh rạch Hầm 4</t>
  </si>
  <si>
    <t>Rạch Hầm</t>
  </si>
  <si>
    <t>Nhánh rạch Hầm 6</t>
  </si>
  <si>
    <t>Đường số 19</t>
  </si>
  <si>
    <t>Nhánh rạch Hầm 7</t>
  </si>
  <si>
    <t>Thửa đất 25, tờ bản đồ 59</t>
  </si>
  <si>
    <t>Nhánh rạch Hầm 8 (Cạnh Cầu Rạch Hầm)</t>
  </si>
  <si>
    <t>Thửa đất 21, tờ bản đồ 60</t>
  </si>
  <si>
    <t>Hẻm 20 Đường 21</t>
  </si>
  <si>
    <t>Nhánh rạch Gò Công 7</t>
  </si>
  <si>
    <t>Hẻm 545 Nguyễn Xiển</t>
  </si>
  <si>
    <t>Nhánh rạch Gò Công 8</t>
  </si>
  <si>
    <t>Đường Cầu Vòng (Vinhomes)</t>
  </si>
  <si>
    <t>Nhánh rạch Gò Công 9</t>
  </si>
  <si>
    <t>Thửa đất số 5, tờ bản đồ 60</t>
  </si>
  <si>
    <t>Nhánh rạch Hắc Ỏi 1</t>
  </si>
  <si>
    <t>Ranh Dự án Sân Golf Lâm Viên</t>
  </si>
  <si>
    <t>Rạch Hắc Ỏi</t>
  </si>
  <si>
    <t>Nhánh rạch Hắc Ỏi 2</t>
  </si>
  <si>
    <t>Thửa đất số 14, tờ bản đồ 30</t>
  </si>
  <si>
    <t>Đường 25</t>
  </si>
  <si>
    <t>Ranh dự án Vinhomes</t>
  </si>
  <si>
    <t>Nhánh Rạch Bà Di 1</t>
  </si>
  <si>
    <t>Rạch Bà Di (đoạn 1)</t>
  </si>
  <si>
    <t>Hẻm 42 đường Phước Thiện</t>
  </si>
  <si>
    <t>Rạch Bà Di (đoạn 2)</t>
  </si>
  <si>
    <t>15-25</t>
  </si>
  <si>
    <t>Nhánh rạch Ông Từ 1</t>
  </si>
  <si>
    <t>Ranh DA TĐC Long Bửu GD2</t>
  </si>
  <si>
    <t>Rạch Ông Từ</t>
  </si>
  <si>
    <t>Nhánh sông Đồng Nai 3</t>
  </si>
  <si>
    <t>Thửa đất số 56, tờ bản đồ 94</t>
  </si>
  <si>
    <t>Nhánh rạch Bến Đò (Ông Đào)</t>
  </si>
  <si>
    <t>Thửa đất 201, tờ bản đồ 80</t>
  </si>
  <si>
    <t>rạch Bến Đò (Ông Đào)</t>
  </si>
  <si>
    <t>Nhánh rạch Bến Đò (Ông Đào) 1</t>
  </si>
  <si>
    <t>Nhánh rạch Bến Đò (Ông Đào) 2</t>
  </si>
  <si>
    <t>sông Đồng Nai</t>
  </si>
  <si>
    <t>Rạch Bến Đò (Ông Đào)</t>
  </si>
  <si>
    <t>đường Trần Trọng Khiêm</t>
  </si>
  <si>
    <t>Nhánh sông Đồng Nai 5</t>
  </si>
  <si>
    <t>Thửa đất 64, tờ bản đồ 79</t>
  </si>
  <si>
    <t>Rạch Xẻo Cây Gõ</t>
  </si>
  <si>
    <t>Rạch Ông Tán (Dự án CVLSVHDT)</t>
  </si>
  <si>
    <t>Dự án CVLSVHDT</t>
  </si>
  <si>
    <t>Rạch Đồng Tròn (Dự án CVLSVHDT)</t>
  </si>
  <si>
    <t>Nhánh Rạch Đồng Tròn 1</t>
  </si>
  <si>
    <t>Depot Long Bình</t>
  </si>
  <si>
    <t>Rạch Đồng Tròn</t>
  </si>
  <si>
    <t>Nhánh Rạch Đồng Tròn 2 (Sông đầu Nhờ Thờ)</t>
  </si>
  <si>
    <t>cuối Hẻm 1317 Nguyễn Xiển</t>
  </si>
  <si>
    <t>Nhánh Rạch Đồng Tròn 3</t>
  </si>
  <si>
    <t>cuối Hẻm 1314 Nguyễn Xiển</t>
  </si>
  <si>
    <t>Rạch Cây Quý</t>
  </si>
  <si>
    <t>Ranh dự án Vành đai 3</t>
  </si>
  <si>
    <t>Nhánh rạch Cây Quý</t>
  </si>
  <si>
    <t>đường Long Sơn</t>
  </si>
  <si>
    <t>5-25</t>
  </si>
  <si>
    <t>5-30</t>
  </si>
  <si>
    <t>3-20</t>
  </si>
  <si>
    <t>3-25</t>
  </si>
  <si>
    <t>2-14</t>
  </si>
  <si>
    <t>2-17</t>
  </si>
  <si>
    <t>10-16</t>
  </si>
  <si>
    <t>4-40</t>
  </si>
  <si>
    <t>2-9</t>
  </si>
  <si>
    <t>2-25</t>
  </si>
  <si>
    <t>10-50</t>
  </si>
  <si>
    <t>Hồ Sạn (cạnh Depot Long Bình)</t>
  </si>
  <si>
    <t>Ủy ban nhân dân phường Long Bình</t>
  </si>
  <si>
    <t>Xã Minh Thạnh</t>
  </si>
  <si>
    <t>UBND xã</t>
  </si>
  <si>
    <t>Đường Minh Thạnh 33</t>
  </si>
  <si>
    <t>Suối Bà Và</t>
  </si>
  <si>
    <t>Suối Giáp Minh</t>
  </si>
  <si>
    <t>ấp Cây Liễu</t>
  </si>
  <si>
    <t>Kênh thủy lợi Phước Hòa</t>
  </si>
  <si>
    <t>Suối Láng Loi</t>
  </si>
  <si>
    <t>ấp Hòa Thành</t>
  </si>
  <si>
    <t>ấp Tân Bình</t>
  </si>
  <si>
    <t>Nhà ông Thắng, Tổ Suối Đá, Hòa Thành</t>
  </si>
  <si>
    <t>Nhà ông Thắng, bà Hồi, Tổ 5, Hòa Thành</t>
  </si>
  <si>
    <t>Lô 3D, 5D, Tổ Cống Còm</t>
  </si>
  <si>
    <t>Minh Hòa 27</t>
  </si>
  <si>
    <t>Nhà ông Hai Khiêm, tổ 6</t>
  </si>
  <si>
    <t>Lô 5E</t>
  </si>
  <si>
    <t>Suối Nhánh</t>
  </si>
  <si>
    <t>Suối 2 Mùa</t>
  </si>
  <si>
    <t>ấp Hòa Phú</t>
  </si>
  <si>
    <t>Nhánh Kim Hưng, Hồ Dầu Tiếng</t>
  </si>
  <si>
    <t>Suối lô 34</t>
  </si>
  <si>
    <t>ấp Hòa Cường</t>
  </si>
  <si>
    <t>Suối lô 23</t>
  </si>
  <si>
    <t>ấp Hòa Hiệp</t>
  </si>
  <si>
    <t>Suối Lớn</t>
  </si>
  <si>
    <t>Lô 84, đội sản xuất Minh Hòa</t>
  </si>
  <si>
    <t>Nhà ông Nguyễn Hữu Thọ, tổ 3</t>
  </si>
  <si>
    <t>ấp Đồng Sơn</t>
  </si>
  <si>
    <t>Suối Sa Nhang</t>
  </si>
  <si>
    <t>ấp Lò Gạch</t>
  </si>
  <si>
    <t>Đất nhà ông Hồ Hải, tổ 5, ấp Tân Minh</t>
  </si>
  <si>
    <t>Tổ 4, ấp Tân Tiến</t>
  </si>
  <si>
    <t>Tổ 6, ấp Tân Tiến</t>
  </si>
  <si>
    <t>Lô 8B, ấp Tân Đức</t>
  </si>
  <si>
    <t>ấp Tân Định</t>
  </si>
  <si>
    <t>Suối Cát Tiên</t>
  </si>
  <si>
    <t>Đất nhà ông Nguyễn Hoàng Việt, ấp Hòa Phú</t>
  </si>
  <si>
    <t>Suối Long Càng</t>
  </si>
  <si>
    <t>Đất nhà ông Nguyễn Trọng Sự, ấp Hòa Phú</t>
  </si>
  <si>
    <t>Suối (tổ Suối Đá)</t>
  </si>
  <si>
    <t>Suối (tổ 5)</t>
  </si>
  <si>
    <t>Suối (tổ Cống Còm</t>
  </si>
  <si>
    <t>Suối (Minh hòa 27)</t>
  </si>
  <si>
    <t>Suối (tổ 6)</t>
  </si>
  <si>
    <t>Suối (Lô 5E)</t>
  </si>
  <si>
    <t>Suối (cầu sắt)</t>
  </si>
  <si>
    <t>Suối (Nhánh-Cầu Sắt))</t>
  </si>
  <si>
    <t>Suối  (tổ 3)</t>
  </si>
  <si>
    <t>Suối (ấp Đồng Sơn)</t>
  </si>
  <si>
    <t>Suối (ấp Lò Gạch)</t>
  </si>
  <si>
    <t>Suối (ấp Tân Minh)</t>
  </si>
  <si>
    <t>Suối (ấp Tân Tiếp)</t>
  </si>
  <si>
    <t>Suối (ấp Tân Đức)</t>
  </si>
  <si>
    <t>Đất dân, ấp Đồng Sơn</t>
  </si>
  <si>
    <t>Suối Căm Xe, xã Long Hòa</t>
  </si>
  <si>
    <t>Suối Cái Liễu</t>
  </si>
  <si>
    <t>Tổ 7, ấp Cây Liễu</t>
  </si>
  <si>
    <t>ấp Cần Đôn, xã Long Hòa</t>
  </si>
  <si>
    <t>Suối Tà Mòn</t>
  </si>
  <si>
    <t>Lô 43</t>
  </si>
  <si>
    <t>Xã Tân Hiệp, tỉnh Đồng Nai</t>
  </si>
  <si>
    <t>Đất ông Mạnh, ấp Đồng Sơn</t>
  </si>
  <si>
    <t>Ấp Căm Xe, xã Long Hòa</t>
  </si>
  <si>
    <t>Suối Cầu Dán</t>
  </si>
  <si>
    <t>Lô 57</t>
  </si>
  <si>
    <t>Xã Tân Khai, Đồng Nai</t>
  </si>
  <si>
    <t>Xã Minh Thạnh, TP HCM</t>
  </si>
  <si>
    <t>Xã Tân Khai, Tỉnh Đồng Nai</t>
  </si>
  <si>
    <t>UBND xã Minh Thạnh</t>
  </si>
  <si>
    <t>Sông Thị Tính (Cầu Quan)</t>
  </si>
  <si>
    <t>Xã Minh Thạnh, Long Hòa, phường Long Nguyên</t>
  </si>
  <si>
    <t>Suối Căm Xe</t>
  </si>
  <si>
    <t>Xã Long Hòa, xã Minh Thạnh</t>
  </si>
  <si>
    <t>Xã Dầu Tiếng, xã Long Hòa,
 xã Minh Thạnh</t>
  </si>
  <si>
    <t>Suối Bát</t>
  </si>
  <si>
    <t>Dầu Tiếng</t>
  </si>
  <si>
    <t>Long Hòa</t>
  </si>
  <si>
    <t>Minh Thạnh</t>
  </si>
  <si>
    <t>xã Dầu Tiếng</t>
  </si>
  <si>
    <t>Hạ lưu Đập Dầu Tiếng</t>
  </si>
  <si>
    <t>Cầu Mới (ĐH 703)</t>
  </si>
  <si>
    <t>Kênh suối Chợ</t>
  </si>
  <si>
    <t>Sau hồ Tân Vĩnh Hiệp</t>
  </si>
  <si>
    <t>Rạch Rạt (tà lách)</t>
  </si>
  <si>
    <t>Thửa đất số 49, tờ bản đồ số 64</t>
  </si>
  <si>
    <t>Thửa đất số 756, tờ bản đồ số 152</t>
  </si>
  <si>
    <t>Suối Mã Đà</t>
  </si>
  <si>
    <t>Suối Bà Tánh</t>
  </si>
  <si>
    <t>Suối Cầu Cháy - Suối Giữa</t>
  </si>
  <si>
    <t>Phường Bình Dương</t>
  </si>
  <si>
    <t>UBND Phường Bình Dương</t>
  </si>
  <si>
    <t xml:space="preserve">603498,520; 1227063,310 </t>
  </si>
  <si>
    <t>599131,063; 1217897,506</t>
  </si>
  <si>
    <t>602523,584; 1226349,457</t>
  </si>
  <si>
    <t>600672,933; 1221109,826</t>
  </si>
  <si>
    <t>Kênh tạo lực Hòa Lợi nhánh 05</t>
  </si>
  <si>
    <t>Hồ Điều Hòa (KP. Hòa Phú 3)</t>
  </si>
  <si>
    <t xml:space="preserve">Hồ Điều Tiết (KP. Phú Tân 3) </t>
  </si>
  <si>
    <t>Suối Xuy nô</t>
  </si>
  <si>
    <t>Xã Thanh An, Phường Tây Nam</t>
  </si>
  <si>
    <t>Thửa đất 13, Tờ bản đồ số 43, xã Thanh An</t>
  </si>
  <si>
    <t>Thửa đất số 568, tờ bản đồ số 21, KP Xóm Bến, phường Tây Nam</t>
  </si>
  <si>
    <t>Chợ Quán</t>
  </si>
  <si>
    <t>Chợ Quán + Bình Tây + Bình Tiên</t>
  </si>
  <si>
    <t>Bình Tây + Bình Tiên</t>
  </si>
  <si>
    <t>Phú Thạnh + Phú Lâm</t>
  </si>
  <si>
    <t>Bình Phú + Phú Định</t>
  </si>
  <si>
    <t>Phú Định + An Lạc</t>
  </si>
  <si>
    <t>Bình Đông + Bình Hưng</t>
  </si>
  <si>
    <t>Tân Hưng</t>
  </si>
  <si>
    <t>Tân Nhựt + Tân Tạo</t>
  </si>
  <si>
    <t xml:space="preserve">Bình Hưng Hòa + Tân Sơn Nhì + Tây Thạnh </t>
  </si>
  <si>
    <t>An Nhơn + Bình Lợi Trung</t>
  </si>
  <si>
    <t>An Hội Đông + Thới An</t>
  </si>
  <si>
    <t>Tân Thới Hiệp + Thới An + Đông Thạnh</t>
  </si>
  <si>
    <t>Thới An + Đông Thạnh</t>
  </si>
  <si>
    <t>Bà Điểm + Vĩnh Lộc</t>
  </si>
  <si>
    <t>Bình Thới</t>
  </si>
  <si>
    <t>Đường Giác Viên</t>
  </si>
  <si>
    <t xml:space="preserve"> Tham Lương - Bến Cát - Vàm Nước Lên</t>
  </si>
  <si>
    <t>An Lạc</t>
  </si>
  <si>
    <t>Bình Hưng Hoà</t>
  </si>
  <si>
    <t>Ngã 3 rạch Cầu Sơn - Bà Láng</t>
  </si>
  <si>
    <t>Cửa xả cầu Bùi Đình Tuý</t>
  </si>
  <si>
    <t>Cửa xả Cầu Mới đường Bạch Đằng</t>
  </si>
  <si>
    <t>Ngã 3 rạch Bến Bồi - Bà Láng</t>
  </si>
  <si>
    <t>Cửa xả cầu Chu Văn An</t>
  </si>
  <si>
    <t xml:space="preserve">Thạnh Mỹ Tây </t>
  </si>
  <si>
    <t>D5</t>
  </si>
  <si>
    <t>Võ Oanh (Hẻm D3 cũ)</t>
  </si>
  <si>
    <t>Cửa xả cuối hẻm 158 Xô Viết Nghệ Tĩnh</t>
  </si>
  <si>
    <t>Bình Thạnh + Bình Lợi Trung</t>
  </si>
  <si>
    <t>Bình Lợi Trung</t>
  </si>
  <si>
    <t>An Hội Tây</t>
  </si>
  <si>
    <t>An Nhơn</t>
  </si>
  <si>
    <t>Gò Vấp + An Hội Đông</t>
  </si>
  <si>
    <t>An Hội Đông</t>
  </si>
  <si>
    <t>Thới An</t>
  </si>
  <si>
    <t>Thới An + Gò Vấp</t>
  </si>
  <si>
    <t>An Phú Đông</t>
  </si>
  <si>
    <t>Thới An + An Phú Đông</t>
  </si>
  <si>
    <t>Đông Hưng Thuận</t>
  </si>
  <si>
    <t>Trung Mỹ Tây + Tân Thới Hiệp + Đông Hưng Thuận</t>
  </si>
  <si>
    <t>Bà Biểm + Xuân Thới Sơn</t>
  </si>
  <si>
    <t>Đông Thạnh + Hóc Môn</t>
  </si>
  <si>
    <t>Tân Thuận</t>
  </si>
  <si>
    <t>Cửa xả Cửa xả 415B Huỳnh Tấn Phát (số cũ 12/9)</t>
  </si>
  <si>
    <t>Bình Chánh + Tân Nhựt</t>
  </si>
  <si>
    <t>Bình Hưng</t>
  </si>
  <si>
    <t>Nhà Bè + Hiệp Phước</t>
  </si>
  <si>
    <t>Cửa xả 18/3 Lê Văn Lương (cũ Rạch Mỏ Neo)</t>
  </si>
  <si>
    <t>An Khánh + Bình Trưng</t>
  </si>
  <si>
    <t>Thành phố Thủ Đức cũ</t>
  </si>
  <si>
    <t>Long Trường + Phước Long</t>
  </si>
  <si>
    <t>Tăng Nhơn Phú + Long Bình</t>
  </si>
  <si>
    <t>Linh Xuân + Tăng Nhơn Phú</t>
  </si>
  <si>
    <t>Linh Xuân + Thủ Đức</t>
  </si>
  <si>
    <t>Tam Bình + Hiệp Bình</t>
  </si>
  <si>
    <t>An Khánh</t>
  </si>
  <si>
    <t>Rạch Thảo Điền (rạch Khu phố 1)</t>
  </si>
  <si>
    <t>Bình Trưng</t>
  </si>
  <si>
    <t>Phước Long</t>
  </si>
  <si>
    <t>Tăng Nhơn Phú</t>
  </si>
  <si>
    <t>Hiệp Bình</t>
  </si>
  <si>
    <t>Tam Bình</t>
  </si>
  <si>
    <t>Linh Xuân</t>
  </si>
  <si>
    <t>Bổ sung</t>
  </si>
  <si>
    <t>Phường Chánh Hiệp, Phường Phú Lợi</t>
  </si>
  <si>
    <t>15 - 45</t>
  </si>
  <si>
    <t xml:space="preserve">Mương đất xã  Tân Hưng </t>
  </si>
  <si>
    <t>Mương thủy lợi</t>
  </si>
  <si>
    <t xml:space="preserve">  đến núi Dinh</t>
  </si>
  <si>
    <t xml:space="preserve"> đường  vào UBND xã Tân Hưng </t>
  </si>
  <si>
    <t xml:space="preserve">Cửa xả đường Phước tân châu pha </t>
  </si>
  <si>
    <t>đến Ruộng</t>
  </si>
  <si>
    <t>Mương đất 296 QL51 A</t>
  </si>
  <si>
    <t>Cửa xả (hồ)</t>
  </si>
  <si>
    <t xml:space="preserve"> núi Dinh </t>
  </si>
  <si>
    <t>1,5-2,0</t>
  </si>
  <si>
    <t>hai bên Quốc Lộ 51A</t>
  </si>
  <si>
    <t>Mương đất  379 QL51A</t>
  </si>
  <si>
    <t>Cửa xả</t>
  </si>
  <si>
    <t xml:space="preserve">núi Dinh </t>
  </si>
  <si>
    <t>1,0-1,5</t>
  </si>
  <si>
    <t>Hai bên Quốc Lộ 51A</t>
  </si>
  <si>
    <t xml:space="preserve">Mương đất 545 Chu Hải </t>
  </si>
  <si>
    <t xml:space="preserve">Từ núi Dinh </t>
  </si>
  <si>
    <t>QL 51</t>
  </si>
  <si>
    <t>( Cây xăng Kim Hải)</t>
  </si>
  <si>
    <t>Mương đất 183 QL 51</t>
  </si>
  <si>
    <t xml:space="preserve">Núi Dinh </t>
  </si>
  <si>
    <t>UBND P.Kim Dinh</t>
  </si>
  <si>
    <t>2,2-3,2</t>
  </si>
  <si>
    <t>( Càfe Thanh Phong)</t>
  </si>
  <si>
    <t xml:space="preserve"> UBND P.Kim Dinh </t>
  </si>
  <si>
    <t>Quốc Lộ 51A</t>
  </si>
  <si>
    <t xml:space="preserve">Mương đất tổ 10 ấp Hương Điền phường Long Hương </t>
  </si>
  <si>
    <t xml:space="preserve">Phan Đăng Lưu </t>
  </si>
  <si>
    <t>Trương Phúc Phan</t>
  </si>
  <si>
    <t>2,0</t>
  </si>
  <si>
    <t>Mương đất cửa xả  QH Số 11</t>
  </si>
  <si>
    <t>Đường QH số 11</t>
  </si>
  <si>
    <t xml:space="preserve"> Long Kiên </t>
  </si>
  <si>
    <t>Đã ngầm hóa</t>
  </si>
  <si>
    <t>Kênh thoát nước chính tp vũng tàu</t>
  </si>
  <si>
    <t xml:space="preserve">Phường Vũng Tàu, Phường Tam Thắng, Phường Rạch Dừa, phường Phước Thắng  </t>
  </si>
  <si>
    <t>Hồ Bàu Sen</t>
  </si>
  <si>
    <t>Rạch Bà, Cửa Lấp</t>
  </si>
  <si>
    <t>4-11</t>
  </si>
  <si>
    <t>Kênh Đồng Sát 1</t>
  </si>
  <si>
    <t xml:space="preserve"> phường Phước Thắng  </t>
  </si>
  <si>
    <t>Rạch Bà</t>
  </si>
  <si>
    <t>Phước Thắng</t>
  </si>
  <si>
    <t>2,4 - 3,6</t>
  </si>
  <si>
    <t>Kênh Đồng Sát 2</t>
  </si>
  <si>
    <t>Đồng sát 1</t>
  </si>
  <si>
    <t>Cầu Cháy</t>
  </si>
  <si>
    <t>3,0 - 4,3</t>
  </si>
  <si>
    <t>Tiếp giáp kênh Vsip I</t>
  </si>
  <si>
    <t>Ngã 3 kênh D, rạch ông Bố</t>
  </si>
  <si>
    <t>Bưng Bịp - Suối Cát</t>
  </si>
  <si>
    <t>15 - 70</t>
  </si>
  <si>
    <t>25 - 50</t>
  </si>
  <si>
    <t>Ủy ban nhân dân 
phường Tam Long</t>
  </si>
  <si>
    <t>Ngã ba kênh Tẻ</t>
  </si>
  <si>
    <t>D</t>
  </si>
  <si>
    <t>HỒ ĐIỀU HÒA</t>
  </si>
  <si>
    <t>Hồ Tân Vĩnh Hiệp</t>
  </si>
  <si>
    <t>Rạch Ngọc Đình</t>
  </si>
  <si>
    <t>Rạch Xã Hai</t>
  </si>
  <si>
    <t>Rạch Láng Búa</t>
  </si>
  <si>
    <t>Kênh Tân Long</t>
  </si>
  <si>
    <t>Kênh Trương Văn Đa</t>
  </si>
  <si>
    <t>Rạch Nhà Cổng</t>
  </si>
  <si>
    <t>Rạch Thầy thuốc</t>
  </si>
  <si>
    <t>Rạch Rọc Ngựa</t>
  </si>
  <si>
    <t>Rạch Xóm Giồng</t>
  </si>
  <si>
    <t>Rạch Lương Cạn</t>
  </si>
  <si>
    <t>Rạch Láng Chả</t>
  </si>
  <si>
    <t>Kênh T23</t>
  </si>
  <si>
    <t>Kênh 5 Nghêu</t>
  </si>
  <si>
    <t>Kênh T24</t>
  </si>
  <si>
    <t>Kênh 3 Ngay</t>
  </si>
  <si>
    <t>Kênh Hiệp Nguyên</t>
  </si>
  <si>
    <t>Rạch Bến Đình</t>
  </si>
  <si>
    <t>Kênh 8 Cả (N1)</t>
  </si>
  <si>
    <t>Mương 10 Tâm</t>
  </si>
  <si>
    <t>Kênh 6 Nữ</t>
  </si>
  <si>
    <t>Rạch Lương Giữa</t>
  </si>
  <si>
    <t>Kênh Bảy Chiến</t>
  </si>
  <si>
    <t>Kênh Sơ Đằng</t>
  </si>
  <si>
    <t>Kênh Sáu Đắc</t>
  </si>
  <si>
    <t>Kênh Bảy Quý</t>
  </si>
  <si>
    <t>Kênh Tư Thế</t>
  </si>
  <si>
    <t>Rạch Bà Thao</t>
  </si>
  <si>
    <t>Rạch Láng Tiến</t>
  </si>
  <si>
    <t>Rạch Tư Nguyền</t>
  </si>
  <si>
    <t>Kênh tập đoàn 4</t>
  </si>
  <si>
    <t>Kênh tập đoàn 7-11</t>
  </si>
  <si>
    <t>Nạo vét kênh tập đoàn 3A</t>
  </si>
  <si>
    <t>Rạch kênh Nhật Bổn (từ Bình Điền Quán...)</t>
  </si>
  <si>
    <t>Kênh tập đoàn 10</t>
  </si>
  <si>
    <t>Rạch Tua Bể</t>
  </si>
  <si>
    <t>Kênh Tổ 234</t>
  </si>
  <si>
    <t>UBND xã Phước Thành</t>
  </si>
  <si>
    <t>xã Hòa Hội</t>
  </si>
  <si>
    <t>Tờ bản đồ số 15 thửa 254</t>
  </si>
  <si>
    <t>Tờ bản đồ số 46 thửa
174</t>
  </si>
  <si>
    <t>Phường Tân Uyên, xã Thường Tân, xã Bắc Tân Uyên</t>
  </si>
  <si>
    <t>Thửa 278, tờ 27</t>
  </si>
  <si>
    <t>Thửa 27, tờ 40</t>
  </si>
  <si>
    <t>Xã Bắc Tân Uyên, xã Phú Giáo</t>
  </si>
  <si>
    <t>Suối Tổng Nhẫn</t>
  </si>
  <si>
    <t>Thửa 189, tờ 84</t>
  </si>
  <si>
    <t>Thửa 16, tờ 99</t>
  </si>
  <si>
    <t>Suối Voi</t>
  </si>
  <si>
    <t>Thửa 394, tờ 64</t>
  </si>
  <si>
    <t>Suối Vĩnh Lai</t>
  </si>
  <si>
    <t>Suối Dung Gia</t>
  </si>
  <si>
    <t>Phường Hòa Lợi, Vĩnh Tân</t>
  </si>
  <si>
    <t>Phường Vĩnh Tân, Bình Dương</t>
  </si>
  <si>
    <t>(1213294; 684703)</t>
  </si>
  <si>
    <t>Vĩnh Tân 
(1229815; 686940)</t>
  </si>
  <si>
    <t>Phường Bình Cơ, Vĩnh Tân, Tân Hiệp</t>
  </si>
  <si>
    <t>Phường Bình Cơ (1233602; 691352)</t>
  </si>
  <si>
    <t>(1234774; 684019)</t>
  </si>
  <si>
    <t>Rạch Ông Tiếp</t>
  </si>
  <si>
    <t>(1211728; 692922)</t>
  </si>
  <si>
    <t>(1213089; 694664)</t>
  </si>
  <si>
    <t>KHU VỰC BÀ RỊA - VŨNG TÀU CŨ (12 Tuyến)</t>
  </si>
  <si>
    <t>Suối Vàm Tư</t>
  </si>
  <si>
    <t>Giao Rạch Tam Vàm Tắc - Rạch Bà Láng)</t>
  </si>
  <si>
    <t>Bình Phú, An Lạc</t>
  </si>
  <si>
    <t>7,2-21,7</t>
  </si>
  <si>
    <t>Nhánh rạch Rỗng Lớn</t>
  </si>
  <si>
    <t>Rạch Bân</t>
  </si>
  <si>
    <t>Rạch Cống hộp số 3</t>
  </si>
  <si>
    <t>Rạch Cống hộp số 4</t>
  </si>
  <si>
    <t>Rạch Rỗng Mọi</t>
  </si>
  <si>
    <t>Rạch Cây Ư</t>
  </si>
  <si>
    <t>Nhánh rạch Ba Ton</t>
  </si>
  <si>
    <t>Nhánh rạch Đá Hàn</t>
  </si>
  <si>
    <t xml:space="preserve">Rạch Rỗng Tùng </t>
  </si>
  <si>
    <t xml:space="preserve">Thửa đất số 134, tờ bản đồ số 36 (tài liệu 2005) </t>
  </si>
  <si>
    <t>7-10</t>
  </si>
  <si>
    <t xml:space="preserve">Thửa đất số 45, tờ bản đồ số 07 (tài liệu 2005) </t>
  </si>
  <si>
    <t xml:space="preserve">Thửa đất số 92, tờ bản đồ số 38 (tài liệu 2005) </t>
  </si>
  <si>
    <t xml:space="preserve">Thửa đất số 105, tờ bản đồ số 66 (tài liệu 2005) </t>
  </si>
  <si>
    <t>7-15</t>
  </si>
  <si>
    <t xml:space="preserve">Thửa đất số 105, tờ bản đồ số 30 (tài liệu 2005) </t>
  </si>
  <si>
    <t xml:space="preserve">Thửa đất số 59, tờ bản đồ số 38 (tài liệu 2005) </t>
  </si>
  <si>
    <t xml:space="preserve">Thửa đất số 66, tờ bản đồ số 36 (tài liệu 2005) </t>
  </si>
  <si>
    <t xml:space="preserve">Thửa đất số 19, tờ bản đồ số 26 (tài liệu 2005) </t>
  </si>
  <si>
    <t>3-30</t>
  </si>
  <si>
    <t xml:space="preserve">Thửa đất số 53, tờ bản đồ số 44 (tài liệu 2005) </t>
  </si>
  <si>
    <t>6-35</t>
  </si>
  <si>
    <t xml:space="preserve">Cầu Lê Văn Sĩ </t>
  </si>
  <si>
    <t xml:space="preserve">Cầu Lê Văn Sỹ </t>
  </si>
  <si>
    <t>đường Út Tịch</t>
  </si>
  <si>
    <t>Đập 26/3 (Đập Cây Chay)</t>
  </si>
  <si>
    <t>Khu phố An Phước, phường Bến Cát</t>
  </si>
  <si>
    <r>
      <t xml:space="preserve">Rạch Ngọn Đình </t>
    </r>
    <r>
      <rPr>
        <i/>
        <sz val="12"/>
        <rFont val="Times New Roman"/>
        <family val="1"/>
      </rPr>
      <t>(Chi lưu rạch Ông Đồ)</t>
    </r>
  </si>
  <si>
    <t>xã Vĩnh Lộc và xã Tân Vĩnh Lộc</t>
  </si>
  <si>
    <t>KHU VỰC BÌNH DƯƠNG CŨ (09 Tuyến)</t>
  </si>
  <si>
    <t>Chủ trì</t>
  </si>
  <si>
    <t>Phối hợp quản lý</t>
  </si>
  <si>
    <t>Kênh tiêu Liên xã (Đoạn 2)</t>
  </si>
  <si>
    <t>xã Bà Điểm</t>
  </si>
  <si>
    <t>UBND xã Bà Điểm</t>
  </si>
  <si>
    <t>Kênh tổ 10-11</t>
  </si>
  <si>
    <t>Kênh vựa nọc- 6 bé</t>
  </si>
  <si>
    <t>Nhánh kênh tiêu Liên xã (Đoạn nhánh)</t>
  </si>
  <si>
    <t>Kênh tiêu Liên xã</t>
  </si>
  <si>
    <t>Mương Giáp ranh ấp 2-ấp 4 (XTT cũ)</t>
  </si>
  <si>
    <t>Xuân Thới Thượng 53A</t>
  </si>
  <si>
    <t>Xuân Thới Thượng 26-1A</t>
  </si>
  <si>
    <t>9-18</t>
  </si>
  <si>
    <t>Đường XTS 32</t>
  </si>
  <si>
    <t>Công ty Đất Lành</t>
  </si>
  <si>
    <t>I. KHU VỰC TRUNG TÂM</t>
  </si>
  <si>
    <t>A. DANH MỤC CÁC TUYẾN KÊNH, RẠCH CÓ CHỨC NĂNG TIÊU THOÁT NƯỚC PHÂN CẤP CHO ỦY BAN NHÂN DÂN
 CÁC PHƯỜNG, XÃ QUẢN LÝ THEO ĐỊA GIỚI HÀNH CHÍNH</t>
  </si>
  <si>
    <t>B. DANH MỤC CÁC TUYẾN SÔNG, SUỐI KÊNH, RẠCH CÓ CHỨC NĂNG TƯỚI TIÊU PHỤC VỤ SẢN XUẤT NÔNG NGHIỆP PHÂN CẤP 
ỦY BAN NHÂN DÂN CÁC PHƯỜNG, XÃ QUẢN LÝ THEO ĐỊA GIỚI HÀNH CHÍNH</t>
  </si>
  <si>
    <t>Bà Điểm, Xuân Thới Sơn</t>
  </si>
  <si>
    <t>KHU VỰC TRUNG TÂM (132 Tuyến)</t>
  </si>
  <si>
    <t>Phường Bình Lợi Trung + Phường Bình Thạnh</t>
  </si>
  <si>
    <t>Tổng cộng 153 Tuyến</t>
  </si>
  <si>
    <t>Ủy ban nhân dân 
xã Phước Hải</t>
  </si>
  <si>
    <t>Tuyến 02 chức năng tiêu thoát nước, sản xuất nông nghiệp (Phối hợp quản lý)</t>
  </si>
  <si>
    <t xml:space="preserve">
Quyết định số 1329/QĐ-UBND ngày 08 tháng 9 năm 2025 của Ủy ban nhân dân Thành phố Hồ Chí Minh công bố danh mục luồng đường thủy nội địa địa phương trên địa bàn Thành phố Hồ Chí Minh, giai đoạn năm 2025 đến năm 2027
</t>
  </si>
  <si>
    <t>7-24</t>
  </si>
  <si>
    <t>7-21</t>
  </si>
  <si>
    <t>Rạch tẻ Ông Đồ (từ rạch Ông Đồ).)</t>
  </si>
  <si>
    <t xml:space="preserve">
Quyết định số 1329/QĐ-UBND ngày 08 tháng 9 năm 2025 của Ủy ban nhân dân Thành phố Hồ Chí Minh công bố danh mục luồng đường thủy nội địa địa phương trên địa bàn Thành phố Hồ Chí Minh, giai đoạn năm 2025 đến năm 2027</t>
  </si>
  <si>
    <t>Quyết định số 1329/QĐ-UBND ngày 08 tháng 9 năm 2025 của Ủy ban nhân dân Thành phố Hồ Chí Minh công bố danh mục luồng đường thủy nội địa địa phương trên địa bàn Thành phố Hồ Chí Minh, giai đoạn năm 2025 đến năm 2027</t>
  </si>
  <si>
    <t>1,5-3,5</t>
  </si>
  <si>
    <t>41-86</t>
  </si>
  <si>
    <t>0,8 - 3,5</t>
  </si>
  <si>
    <t>3,0 - 5,0</t>
  </si>
  <si>
    <t>1,0 - 2,2</t>
  </si>
  <si>
    <t>4,0 - 6,0</t>
  </si>
  <si>
    <t>25,0 - 30,0</t>
  </si>
  <si>
    <t xml:space="preserve"> 0,4-6 </t>
  </si>
  <si>
    <t xml:space="preserve"> 27-51 </t>
  </si>
  <si>
    <t xml:space="preserve"> 11-22 </t>
  </si>
  <si>
    <t xml:space="preserve"> 6-20 </t>
  </si>
  <si>
    <t xml:space="preserve"> 13-30 </t>
  </si>
  <si>
    <t>30-40</t>
  </si>
  <si>
    <t xml:space="preserve"> 22 - 27 </t>
  </si>
  <si>
    <t xml:space="preserve"> 15-21</t>
  </si>
  <si>
    <t>Từ (7,6 - 15)</t>
  </si>
  <si>
    <t>7 - 10</t>
  </si>
  <si>
    <t>2,5-3</t>
  </si>
  <si>
    <t>4-14</t>
  </si>
  <si>
    <t>5-26</t>
  </si>
  <si>
    <t>5-11</t>
  </si>
  <si>
    <t>7-26</t>
  </si>
  <si>
    <t>4,4-6,6</t>
  </si>
  <si>
    <t>4,6-9,4</t>
  </si>
  <si>
    <t>6,3-6,8</t>
  </si>
  <si>
    <t>7,7-26</t>
  </si>
  <si>
    <t>8,6-9</t>
  </si>
  <si>
    <t>5 - 30</t>
  </si>
  <si>
    <t>14 - 20</t>
  </si>
  <si>
    <t>3 - 50</t>
  </si>
  <si>
    <t>3 - 5</t>
  </si>
  <si>
    <t>10-36</t>
  </si>
  <si>
    <t>5-35</t>
  </si>
  <si>
    <t>10-26</t>
  </si>
  <si>
    <t>10-23</t>
  </si>
  <si>
    <t>8-26</t>
  </si>
  <si>
    <t>13-60</t>
  </si>
  <si>
    <t>10-22</t>
  </si>
  <si>
    <t>1,5-2</t>
  </si>
  <si>
    <t>2-2,5</t>
  </si>
  <si>
    <t>1-2,5</t>
  </si>
  <si>
    <t>1,2-2</t>
  </si>
  <si>
    <t>7-18</t>
  </si>
  <si>
    <t>5-17</t>
  </si>
  <si>
    <t>10-40</t>
  </si>
  <si>
    <t>10-33</t>
  </si>
  <si>
    <t>0,6</t>
  </si>
  <si>
    <r>
      <t>Dung tích toàn bộ
 (triệu m</t>
    </r>
    <r>
      <rPr>
        <b/>
        <vertAlign val="superscript"/>
        <sz val="12"/>
        <rFont val="Times New Roman"/>
        <family val="1"/>
      </rPr>
      <t>3</t>
    </r>
    <r>
      <rPr>
        <b/>
        <sz val="12"/>
        <rFont val="Times New Roman"/>
        <family val="1"/>
      </rPr>
      <t>)</t>
    </r>
  </si>
  <si>
    <t>17-30</t>
  </si>
  <si>
    <t>6 - 6</t>
  </si>
  <si>
    <t>2-47</t>
  </si>
  <si>
    <t>4-46</t>
  </si>
  <si>
    <t>15-26</t>
  </si>
  <si>
    <t>12-46</t>
  </si>
  <si>
    <t>40-55</t>
  </si>
  <si>
    <t>1,8</t>
  </si>
  <si>
    <r>
      <t xml:space="preserve">PHỤ LỤC 1
DANH MỤC CÁC TUYẾN SÔNG, SUỐI, KÊNH, RẠCH CÓ CHỨC NĂNG GIAO THÔNG ĐƯỜNG THỦY NỘI ĐỊA THUỘC THẨM QUYỀN QUẢN LÝ CỦA ỦY BAN NHÂN DÂN THÀNH PHỐ HỒ CHÍ MINH PHÂN CẤP CHO SỞ XÂY DỰNG QUẢN LÝ, KHAI THÁC
</t>
    </r>
    <r>
      <rPr>
        <i/>
        <sz val="12"/>
        <color theme="1"/>
        <rFont val="Times New Roman"/>
        <family val="1"/>
      </rPr>
      <t>(Kèm theo Quyết định số 39/QĐ-UBND ngày 25 tháng 6 năm 2026 của Ủy ban nhân dân Thành phố Hồ Chí Minh)</t>
    </r>
    <r>
      <rPr>
        <b/>
        <sz val="12"/>
        <color theme="1"/>
        <rFont val="Times New Roman"/>
        <family val="1"/>
      </rPr>
      <t xml:space="preserve">
</t>
    </r>
  </si>
  <si>
    <r>
      <t xml:space="preserve">PHỤ LỤC 2
 DANH MỤC CÁC TUYẾN SÔNG, SUỐI, KÊNH, RẠCH, HỒ, ĐẬP CÓ CHỨC NĂNG TIÊU THOÁT NƯỚC CHO KHU DÂN CƯ, KHU ĐÔ THỊ, KHU CÔNG NGHIỆP 
ĐI QUA ĐỊA GIỚI HÀNH CHÍNH TỪ 02 PHƯỜNG, XÃ TRỞ LÊN, CÁC TUYẾN TRỤC CHÍNH THUỘC THẨM QUYỀN QUẢN LÝ 
CỦA ỦY BAN NHÂN DÂN THÀNH PHỐ HỒ CHÍ MINH PHÂN CẤP CHO SỞ XÂY DỰNG QUẢN LÝ, KHAI THÁC
</t>
    </r>
    <r>
      <rPr>
        <i/>
        <sz val="12"/>
        <rFont val="Times New Roman"/>
        <family val="1"/>
      </rPr>
      <t>(Kèm theo Quyết định số 39/QĐ-UBND ngày 25 tháng 6 năm 2026 của Ủy ban nhân dân Thành phố Hồ Chí Minh)</t>
    </r>
    <r>
      <rPr>
        <b/>
        <sz val="12"/>
        <rFont val="Times New Roman"/>
        <family val="1"/>
      </rPr>
      <t xml:space="preserve">
</t>
    </r>
  </si>
  <si>
    <r>
      <t xml:space="preserve">PHỤ LỤC 3
DANH MỤC CÁC TUYẾN SÔNG, SUỐI, KÊNH, RẠCH CÓ CHỨC NĂNG TƯỚI TIÊU PHỤC VỤ SẢN XUẤT NÔNG NGHIỆP 
ĐI QUA ĐỊA GIỚI HÀNH CHÍNH TỪ 02 PHƯỜNG - XÃ TRỞ LÊN, CÁC HỆ THỐNG CÔNG TRÌNH THỦY LỢI, 
CÁC TUYẾN TRỤC CHÍNH THUỘC THẨM QUYỀN QUẢN LÝ CỦA ỦY BAN NHÂN DÂN THÀNH PHỐ HỒ CHÍ MINH 
PHÂN CẤP CHO SỞ NÔNG NGHIỆP VÀ MÔI TRƯỜNG QUẢN LÝ, KHAI THÁC
</t>
    </r>
    <r>
      <rPr>
        <i/>
        <sz val="12"/>
        <rFont val="Times New Roman"/>
        <family val="1"/>
      </rPr>
      <t>(Kèm theo Quyết định số 39/QĐ-UBND ngày 25 tháng 6 năm 2026 của Ủy ban nhân dân Thành phố Hồ Chí Minh)</t>
    </r>
  </si>
  <si>
    <t>(Kèm theo Quyết định số 39/QĐ-UBND ngày 25 tháng 6 năm 2026 của Ủy ban nhân dân Thành phố Hồ Chí Minh)</t>
  </si>
  <si>
    <r>
      <t xml:space="preserve">PHỤ LỤC 5
DANH MỤC CÁC TUYẾN KÊNH, RẠCH CÓ CHỨC NĂNG TIÊU THOÁT NƯỚC, TƯỚI TIÊU PHỤC VỤ SẢN XUẤT NÔNG NGHIỆP 
THUỘC THẨM QUYỀN QUẢN LÝ CỦA ỦY BAN NHÂN DÂN THÀNH PHỐ HỒ CHÍ MINH PHÂN CẤP CHO 
ỦY BAN NHÂN DÂN CÁC PHƯỜNG, XÃ QUẢN LÝ
</t>
    </r>
    <r>
      <rPr>
        <i/>
        <sz val="13"/>
        <rFont val="Times New Roman"/>
        <family val="1"/>
      </rPr>
      <t>(Kèm theo Quyết định số 39/QĐ-UBND ngày 25 tháng 6 năm 2026 của Ủy ban nhân dân Thành phố Hồ Chí Minh)</t>
    </r>
  </si>
  <si>
    <r>
      <t xml:space="preserve">PHỤ LỤC 6
DANH MỤC CÁC HỒ, ĐẬP CÓ CHỨC NĂNG TƯỚI TIÊU PHỤC VỤ SẢN XUẤT NÔNG NGHIỆP, CẤP NƯỚC SINH HOẠT THUỘC THẨM QUYỀN QUẢN LÝ CỦA ỦY BAN NHÂN DÂN THÀNH PHỐ HỒ CHÍ MINH PHÂN CẤP CHO ỦY BAN NHÂN DÂN CÁC PHƯỜNG, XÃ QUẢN LÝ, KHAI THÁC
</t>
    </r>
    <r>
      <rPr>
        <i/>
        <sz val="12"/>
        <rFont val="Times New Roman"/>
        <family val="1"/>
      </rPr>
      <t>(Kèm theo Quyết định số 39/QĐ-UBND ngày 25 tháng 6 năm 2026 của Ủy ban nhân dân Thành phố Hồ Chí Minh)</t>
    </r>
  </si>
  <si>
    <r>
      <rPr>
        <b/>
        <sz val="13"/>
        <color indexed="8"/>
        <rFont val="Times New Roman"/>
        <family val="1"/>
      </rPr>
      <t xml:space="preserve">PHỤ LỤC 7
DANH MỤC CÁC TUYẾN SÔNG, SUỐI, KÊNH, RẠCH, HỒ, ĐẬP CÓ CHỨC NĂNG TIÊU THOÁT NƯỚC CHO KHU DÂN CƯ, KHU ĐÔ THỊ, KHU CÔNG NGHIỆP VÀ TƯỚI TIÊU PHỤC VỤ SẢN XUẤT NÔNG NGHIỆP THUỘC THẨM QUYỀN QUẢN LÝ CỦA ỦY BAN NHÂN DÂN THÀNH PHỐ HỒ CHÍ MINH PHÂN CẤP CHO ỦY BAN NHÂN DÂN ĐẶC KHU CÔN ĐẢO QUẢN LÝ, KHAI THÁC
</t>
    </r>
    <r>
      <rPr>
        <i/>
        <sz val="13"/>
        <color indexed="8"/>
        <rFont val="Times New Roman"/>
        <family val="1"/>
      </rPr>
      <t>(Kèm theo Quyết định số 39/QĐ-UBND ngày 25 tháng 6 năm 2026 của Ủy ban nhân dân Thành phố Hồ Chí Minh)</t>
    </r>
  </si>
</sst>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164" formatCode="_(* #,##0_);_(* \(#,##0\);_(* &quot;-&quot;_);_(@_)"/>
    <numFmt numFmtId="165" formatCode="_(* #,##0.00_);_(* \(#,##0.00\);_(* &quot;-&quot;??_);_(@_)"/>
    <numFmt numFmtId="166" formatCode="_(* #,##0_);_(* \(#,##0\);_(* &quot;-&quot;??_);_(@_)"/>
    <numFmt numFmtId="167" formatCode="_(* #,##0.0_);_(* \(#,##0.0\);_(* &quot;-&quot;??_);_(@_)"/>
    <numFmt numFmtId="168" formatCode="#,##0.0"/>
    <numFmt numFmtId="169" formatCode="0.0"/>
    <numFmt numFmtId="170" formatCode="#,##0.0_);\(#,##0.0\)"/>
    <numFmt numFmtId="171" formatCode="_(* #,##0.00_);_(* \(#,##0.00\);_(* &quot;-&quot;_);_(@_)"/>
    <numFmt numFmtId="172" formatCode="#,##0.0000"/>
    <numFmt numFmtId="173" formatCode="_(* #,##0.000_);_(* \(#,##0.000\);_(* &quot;-&quot;??_);_(@_)"/>
    <numFmt numFmtId="174" formatCode="#,##0;[Red]#,##0"/>
  </numFmts>
  <fonts count="58">
    <font>
      <sz val="11"/>
      <color theme="1"/>
      <name val="Calibri"/>
      <family val="2"/>
      <scheme val="minor"/>
    </font>
    <font>
      <sz val="11"/>
      <color indexed="8"/>
      <name val="Arial"/>
      <family val="2"/>
    </font>
    <font>
      <sz val="8"/>
      <name val="Arial"/>
      <family val="2"/>
    </font>
    <font>
      <sz val="12"/>
      <name val="Times New Roman"/>
      <family val="1"/>
    </font>
    <font>
      <sz val="12"/>
      <name val="Times New Roman"/>
      <family val="1"/>
      <charset val="163"/>
    </font>
    <font>
      <sz val="14"/>
      <color indexed="8"/>
      <name val="Times New Roman"/>
      <family val="1"/>
    </font>
    <font>
      <sz val="10"/>
      <name val="Arial"/>
      <family val="2"/>
    </font>
    <font>
      <sz val="10"/>
      <name val="VNI-Times"/>
    </font>
    <font>
      <sz val="10"/>
      <name val="Arial"/>
      <family val="2"/>
    </font>
    <font>
      <sz val="10"/>
      <name val="Times New Roman"/>
      <family val="1"/>
    </font>
    <font>
      <b/>
      <sz val="14"/>
      <name val="Times New Roman"/>
      <family val="1"/>
    </font>
    <font>
      <i/>
      <sz val="12"/>
      <name val="Times New Roman"/>
      <family val="1"/>
    </font>
    <font>
      <i/>
      <sz val="10"/>
      <name val="Times New Roman"/>
      <family val="1"/>
    </font>
    <font>
      <b/>
      <sz val="12"/>
      <name val="Times New Roman"/>
      <family val="1"/>
    </font>
    <font>
      <sz val="14"/>
      <name val="Times New Roman"/>
      <family val="1"/>
    </font>
    <font>
      <sz val="12"/>
      <name val="Arial"/>
      <family val="2"/>
    </font>
    <font>
      <b/>
      <sz val="10"/>
      <name val="Times New Roman"/>
      <family val="1"/>
    </font>
    <font>
      <sz val="10"/>
      <name val="Arial"/>
      <family val="2"/>
    </font>
    <font>
      <sz val="10"/>
      <name val="Arial"/>
      <family val="2"/>
      <charset val="163"/>
    </font>
    <font>
      <sz val="14"/>
      <color rgb="FFFF0000"/>
      <name val="Times New Roman"/>
      <family val="1"/>
    </font>
    <font>
      <b/>
      <sz val="10"/>
      <color theme="1"/>
      <name val="Times New Roman"/>
      <family val="1"/>
    </font>
    <font>
      <sz val="14"/>
      <color theme="1"/>
      <name val="Times New Roman"/>
      <family val="1"/>
    </font>
    <font>
      <sz val="12"/>
      <color rgb="FFFF0000"/>
      <name val="Times New Roman"/>
      <family val="1"/>
    </font>
    <font>
      <b/>
      <sz val="12"/>
      <color rgb="FFFF0000"/>
      <name val="Times New Roman"/>
      <family val="1"/>
    </font>
    <font>
      <sz val="12"/>
      <color rgb="FFFF0000"/>
      <name val="Times New Roman"/>
      <family val="1"/>
      <charset val="163"/>
    </font>
    <font>
      <sz val="12"/>
      <color theme="1"/>
      <name val="Calibri"/>
      <family val="2"/>
      <scheme val="minor"/>
    </font>
    <font>
      <sz val="12"/>
      <color theme="1"/>
      <name val="Times New Roman"/>
      <family val="1"/>
    </font>
    <font>
      <b/>
      <sz val="12"/>
      <color rgb="FF00CC00"/>
      <name val="Times New Roman"/>
      <family val="1"/>
    </font>
    <font>
      <sz val="12"/>
      <color rgb="FF00CC00"/>
      <name val="Times New Roman"/>
      <family val="1"/>
    </font>
    <font>
      <b/>
      <sz val="12"/>
      <color theme="1"/>
      <name val="Times New Roman"/>
      <family val="1"/>
    </font>
    <font>
      <b/>
      <i/>
      <sz val="12"/>
      <color rgb="FF000000"/>
      <name val="Times New Roman"/>
      <family val="1"/>
    </font>
    <font>
      <b/>
      <sz val="12"/>
      <color rgb="FF000000"/>
      <name val="Times New Roman"/>
      <family val="1"/>
    </font>
    <font>
      <sz val="12"/>
      <color rgb="FF000000"/>
      <name val="Times New Roman"/>
      <family val="1"/>
    </font>
    <font>
      <i/>
      <sz val="12"/>
      <color rgb="FF000000"/>
      <name val="Times New Roman"/>
      <family val="1"/>
    </font>
    <font>
      <i/>
      <sz val="12"/>
      <color theme="1"/>
      <name val="Times New Roman"/>
      <family val="1"/>
    </font>
    <font>
      <vertAlign val="subscript"/>
      <sz val="12"/>
      <name val="Times New Roman"/>
      <family val="1"/>
    </font>
    <font>
      <sz val="11"/>
      <color theme="1"/>
      <name val="Calibri"/>
      <family val="2"/>
      <charset val="163"/>
      <scheme val="minor"/>
    </font>
    <font>
      <strike/>
      <sz val="12"/>
      <name val="Times New Roman"/>
      <family val="1"/>
    </font>
    <font>
      <sz val="10"/>
      <color indexed="8"/>
      <name val="Arial"/>
      <family val="2"/>
    </font>
    <font>
      <b/>
      <vertAlign val="superscript"/>
      <sz val="12"/>
      <name val="Times New Roman"/>
      <family val="1"/>
    </font>
    <font>
      <sz val="12"/>
      <color rgb="FF00B0F0"/>
      <name val="Times New Roman"/>
      <family val="1"/>
    </font>
    <font>
      <b/>
      <sz val="13"/>
      <name val="Times New Roman"/>
      <family val="1"/>
    </font>
    <font>
      <b/>
      <i/>
      <sz val="13"/>
      <name val="Times New Roman"/>
      <family val="1"/>
    </font>
    <font>
      <b/>
      <vertAlign val="superscript"/>
      <sz val="13"/>
      <name val="Times New Roman"/>
      <family val="1"/>
    </font>
    <font>
      <sz val="13"/>
      <name val="Times New Roman"/>
      <family val="1"/>
    </font>
    <font>
      <b/>
      <sz val="13"/>
      <color theme="1"/>
      <name val="Times New Roman"/>
      <family val="1"/>
    </font>
    <font>
      <i/>
      <sz val="13"/>
      <name val="Times New Roman"/>
      <family val="1"/>
    </font>
    <font>
      <sz val="11"/>
      <color theme="1"/>
      <name val="Calibri"/>
      <family val="2"/>
      <scheme val="minor"/>
    </font>
    <font>
      <sz val="12"/>
      <color theme="1"/>
      <name val="Times New Roman"/>
      <family val="1"/>
      <charset val="163"/>
    </font>
    <font>
      <sz val="13"/>
      <color theme="1"/>
      <name val="Times New Roman"/>
      <family val="1"/>
    </font>
    <font>
      <sz val="11"/>
      <color indexed="8"/>
      <name val="Calibri"/>
      <family val="2"/>
    </font>
    <font>
      <sz val="13"/>
      <color indexed="8"/>
      <name val="Times New Roman"/>
      <family val="1"/>
    </font>
    <font>
      <b/>
      <sz val="13"/>
      <color indexed="8"/>
      <name val="Times New Roman"/>
      <family val="1"/>
    </font>
    <font>
      <i/>
      <sz val="13"/>
      <color indexed="8"/>
      <name val="Times New Roman"/>
      <family val="1"/>
    </font>
    <font>
      <vertAlign val="subscript"/>
      <sz val="13"/>
      <name val="Times New Roman"/>
      <family val="1"/>
    </font>
    <font>
      <sz val="9"/>
      <name val="Times New Roman"/>
      <family val="1"/>
    </font>
    <font>
      <sz val="12"/>
      <name val="TimesNewRomanPSMT"/>
    </font>
    <font>
      <sz val="13"/>
      <color rgb="FFFF0000"/>
      <name val="Times New Roman"/>
      <family val="1"/>
    </font>
  </fonts>
  <fills count="9">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FFFF00"/>
        <bgColor indexed="64"/>
      </patternFill>
    </fill>
    <fill>
      <patternFill patternType="solid">
        <fgColor theme="2"/>
        <bgColor indexed="64"/>
      </patternFill>
    </fill>
    <fill>
      <patternFill patternType="solid">
        <fgColor rgb="FF00B0F0"/>
        <bgColor indexed="64"/>
      </patternFill>
    </fill>
    <fill>
      <patternFill patternType="solid">
        <fgColor rgb="FFF4F4F0"/>
        <bgColor indexed="64"/>
      </patternFill>
    </fill>
    <fill>
      <patternFill patternType="solid">
        <fgColor rgb="FFF3F5D7"/>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medium">
        <color indexed="64"/>
      </right>
      <top style="medium">
        <color indexed="64"/>
      </top>
      <bottom style="dotted">
        <color indexed="64"/>
      </bottom>
      <diagonal/>
    </border>
    <border>
      <left style="thin">
        <color indexed="64"/>
      </left>
      <right style="medium">
        <color indexed="64"/>
      </right>
      <top style="dotted">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dotted">
        <color indexed="64"/>
      </bottom>
      <diagonal/>
    </border>
    <border>
      <left style="medium">
        <color indexed="64"/>
      </left>
      <right style="thin">
        <color indexed="64"/>
      </right>
      <top style="dotted">
        <color indexed="64"/>
      </top>
      <bottom style="medium">
        <color indexed="64"/>
      </bottom>
      <diagonal/>
    </border>
    <border>
      <left/>
      <right/>
      <top/>
      <bottom style="thin">
        <color indexed="64"/>
      </bottom>
      <diagonal/>
    </border>
  </borders>
  <cellStyleXfs count="22">
    <xf numFmtId="0" fontId="0" fillId="0" borderId="0"/>
    <xf numFmtId="165" fontId="1" fillId="0" borderId="0" applyFont="0" applyFill="0" applyBorder="0" applyAlignment="0" applyProtection="0"/>
    <xf numFmtId="165" fontId="8" fillId="0" borderId="0" applyFont="0" applyFill="0" applyBorder="0" applyAlignment="0" applyProtection="0"/>
    <xf numFmtId="165" fontId="18" fillId="0" borderId="0" applyFont="0" applyFill="0" applyBorder="0" applyAlignment="0" applyProtection="0"/>
    <xf numFmtId="165" fontId="6" fillId="0" borderId="0" applyFont="0" applyFill="0" applyBorder="0" applyAlignment="0" applyProtection="0"/>
    <xf numFmtId="0" fontId="8" fillId="0" borderId="0"/>
    <xf numFmtId="0" fontId="6" fillId="0" borderId="0"/>
    <xf numFmtId="0" fontId="18" fillId="0" borderId="0"/>
    <xf numFmtId="0" fontId="17" fillId="0" borderId="0"/>
    <xf numFmtId="0" fontId="8" fillId="0" borderId="0" applyProtection="0"/>
    <xf numFmtId="0" fontId="18" fillId="0" borderId="0" applyProtection="0"/>
    <xf numFmtId="0" fontId="7" fillId="0" borderId="0"/>
    <xf numFmtId="0" fontId="6" fillId="0" borderId="0"/>
    <xf numFmtId="0" fontId="8" fillId="0" borderId="0"/>
    <xf numFmtId="0" fontId="18" fillId="0" borderId="0"/>
    <xf numFmtId="0" fontId="36" fillId="0" borderId="0"/>
    <xf numFmtId="0" fontId="38" fillId="0" borderId="0"/>
    <xf numFmtId="164" fontId="47" fillId="0" borderId="0" applyFont="0" applyFill="0" applyBorder="0" applyAlignment="0" applyProtection="0"/>
    <xf numFmtId="0" fontId="6" fillId="0" borderId="0"/>
    <xf numFmtId="0" fontId="6" fillId="0" borderId="0"/>
    <xf numFmtId="0" fontId="50" fillId="0" borderId="0"/>
    <xf numFmtId="165" fontId="1" fillId="0" borderId="0" applyFont="0" applyFill="0" applyBorder="0" applyAlignment="0" applyProtection="0"/>
  </cellStyleXfs>
  <cellXfs count="845">
    <xf numFmtId="0" fontId="0" fillId="0" borderId="0" xfId="0"/>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9" fillId="0" borderId="0" xfId="5" applyFont="1"/>
    <xf numFmtId="0" fontId="13" fillId="0" borderId="0" xfId="5" applyFont="1" applyAlignment="1">
      <alignment horizontal="left"/>
    </xf>
    <xf numFmtId="0" fontId="13" fillId="0" borderId="0" xfId="5" applyFont="1" applyAlignment="1">
      <alignment horizontal="right"/>
    </xf>
    <xf numFmtId="0" fontId="9" fillId="0" borderId="0" xfId="5" applyFont="1" applyAlignment="1">
      <alignment horizontal="left"/>
    </xf>
    <xf numFmtId="0" fontId="9" fillId="0" borderId="0" xfId="5" applyFont="1" applyAlignment="1">
      <alignment horizontal="center"/>
    </xf>
    <xf numFmtId="0" fontId="13" fillId="0" borderId="0" xfId="5" applyFont="1" applyAlignment="1"/>
    <xf numFmtId="167" fontId="13" fillId="2" borderId="2" xfId="2" applyNumberFormat="1" applyFont="1" applyFill="1" applyBorder="1" applyAlignment="1">
      <alignment horizontal="center" vertical="center" wrapText="1"/>
    </xf>
    <xf numFmtId="166" fontId="13" fillId="2" borderId="3" xfId="2" applyNumberFormat="1" applyFont="1" applyFill="1" applyBorder="1" applyAlignment="1">
      <alignment horizontal="right" vertical="center" wrapText="1"/>
    </xf>
    <xf numFmtId="167" fontId="13" fillId="2" borderId="3" xfId="2" applyNumberFormat="1" applyFont="1" applyFill="1" applyBorder="1" applyAlignment="1">
      <alignment horizontal="left" vertical="center" wrapText="1"/>
    </xf>
    <xf numFmtId="167" fontId="13" fillId="2" borderId="4" xfId="2" applyNumberFormat="1" applyFont="1" applyFill="1" applyBorder="1" applyAlignment="1">
      <alignment horizontal="center" vertical="center" wrapText="1"/>
    </xf>
    <xf numFmtId="0" fontId="14" fillId="0" borderId="0" xfId="5" applyFont="1" applyAlignment="1">
      <alignment horizontal="center" vertical="center"/>
    </xf>
    <xf numFmtId="166" fontId="10" fillId="0" borderId="0" xfId="5" applyNumberFormat="1" applyFont="1" applyAlignment="1">
      <alignment horizontal="center" vertical="center"/>
    </xf>
    <xf numFmtId="0" fontId="3" fillId="0" borderId="5" xfId="5" applyFont="1" applyBorder="1" applyAlignment="1">
      <alignment horizontal="center" vertical="center"/>
    </xf>
    <xf numFmtId="1" fontId="3" fillId="2" borderId="6" xfId="5" applyNumberFormat="1" applyFont="1" applyFill="1" applyBorder="1" applyAlignment="1">
      <alignment horizontal="center" vertical="center" wrapText="1"/>
    </xf>
    <xf numFmtId="1" fontId="3" fillId="2" borderId="7" xfId="5" applyNumberFormat="1" applyFont="1" applyFill="1" applyBorder="1" applyAlignment="1">
      <alignment horizontal="center" vertical="center" wrapText="1"/>
    </xf>
    <xf numFmtId="166" fontId="3" fillId="2" borderId="7" xfId="2" applyNumberFormat="1" applyFont="1" applyFill="1" applyBorder="1" applyAlignment="1">
      <alignment horizontal="right" vertical="center"/>
    </xf>
    <xf numFmtId="0" fontId="3" fillId="2" borderId="7" xfId="5" applyFont="1" applyFill="1" applyBorder="1" applyAlignment="1">
      <alignment horizontal="left" vertical="center" wrapText="1"/>
    </xf>
    <xf numFmtId="0" fontId="3" fillId="0" borderId="8" xfId="5" applyFont="1" applyBorder="1" applyAlignment="1">
      <alignment horizontal="center" vertical="center"/>
    </xf>
    <xf numFmtId="166" fontId="14" fillId="0" borderId="0" xfId="5" applyNumberFormat="1" applyFont="1" applyAlignment="1">
      <alignment horizontal="center" vertical="center"/>
    </xf>
    <xf numFmtId="0" fontId="3" fillId="0" borderId="9" xfId="5" applyFont="1" applyBorder="1" applyAlignment="1">
      <alignment horizontal="center" vertical="center"/>
    </xf>
    <xf numFmtId="1" fontId="3" fillId="2" borderId="1" xfId="5" applyNumberFormat="1" applyFont="1" applyFill="1" applyBorder="1" applyAlignment="1">
      <alignment horizontal="center" vertical="center" wrapText="1"/>
    </xf>
    <xf numFmtId="166" fontId="3" fillId="2" borderId="1" xfId="2" applyNumberFormat="1" applyFont="1" applyFill="1" applyBorder="1" applyAlignment="1">
      <alignment horizontal="right" vertical="center"/>
    </xf>
    <xf numFmtId="0" fontId="3" fillId="2" borderId="1" xfId="13" applyFont="1" applyFill="1" applyBorder="1" applyAlignment="1">
      <alignment horizontal="left" vertical="center" wrapText="1"/>
    </xf>
    <xf numFmtId="0" fontId="3" fillId="0" borderId="10" xfId="5" applyFont="1" applyBorder="1" applyAlignment="1">
      <alignment horizontal="center" vertical="center"/>
    </xf>
    <xf numFmtId="0" fontId="3" fillId="0" borderId="1" xfId="5" applyFont="1" applyBorder="1" applyAlignment="1">
      <alignment horizontal="left" vertical="center" wrapText="1"/>
    </xf>
    <xf numFmtId="3" fontId="3" fillId="0" borderId="1" xfId="5" applyNumberFormat="1" applyFont="1" applyBorder="1" applyAlignment="1">
      <alignment horizontal="right" vertical="center"/>
    </xf>
    <xf numFmtId="166" fontId="3" fillId="0" borderId="1" xfId="2" applyNumberFormat="1" applyFont="1" applyFill="1" applyBorder="1" applyAlignment="1">
      <alignment horizontal="right" vertical="center"/>
    </xf>
    <xf numFmtId="0" fontId="3" fillId="0" borderId="1" xfId="9" applyFont="1" applyFill="1" applyBorder="1" applyAlignment="1">
      <alignment horizontal="right" vertical="center"/>
    </xf>
    <xf numFmtId="166" fontId="3" fillId="2" borderId="1" xfId="2" applyNumberFormat="1" applyFont="1" applyFill="1" applyBorder="1" applyAlignment="1">
      <alignment horizontal="right" vertical="center" wrapText="1"/>
    </xf>
    <xf numFmtId="0" fontId="3" fillId="2" borderId="10" xfId="13" applyFont="1" applyFill="1" applyBorder="1" applyAlignment="1">
      <alignment horizontal="center" vertical="center"/>
    </xf>
    <xf numFmtId="166" fontId="3" fillId="0" borderId="1" xfId="2" applyNumberFormat="1" applyFont="1" applyBorder="1" applyAlignment="1">
      <alignment horizontal="right" vertical="center"/>
    </xf>
    <xf numFmtId="166" fontId="4" fillId="2" borderId="1" xfId="2" applyNumberFormat="1" applyFont="1" applyFill="1" applyBorder="1" applyAlignment="1">
      <alignment horizontal="right" vertical="center" wrapText="1" shrinkToFit="1"/>
    </xf>
    <xf numFmtId="3" fontId="3" fillId="0" borderId="1" xfId="5" applyNumberFormat="1" applyFont="1" applyFill="1" applyBorder="1" applyAlignment="1">
      <alignment horizontal="right" vertical="center"/>
    </xf>
    <xf numFmtId="166" fontId="4" fillId="2" borderId="1" xfId="2" applyNumberFormat="1" applyFont="1" applyFill="1" applyBorder="1" applyAlignment="1">
      <alignment horizontal="right" vertical="center" wrapText="1"/>
    </xf>
    <xf numFmtId="0" fontId="15" fillId="2" borderId="10" xfId="5" applyFont="1" applyFill="1" applyBorder="1" applyAlignment="1">
      <alignment horizontal="center" vertical="center"/>
    </xf>
    <xf numFmtId="0" fontId="6" fillId="2" borderId="0" xfId="5" applyFont="1" applyFill="1" applyAlignment="1">
      <alignment horizontal="center" vertical="center"/>
    </xf>
    <xf numFmtId="166" fontId="4" fillId="2" borderId="1" xfId="2" applyNumberFormat="1" applyFont="1" applyFill="1" applyBorder="1" applyAlignment="1">
      <alignment horizontal="right" vertical="center"/>
    </xf>
    <xf numFmtId="0" fontId="3" fillId="2" borderId="10" xfId="5" applyFont="1" applyFill="1" applyBorder="1" applyAlignment="1">
      <alignment horizontal="center" vertical="center"/>
    </xf>
    <xf numFmtId="0" fontId="3" fillId="0" borderId="0" xfId="5" applyFont="1" applyAlignment="1">
      <alignment horizontal="center" vertical="center"/>
    </xf>
    <xf numFmtId="0" fontId="3" fillId="2" borderId="1" xfId="5" applyFont="1" applyFill="1" applyBorder="1" applyAlignment="1">
      <alignment horizontal="center" vertical="center" wrapText="1"/>
    </xf>
    <xf numFmtId="166" fontId="3" fillId="2" borderId="10" xfId="5" applyNumberFormat="1" applyFont="1" applyFill="1" applyBorder="1" applyAlignment="1">
      <alignment horizontal="center" vertical="center"/>
    </xf>
    <xf numFmtId="166" fontId="3" fillId="0" borderId="0" xfId="5" applyNumberFormat="1" applyFont="1" applyAlignment="1">
      <alignment horizontal="center" vertical="center"/>
    </xf>
    <xf numFmtId="0" fontId="3" fillId="2" borderId="1" xfId="5" applyFont="1" applyFill="1" applyBorder="1" applyAlignment="1">
      <alignment horizontal="center" vertical="center"/>
    </xf>
    <xf numFmtId="0" fontId="13" fillId="0" borderId="0" xfId="5" applyFont="1" applyAlignment="1">
      <alignment horizontal="center" vertical="center"/>
    </xf>
    <xf numFmtId="166" fontId="13" fillId="0" borderId="0" xfId="5" applyNumberFormat="1" applyFont="1" applyAlignment="1">
      <alignment horizontal="center" vertical="center"/>
    </xf>
    <xf numFmtId="166" fontId="3" fillId="0" borderId="10" xfId="5" applyNumberFormat="1" applyFont="1" applyBorder="1" applyAlignment="1">
      <alignment horizontal="center" vertical="center"/>
    </xf>
    <xf numFmtId="167" fontId="3" fillId="2" borderId="1" xfId="2" applyNumberFormat="1" applyFont="1" applyFill="1" applyBorder="1" applyAlignment="1">
      <alignment horizontal="right" vertical="center" wrapText="1" shrinkToFit="1"/>
    </xf>
    <xf numFmtId="166" fontId="3" fillId="2" borderId="1" xfId="2" applyNumberFormat="1" applyFont="1" applyFill="1" applyBorder="1" applyAlignment="1">
      <alignment horizontal="right" vertical="center" wrapText="1" shrinkToFit="1"/>
    </xf>
    <xf numFmtId="167" fontId="3" fillId="2" borderId="1" xfId="2" applyNumberFormat="1" applyFont="1" applyFill="1" applyBorder="1" applyAlignment="1">
      <alignment horizontal="right" vertical="center"/>
    </xf>
    <xf numFmtId="167" fontId="3" fillId="2" borderId="1" xfId="2" applyNumberFormat="1" applyFont="1" applyFill="1" applyBorder="1" applyAlignment="1">
      <alignment horizontal="right" vertical="center" wrapText="1"/>
    </xf>
    <xf numFmtId="0" fontId="3" fillId="2" borderId="1" xfId="5" applyFont="1" applyFill="1" applyBorder="1" applyAlignment="1">
      <alignment horizontal="right" vertical="center" wrapText="1"/>
    </xf>
    <xf numFmtId="0" fontId="3" fillId="0" borderId="0" xfId="5" applyFont="1" applyFill="1" applyAlignment="1">
      <alignment horizontal="center" vertical="center"/>
    </xf>
    <xf numFmtId="0" fontId="3" fillId="0" borderId="10" xfId="5" applyFont="1" applyFill="1" applyBorder="1" applyAlignment="1">
      <alignment horizontal="center" vertical="center"/>
    </xf>
    <xf numFmtId="166" fontId="3" fillId="2" borderId="2" xfId="2" applyNumberFormat="1" applyFont="1" applyFill="1" applyBorder="1" applyAlignment="1">
      <alignment horizontal="center" vertical="center" wrapText="1"/>
    </xf>
    <xf numFmtId="166" fontId="3" fillId="2" borderId="2" xfId="2" applyNumberFormat="1" applyFont="1" applyFill="1" applyBorder="1" applyAlignment="1">
      <alignment horizontal="center" vertical="center"/>
    </xf>
    <xf numFmtId="166" fontId="3" fillId="2" borderId="2" xfId="2" applyNumberFormat="1" applyFont="1" applyFill="1" applyBorder="1" applyAlignment="1">
      <alignment horizontal="right" vertical="center"/>
    </xf>
    <xf numFmtId="0" fontId="3" fillId="2" borderId="2" xfId="5" applyFont="1" applyFill="1" applyBorder="1" applyAlignment="1">
      <alignment horizontal="left" vertical="center" wrapText="1"/>
    </xf>
    <xf numFmtId="166" fontId="3" fillId="0" borderId="11" xfId="5" applyNumberFormat="1" applyFont="1" applyBorder="1" applyAlignment="1">
      <alignment horizontal="center" vertical="center"/>
    </xf>
    <xf numFmtId="166" fontId="6" fillId="0" borderId="0" xfId="5" applyNumberFormat="1" applyFont="1"/>
    <xf numFmtId="0" fontId="6" fillId="0" borderId="0" xfId="5" applyFont="1"/>
    <xf numFmtId="0" fontId="14" fillId="0" borderId="0" xfId="5" applyFont="1"/>
    <xf numFmtId="0" fontId="14" fillId="0" borderId="0" xfId="5" applyFont="1" applyAlignment="1">
      <alignment horizontal="center"/>
    </xf>
    <xf numFmtId="0" fontId="14" fillId="0" borderId="0" xfId="5" applyFont="1" applyAlignment="1"/>
    <xf numFmtId="0" fontId="14" fillId="0" borderId="0" xfId="5" applyFont="1" applyAlignment="1">
      <alignment horizontal="right"/>
    </xf>
    <xf numFmtId="0" fontId="14" fillId="0" borderId="0" xfId="5" applyFont="1" applyAlignment="1">
      <alignment horizontal="left"/>
    </xf>
    <xf numFmtId="0" fontId="14" fillId="0" borderId="0" xfId="0" applyFont="1"/>
    <xf numFmtId="0" fontId="14" fillId="0" borderId="0" xfId="0" applyFont="1" applyAlignment="1">
      <alignment horizontal="center" vertical="center"/>
    </xf>
    <xf numFmtId="0" fontId="14" fillId="0" borderId="0" xfId="0" applyFont="1" applyAlignment="1">
      <alignment horizontal="left"/>
    </xf>
    <xf numFmtId="49" fontId="14" fillId="0" borderId="0" xfId="0" applyNumberFormat="1" applyFont="1" applyAlignment="1">
      <alignment horizontal="center" vertical="center"/>
    </xf>
    <xf numFmtId="0" fontId="13" fillId="0" borderId="8" xfId="0" applyFont="1" applyBorder="1" applyAlignment="1">
      <alignment vertical="center"/>
    </xf>
    <xf numFmtId="49" fontId="13" fillId="0" borderId="2" xfId="0" applyNumberFormat="1" applyFont="1" applyBorder="1" applyAlignment="1">
      <alignment horizontal="center" vertical="center"/>
    </xf>
    <xf numFmtId="0" fontId="13" fillId="0" borderId="11" xfId="0" applyFont="1" applyBorder="1" applyAlignment="1">
      <alignment horizontal="center" vertical="center"/>
    </xf>
    <xf numFmtId="166" fontId="13" fillId="0" borderId="1" xfId="1" applyNumberFormat="1" applyFont="1" applyBorder="1" applyAlignment="1">
      <alignment horizontal="center" vertical="center"/>
    </xf>
    <xf numFmtId="49" fontId="13" fillId="0" borderId="3" xfId="0" applyNumberFormat="1" applyFont="1" applyBorder="1" applyAlignment="1">
      <alignment horizontal="center" vertical="center"/>
    </xf>
    <xf numFmtId="166" fontId="13" fillId="0" borderId="12" xfId="1" applyNumberFormat="1" applyFont="1" applyBorder="1" applyAlignment="1">
      <alignment horizontal="center" vertical="center"/>
    </xf>
    <xf numFmtId="0" fontId="3" fillId="0" borderId="13" xfId="0" applyFont="1" applyBorder="1" applyAlignment="1">
      <alignment horizontal="left" vertical="center" wrapText="1"/>
    </xf>
    <xf numFmtId="0" fontId="3" fillId="0" borderId="13" xfId="0" applyFont="1" applyBorder="1" applyAlignment="1">
      <alignment horizontal="center" vertical="center" wrapText="1"/>
    </xf>
    <xf numFmtId="3" fontId="3" fillId="0" borderId="1" xfId="0" applyNumberFormat="1" applyFont="1" applyBorder="1" applyAlignment="1">
      <alignment horizontal="center" vertical="center"/>
    </xf>
    <xf numFmtId="2" fontId="3" fillId="0" borderId="1" xfId="0" quotePrefix="1" applyNumberFormat="1" applyFont="1" applyBorder="1" applyAlignment="1">
      <alignment horizontal="center" vertical="center" wrapText="1"/>
    </xf>
    <xf numFmtId="0" fontId="3" fillId="0" borderId="1" xfId="0" quotePrefix="1" applyFont="1" applyBorder="1" applyAlignment="1">
      <alignment horizontal="center" vertical="center" wrapText="1"/>
    </xf>
    <xf numFmtId="0" fontId="3" fillId="0" borderId="10" xfId="0" applyFont="1" applyBorder="1" applyAlignment="1">
      <alignment horizontal="center" vertical="center" wrapText="1"/>
    </xf>
    <xf numFmtId="0" fontId="3" fillId="0" borderId="0" xfId="0" applyFont="1" applyAlignment="1">
      <alignment horizontal="left" vertical="center" wrapText="1"/>
    </xf>
    <xf numFmtId="11" fontId="3" fillId="0" borderId="1" xfId="0" applyNumberFormat="1" applyFont="1" applyBorder="1" applyAlignment="1">
      <alignment horizontal="left" vertical="center" wrapText="1"/>
    </xf>
    <xf numFmtId="1" fontId="3" fillId="2" borderId="1" xfId="0" applyNumberFormat="1" applyFont="1" applyFill="1" applyBorder="1" applyAlignment="1">
      <alignment horizontal="center" vertical="center" wrapText="1"/>
    </xf>
    <xf numFmtId="0" fontId="3" fillId="2" borderId="1" xfId="12" applyFont="1" applyFill="1" applyBorder="1" applyAlignment="1">
      <alignment horizontal="left" vertical="center" wrapText="1"/>
    </xf>
    <xf numFmtId="0" fontId="3" fillId="0" borderId="1" xfId="0" applyFont="1" applyBorder="1" applyAlignment="1">
      <alignment vertical="center" wrapText="1"/>
    </xf>
    <xf numFmtId="0" fontId="3" fillId="0" borderId="1" xfId="0" applyFont="1" applyBorder="1" applyAlignment="1">
      <alignment horizontal="center" vertical="center"/>
    </xf>
    <xf numFmtId="0" fontId="3" fillId="0" borderId="1" xfId="0" applyFont="1" applyBorder="1" applyAlignment="1">
      <alignment vertical="center"/>
    </xf>
    <xf numFmtId="0" fontId="3" fillId="0" borderId="14" xfId="0" applyFont="1" applyBorder="1" applyAlignment="1">
      <alignment horizontal="center" vertical="center"/>
    </xf>
    <xf numFmtId="0" fontId="3" fillId="0" borderId="14" xfId="0" applyFont="1" applyBorder="1" applyAlignment="1">
      <alignment horizontal="center" vertical="center" wrapText="1"/>
    </xf>
    <xf numFmtId="0" fontId="3" fillId="0" borderId="14" xfId="0" applyFont="1" applyBorder="1" applyAlignment="1">
      <alignment vertical="center"/>
    </xf>
    <xf numFmtId="49" fontId="3" fillId="0" borderId="1" xfId="0" applyNumberFormat="1" applyFont="1" applyBorder="1" applyAlignment="1">
      <alignment horizontal="center" vertical="center" wrapText="1"/>
    </xf>
    <xf numFmtId="0" fontId="3" fillId="0" borderId="15" xfId="0" applyFont="1" applyBorder="1" applyAlignment="1">
      <alignment horizontal="center" vertical="center"/>
    </xf>
    <xf numFmtId="0" fontId="3" fillId="0" borderId="2" xfId="0" applyFont="1" applyBorder="1" applyAlignment="1">
      <alignment vertical="center"/>
    </xf>
    <xf numFmtId="0" fontId="3" fillId="0" borderId="2" xfId="0" applyFont="1" applyBorder="1" applyAlignment="1">
      <alignment horizontal="center" vertical="center"/>
    </xf>
    <xf numFmtId="3" fontId="3" fillId="0" borderId="16" xfId="0" applyNumberFormat="1" applyFont="1" applyBorder="1" applyAlignment="1">
      <alignment horizontal="center" vertical="center"/>
    </xf>
    <xf numFmtId="49" fontId="3" fillId="0" borderId="2" xfId="0" applyNumberFormat="1" applyFont="1" applyBorder="1" applyAlignment="1">
      <alignment horizontal="center" vertical="center" wrapText="1"/>
    </xf>
    <xf numFmtId="0" fontId="14" fillId="0" borderId="0" xfId="0" applyFont="1" applyAlignment="1">
      <alignment horizontal="center"/>
    </xf>
    <xf numFmtId="166" fontId="10" fillId="0" borderId="0" xfId="5" applyNumberFormat="1" applyFont="1" applyBorder="1" applyAlignment="1">
      <alignment horizontal="center" vertical="center"/>
    </xf>
    <xf numFmtId="0" fontId="16" fillId="0" borderId="17" xfId="5" applyFont="1" applyBorder="1" applyAlignment="1">
      <alignment horizontal="center" vertical="center"/>
    </xf>
    <xf numFmtId="0" fontId="10" fillId="0" borderId="18" xfId="5" applyFont="1" applyBorder="1" applyAlignment="1">
      <alignment horizontal="center" vertical="center"/>
    </xf>
    <xf numFmtId="0" fontId="10" fillId="0" borderId="7" xfId="5" applyFont="1" applyBorder="1" applyAlignment="1">
      <alignment horizontal="center" vertical="center" wrapText="1"/>
    </xf>
    <xf numFmtId="0" fontId="10" fillId="0" borderId="8" xfId="5" applyFont="1" applyBorder="1" applyAlignment="1">
      <alignment horizontal="center" vertical="center"/>
    </xf>
    <xf numFmtId="0" fontId="16" fillId="0" borderId="19" xfId="5" applyFont="1" applyBorder="1" applyAlignment="1">
      <alignment horizontal="center" vertical="center"/>
    </xf>
    <xf numFmtId="0" fontId="10" fillId="0" borderId="18" xfId="5" applyFont="1" applyBorder="1" applyAlignment="1">
      <alignment horizontal="left" vertical="center" wrapText="1"/>
    </xf>
    <xf numFmtId="166" fontId="10" fillId="0" borderId="7" xfId="5" applyNumberFormat="1" applyFont="1" applyBorder="1" applyAlignment="1">
      <alignment horizontal="center" vertical="center" wrapText="1"/>
    </xf>
    <xf numFmtId="0" fontId="10" fillId="0" borderId="20" xfId="5" applyFont="1" applyBorder="1"/>
    <xf numFmtId="0" fontId="16" fillId="0" borderId="21" xfId="5" applyFont="1" applyBorder="1" applyAlignment="1">
      <alignment horizontal="center" vertical="center"/>
    </xf>
    <xf numFmtId="0" fontId="14" fillId="0" borderId="18" xfId="5" applyFont="1" applyBorder="1" applyAlignment="1">
      <alignment wrapText="1"/>
    </xf>
    <xf numFmtId="166" fontId="14" fillId="0" borderId="7" xfId="5" applyNumberFormat="1" applyFont="1" applyBorder="1" applyAlignment="1">
      <alignment vertical="center"/>
    </xf>
    <xf numFmtId="166" fontId="14" fillId="0" borderId="22" xfId="5" applyNumberFormat="1" applyFont="1" applyBorder="1" applyAlignment="1">
      <alignment vertical="center"/>
    </xf>
    <xf numFmtId="166" fontId="14" fillId="0" borderId="10" xfId="5" applyNumberFormat="1" applyFont="1" applyBorder="1"/>
    <xf numFmtId="166" fontId="14" fillId="0" borderId="0" xfId="5" applyNumberFormat="1" applyFont="1"/>
    <xf numFmtId="0" fontId="16" fillId="0" borderId="9" xfId="5" applyFont="1" applyBorder="1" applyAlignment="1">
      <alignment horizontal="center" vertical="center"/>
    </xf>
    <xf numFmtId="0" fontId="14" fillId="0" borderId="23" xfId="5" applyFont="1" applyBorder="1"/>
    <xf numFmtId="166" fontId="14" fillId="0" borderId="13" xfId="5" applyNumberFormat="1" applyFont="1" applyBorder="1" applyAlignment="1">
      <alignment vertical="center"/>
    </xf>
    <xf numFmtId="166" fontId="14" fillId="0" borderId="24" xfId="5" applyNumberFormat="1" applyFont="1" applyBorder="1" applyAlignment="1">
      <alignment vertical="center"/>
    </xf>
    <xf numFmtId="0" fontId="14" fillId="0" borderId="25" xfId="5" applyFont="1" applyBorder="1"/>
    <xf numFmtId="166" fontId="14" fillId="0" borderId="14" xfId="5" applyNumberFormat="1" applyFont="1" applyBorder="1" applyAlignment="1">
      <alignment vertical="center"/>
    </xf>
    <xf numFmtId="166" fontId="14" fillId="0" borderId="26" xfId="5" applyNumberFormat="1" applyFont="1" applyBorder="1" applyAlignment="1">
      <alignment vertical="center"/>
    </xf>
    <xf numFmtId="166" fontId="14" fillId="0" borderId="27" xfId="5" applyNumberFormat="1" applyFont="1" applyBorder="1"/>
    <xf numFmtId="0" fontId="10" fillId="0" borderId="28" xfId="5" applyFont="1" applyBorder="1" applyAlignment="1">
      <alignment horizontal="left" vertical="center" wrapText="1"/>
    </xf>
    <xf numFmtId="166" fontId="10" fillId="0" borderId="29" xfId="5" applyNumberFormat="1" applyFont="1" applyBorder="1" applyAlignment="1">
      <alignment vertical="center"/>
    </xf>
    <xf numFmtId="166" fontId="10" fillId="0" borderId="30" xfId="5" applyNumberFormat="1" applyFont="1" applyBorder="1" applyAlignment="1">
      <alignment vertical="center"/>
    </xf>
    <xf numFmtId="0" fontId="10" fillId="0" borderId="0" xfId="5" applyFont="1"/>
    <xf numFmtId="166" fontId="10" fillId="0" borderId="0" xfId="5" applyNumberFormat="1" applyFont="1"/>
    <xf numFmtId="0" fontId="14" fillId="0" borderId="31" xfId="5" applyFont="1" applyBorder="1"/>
    <xf numFmtId="166" fontId="14" fillId="0" borderId="1" xfId="5" applyNumberFormat="1" applyFont="1" applyBorder="1" applyAlignment="1">
      <alignment vertical="center"/>
    </xf>
    <xf numFmtId="0" fontId="16" fillId="0" borderId="32" xfId="5" applyFont="1" applyBorder="1" applyAlignment="1">
      <alignment horizontal="center" vertical="center"/>
    </xf>
    <xf numFmtId="0" fontId="10" fillId="0" borderId="28" xfId="5" applyFont="1" applyBorder="1"/>
    <xf numFmtId="166" fontId="10" fillId="0" borderId="20" xfId="5" applyNumberFormat="1" applyFont="1" applyBorder="1"/>
    <xf numFmtId="0" fontId="13" fillId="0" borderId="2" xfId="0" applyFont="1" applyBorder="1" applyAlignment="1">
      <alignment horizontal="center" vertical="center"/>
    </xf>
    <xf numFmtId="0" fontId="3" fillId="0" borderId="33" xfId="0" applyFont="1" applyBorder="1" applyAlignment="1">
      <alignment horizontal="center" vertical="center" wrapText="1"/>
    </xf>
    <xf numFmtId="0" fontId="3" fillId="0" borderId="9" xfId="0" applyFont="1" applyBorder="1" applyAlignment="1">
      <alignment horizontal="center" vertical="center" wrapText="1"/>
    </xf>
    <xf numFmtId="3" fontId="3" fillId="0" borderId="0" xfId="0" applyNumberFormat="1" applyFont="1" applyAlignment="1">
      <alignment horizontal="left" vertical="center" wrapText="1"/>
    </xf>
    <xf numFmtId="3" fontId="3" fillId="0" borderId="10" xfId="0" applyNumberFormat="1" applyFont="1" applyBorder="1" applyAlignment="1">
      <alignment horizontal="center" vertical="center" wrapText="1"/>
    </xf>
    <xf numFmtId="0" fontId="3" fillId="0" borderId="0" xfId="0" applyFont="1"/>
    <xf numFmtId="0" fontId="3" fillId="0" borderId="11" xfId="0" applyFont="1" applyBorder="1" applyAlignment="1">
      <alignment horizontal="center" vertical="center" wrapText="1"/>
    </xf>
    <xf numFmtId="49" fontId="14" fillId="0" borderId="0" xfId="0" applyNumberFormat="1" applyFont="1"/>
    <xf numFmtId="166" fontId="19" fillId="0" borderId="34" xfId="5" applyNumberFormat="1" applyFont="1" applyBorder="1"/>
    <xf numFmtId="166" fontId="19" fillId="0" borderId="0" xfId="5" applyNumberFormat="1" applyFont="1"/>
    <xf numFmtId="0" fontId="19" fillId="0" borderId="0" xfId="5" applyFont="1"/>
    <xf numFmtId="0" fontId="20" fillId="0" borderId="21" xfId="5" applyFont="1" applyBorder="1" applyAlignment="1">
      <alignment horizontal="center" vertical="center"/>
    </xf>
    <xf numFmtId="0" fontId="21" fillId="0" borderId="18" xfId="5" applyFont="1" applyBorder="1" applyAlignment="1">
      <alignment wrapText="1"/>
    </xf>
    <xf numFmtId="166" fontId="21" fillId="0" borderId="13" xfId="5" applyNumberFormat="1" applyFont="1" applyBorder="1" applyAlignment="1">
      <alignment vertical="center"/>
    </xf>
    <xf numFmtId="166" fontId="21" fillId="0" borderId="24" xfId="5" applyNumberFormat="1" applyFont="1" applyBorder="1" applyAlignment="1">
      <alignment vertical="center"/>
    </xf>
    <xf numFmtId="0" fontId="21" fillId="0" borderId="23" xfId="5" applyFont="1" applyBorder="1" applyAlignment="1">
      <alignment wrapText="1"/>
    </xf>
    <xf numFmtId="0" fontId="22" fillId="2" borderId="1" xfId="5" applyFont="1" applyFill="1" applyBorder="1" applyAlignment="1">
      <alignment horizontal="center" vertical="center"/>
    </xf>
    <xf numFmtId="0" fontId="23" fillId="0" borderId="10" xfId="0" applyFont="1" applyBorder="1" applyAlignment="1">
      <alignment horizontal="center" vertical="center" wrapText="1"/>
    </xf>
    <xf numFmtId="0" fontId="22" fillId="0" borderId="9" xfId="0" applyFont="1" applyBorder="1" applyAlignment="1">
      <alignment horizontal="center" vertical="center" wrapText="1"/>
    </xf>
    <xf numFmtId="0" fontId="22" fillId="0" borderId="1" xfId="0" applyFont="1" applyBorder="1" applyAlignment="1">
      <alignment horizontal="center" vertical="center" wrapText="1"/>
    </xf>
    <xf numFmtId="0" fontId="22" fillId="0" borderId="13" xfId="0" applyFont="1" applyBorder="1" applyAlignment="1">
      <alignment horizontal="center" vertical="center" wrapText="1"/>
    </xf>
    <xf numFmtId="0" fontId="22" fillId="0" borderId="1" xfId="0" applyFont="1" applyBorder="1" applyAlignment="1">
      <alignment horizontal="left" vertical="center" wrapText="1"/>
    </xf>
    <xf numFmtId="3" fontId="22" fillId="0" borderId="1" xfId="0" applyNumberFormat="1" applyFont="1" applyBorder="1" applyAlignment="1">
      <alignment horizontal="center" vertical="center"/>
    </xf>
    <xf numFmtId="0" fontId="22" fillId="0" borderId="0" xfId="0" applyFont="1" applyAlignment="1">
      <alignment horizontal="left" vertical="center" wrapText="1"/>
    </xf>
    <xf numFmtId="0" fontId="22" fillId="0" borderId="10" xfId="0" applyFont="1" applyBorder="1" applyAlignment="1">
      <alignment horizontal="center" vertical="center" wrapText="1"/>
    </xf>
    <xf numFmtId="0" fontId="22" fillId="0" borderId="0" xfId="5" applyFont="1" applyAlignment="1">
      <alignment horizontal="center" vertical="center"/>
    </xf>
    <xf numFmtId="0" fontId="22" fillId="0" borderId="9" xfId="5" applyFont="1" applyBorder="1" applyAlignment="1">
      <alignment horizontal="center" vertical="center"/>
    </xf>
    <xf numFmtId="0" fontId="22" fillId="2" borderId="1" xfId="5" applyFont="1" applyFill="1" applyBorder="1" applyAlignment="1">
      <alignment vertical="center"/>
    </xf>
    <xf numFmtId="1" fontId="22" fillId="2" borderId="1" xfId="5" applyNumberFormat="1" applyFont="1" applyFill="1" applyBorder="1" applyAlignment="1">
      <alignment horizontal="center" vertical="center" wrapText="1"/>
    </xf>
    <xf numFmtId="166" fontId="22" fillId="2" borderId="1" xfId="2" applyNumberFormat="1" applyFont="1" applyFill="1" applyBorder="1" applyAlignment="1">
      <alignment horizontal="right" vertical="center"/>
    </xf>
    <xf numFmtId="0" fontId="22" fillId="2" borderId="1" xfId="13" applyFont="1" applyFill="1" applyBorder="1" applyAlignment="1">
      <alignment horizontal="left" vertical="center" wrapText="1"/>
    </xf>
    <xf numFmtId="0" fontId="22" fillId="0" borderId="10" xfId="5" applyFont="1" applyBorder="1" applyAlignment="1">
      <alignment horizontal="center" vertical="center"/>
    </xf>
    <xf numFmtId="0" fontId="22" fillId="2" borderId="1" xfId="5" applyFont="1" applyFill="1" applyBorder="1" applyAlignment="1">
      <alignment vertical="center" wrapText="1"/>
    </xf>
    <xf numFmtId="49" fontId="22" fillId="2" borderId="1" xfId="11" applyNumberFormat="1" applyFont="1" applyFill="1" applyBorder="1" applyAlignment="1">
      <alignment vertical="center" wrapText="1" shrinkToFit="1"/>
    </xf>
    <xf numFmtId="166" fontId="22" fillId="2" borderId="1" xfId="2" applyNumberFormat="1" applyFont="1" applyFill="1" applyBorder="1" applyAlignment="1">
      <alignment horizontal="right" vertical="center" wrapText="1" shrinkToFit="1"/>
    </xf>
    <xf numFmtId="166" fontId="24" fillId="2" borderId="1" xfId="2" applyNumberFormat="1" applyFont="1" applyFill="1" applyBorder="1" applyAlignment="1">
      <alignment horizontal="right" vertical="center"/>
    </xf>
    <xf numFmtId="166" fontId="22" fillId="3" borderId="1" xfId="2" applyNumberFormat="1" applyFont="1" applyFill="1" applyBorder="1" applyAlignment="1">
      <alignment horizontal="right" vertical="center"/>
    </xf>
    <xf numFmtId="3" fontId="22" fillId="0" borderId="1" xfId="5" applyNumberFormat="1" applyFont="1" applyBorder="1" applyAlignment="1">
      <alignment vertical="center"/>
    </xf>
    <xf numFmtId="166" fontId="22" fillId="0" borderId="1" xfId="2" applyNumberFormat="1" applyFont="1" applyBorder="1" applyAlignment="1">
      <alignment horizontal="right" vertical="center"/>
    </xf>
    <xf numFmtId="0" fontId="22" fillId="0" borderId="1" xfId="5" applyFont="1" applyBorder="1" applyAlignment="1">
      <alignment vertical="center"/>
    </xf>
    <xf numFmtId="0" fontId="19" fillId="0" borderId="0" xfId="5" applyFont="1" applyAlignment="1">
      <alignment horizontal="center" vertical="center"/>
    </xf>
    <xf numFmtId="0" fontId="22" fillId="0" borderId="1" xfId="0" quotePrefix="1" applyFont="1" applyBorder="1" applyAlignment="1">
      <alignment horizontal="center" vertical="center" wrapText="1"/>
    </xf>
    <xf numFmtId="0" fontId="25" fillId="0" borderId="0" xfId="0" applyFont="1" applyAlignment="1">
      <alignment horizontal="left" vertical="center"/>
    </xf>
    <xf numFmtId="0" fontId="3" fillId="0" borderId="0" xfId="0" applyFont="1" applyAlignment="1">
      <alignment horizontal="left" vertical="center"/>
    </xf>
    <xf numFmtId="0" fontId="26" fillId="0" borderId="1" xfId="0" applyFont="1" applyBorder="1" applyAlignment="1">
      <alignment horizontal="left" vertical="center"/>
    </xf>
    <xf numFmtId="0" fontId="26" fillId="0" borderId="2" xfId="0" applyFont="1" applyBorder="1" applyAlignment="1">
      <alignment horizontal="left" vertical="center"/>
    </xf>
    <xf numFmtId="1" fontId="22" fillId="2" borderId="7" xfId="5" applyNumberFormat="1" applyFont="1" applyFill="1" applyBorder="1" applyAlignment="1">
      <alignment vertical="center"/>
    </xf>
    <xf numFmtId="1" fontId="22" fillId="2" borderId="1" xfId="13" applyNumberFormat="1" applyFont="1" applyFill="1" applyBorder="1" applyAlignment="1">
      <alignment vertical="center"/>
    </xf>
    <xf numFmtId="0" fontId="22" fillId="0" borderId="1" xfId="5" applyFont="1" applyBorder="1" applyAlignment="1">
      <alignment horizontal="left" vertical="center" wrapText="1"/>
    </xf>
    <xf numFmtId="0" fontId="22" fillId="2" borderId="1" xfId="13" applyFont="1" applyFill="1" applyBorder="1" applyAlignment="1">
      <alignment vertical="center" wrapText="1"/>
    </xf>
    <xf numFmtId="1" fontId="22" fillId="0" borderId="1" xfId="13" applyNumberFormat="1" applyFont="1" applyFill="1" applyBorder="1" applyAlignment="1">
      <alignment vertical="center"/>
    </xf>
    <xf numFmtId="1" fontId="22" fillId="0" borderId="1" xfId="9" applyNumberFormat="1" applyFont="1" applyFill="1" applyBorder="1" applyAlignment="1">
      <alignment vertical="center"/>
    </xf>
    <xf numFmtId="1" fontId="22" fillId="2" borderId="1" xfId="5" applyNumberFormat="1" applyFont="1" applyFill="1" applyBorder="1" applyAlignment="1">
      <alignment vertical="center"/>
    </xf>
    <xf numFmtId="0" fontId="22" fillId="0" borderId="1" xfId="5" applyFont="1" applyFill="1" applyBorder="1" applyAlignment="1">
      <alignment vertical="center"/>
    </xf>
    <xf numFmtId="1" fontId="22" fillId="0" borderId="1" xfId="5" applyNumberFormat="1" applyFont="1" applyBorder="1" applyAlignment="1">
      <alignment vertical="center"/>
    </xf>
    <xf numFmtId="0" fontId="22" fillId="0" borderId="1" xfId="5" applyFont="1" applyFill="1" applyBorder="1" applyAlignment="1">
      <alignment vertical="center" wrapText="1"/>
    </xf>
    <xf numFmtId="49" fontId="22" fillId="2" borderId="1" xfId="11" applyNumberFormat="1" applyFont="1" applyFill="1" applyBorder="1" applyAlignment="1">
      <alignment vertical="center" wrapText="1"/>
    </xf>
    <xf numFmtId="0" fontId="22" fillId="2" borderId="1" xfId="5" applyFont="1" applyFill="1" applyBorder="1" applyAlignment="1">
      <alignment vertical="center" wrapText="1" shrinkToFit="1"/>
    </xf>
    <xf numFmtId="49" fontId="22" fillId="2" borderId="1" xfId="5" applyNumberFormat="1" applyFont="1" applyFill="1" applyBorder="1" applyAlignment="1">
      <alignment vertical="center" wrapText="1"/>
    </xf>
    <xf numFmtId="166" fontId="22" fillId="2" borderId="1" xfId="2" applyNumberFormat="1" applyFont="1" applyFill="1" applyBorder="1" applyAlignment="1">
      <alignment vertical="center"/>
    </xf>
    <xf numFmtId="166" fontId="22" fillId="2" borderId="2" xfId="2" applyNumberFormat="1" applyFont="1" applyFill="1" applyBorder="1" applyAlignment="1">
      <alignment vertical="center"/>
    </xf>
    <xf numFmtId="0" fontId="27" fillId="0" borderId="0" xfId="5" applyFont="1" applyAlignment="1">
      <alignment horizontal="center" vertical="center"/>
    </xf>
    <xf numFmtId="0" fontId="27" fillId="0" borderId="9" xfId="5" applyFont="1" applyBorder="1" applyAlignment="1">
      <alignment horizontal="center" vertical="center"/>
    </xf>
    <xf numFmtId="0" fontId="27" fillId="2" borderId="1" xfId="5" applyFont="1" applyFill="1" applyBorder="1" applyAlignment="1">
      <alignment vertical="center"/>
    </xf>
    <xf numFmtId="1" fontId="27" fillId="2" borderId="1" xfId="5" applyNumberFormat="1" applyFont="1" applyFill="1" applyBorder="1" applyAlignment="1">
      <alignment horizontal="center" vertical="center" wrapText="1"/>
    </xf>
    <xf numFmtId="0" fontId="27" fillId="2" borderId="1" xfId="5" applyFont="1" applyFill="1" applyBorder="1" applyAlignment="1">
      <alignment horizontal="center" vertical="center"/>
    </xf>
    <xf numFmtId="166" fontId="27" fillId="2" borderId="1" xfId="2" applyNumberFormat="1" applyFont="1" applyFill="1" applyBorder="1" applyAlignment="1">
      <alignment horizontal="right" vertical="center"/>
    </xf>
    <xf numFmtId="0" fontId="27" fillId="2" borderId="1" xfId="13" applyFont="1" applyFill="1" applyBorder="1" applyAlignment="1">
      <alignment horizontal="left" vertical="center" wrapText="1"/>
    </xf>
    <xf numFmtId="0" fontId="28" fillId="0" borderId="0" xfId="5" applyFont="1" applyAlignment="1">
      <alignment horizontal="center" vertical="center"/>
    </xf>
    <xf numFmtId="0" fontId="28" fillId="0" borderId="9" xfId="5" applyFont="1" applyBorder="1" applyAlignment="1">
      <alignment horizontal="center" vertical="center"/>
    </xf>
    <xf numFmtId="49" fontId="28" fillId="2" borderId="1" xfId="11" applyNumberFormat="1" applyFont="1" applyFill="1" applyBorder="1" applyAlignment="1">
      <alignment vertical="center" wrapText="1" shrinkToFit="1"/>
    </xf>
    <xf numFmtId="1" fontId="28" fillId="2" borderId="1" xfId="5" applyNumberFormat="1" applyFont="1" applyFill="1" applyBorder="1" applyAlignment="1">
      <alignment horizontal="center" vertical="center" wrapText="1"/>
    </xf>
    <xf numFmtId="0" fontId="28" fillId="2" borderId="1" xfId="5" applyFont="1" applyFill="1" applyBorder="1" applyAlignment="1">
      <alignment horizontal="center" vertical="center"/>
    </xf>
    <xf numFmtId="166" fontId="28" fillId="2" borderId="1" xfId="2" applyNumberFormat="1" applyFont="1" applyFill="1" applyBorder="1" applyAlignment="1">
      <alignment horizontal="right" vertical="center" wrapText="1" shrinkToFit="1"/>
    </xf>
    <xf numFmtId="0" fontId="28" fillId="2" borderId="1" xfId="13" applyFont="1" applyFill="1" applyBorder="1" applyAlignment="1">
      <alignment horizontal="left" vertical="center" wrapText="1"/>
    </xf>
    <xf numFmtId="0" fontId="28" fillId="0" borderId="10" xfId="5" applyFont="1" applyBorder="1" applyAlignment="1">
      <alignment horizontal="center" vertical="center"/>
    </xf>
    <xf numFmtId="0" fontId="3" fillId="0" borderId="10" xfId="5" applyFont="1" applyBorder="1" applyAlignment="1">
      <alignment horizontal="center" vertical="center" wrapText="1"/>
    </xf>
    <xf numFmtId="0" fontId="27" fillId="0" borderId="10" xfId="5" applyFont="1" applyBorder="1" applyAlignment="1">
      <alignment horizontal="center" vertical="center" wrapText="1"/>
    </xf>
    <xf numFmtId="0" fontId="27" fillId="0" borderId="1" xfId="0" applyFont="1" applyBorder="1" applyAlignment="1">
      <alignment horizontal="center" vertical="center" wrapText="1"/>
    </xf>
    <xf numFmtId="0" fontId="27" fillId="0" borderId="13" xfId="0" applyFont="1" applyBorder="1" applyAlignment="1">
      <alignment horizontal="center" vertical="center" wrapText="1"/>
    </xf>
    <xf numFmtId="0" fontId="3" fillId="4" borderId="0" xfId="5" applyFont="1" applyFill="1" applyAlignment="1">
      <alignment horizontal="center" vertical="center"/>
    </xf>
    <xf numFmtId="0" fontId="26" fillId="3" borderId="0" xfId="8" applyFont="1" applyFill="1"/>
    <xf numFmtId="0" fontId="26" fillId="3" borderId="0" xfId="8" applyFont="1" applyFill="1" applyAlignment="1">
      <alignment horizontal="center" vertical="center"/>
    </xf>
    <xf numFmtId="0" fontId="26" fillId="3" borderId="0" xfId="8" applyFont="1" applyFill="1" applyAlignment="1">
      <alignment horizontal="left"/>
    </xf>
    <xf numFmtId="49" fontId="26" fillId="3" borderId="0" xfId="8" applyNumberFormat="1" applyFont="1" applyFill="1"/>
    <xf numFmtId="0" fontId="3" fillId="3" borderId="1" xfId="7" applyFont="1" applyFill="1" applyBorder="1" applyAlignment="1">
      <alignment horizontal="center" vertical="center"/>
    </xf>
    <xf numFmtId="1" fontId="3" fillId="3" borderId="1" xfId="14" applyNumberFormat="1" applyFont="1" applyFill="1" applyBorder="1" applyAlignment="1">
      <alignment horizontal="left" vertical="center"/>
    </xf>
    <xf numFmtId="1" fontId="3" fillId="3" borderId="1" xfId="14" applyNumberFormat="1" applyFont="1" applyFill="1" applyBorder="1" applyAlignment="1">
      <alignment horizontal="center" vertical="center" wrapText="1"/>
    </xf>
    <xf numFmtId="0" fontId="3" fillId="3" borderId="1" xfId="14" applyFont="1" applyFill="1" applyBorder="1" applyAlignment="1">
      <alignment horizontal="left" vertical="center" wrapText="1"/>
    </xf>
    <xf numFmtId="166" fontId="3" fillId="3" borderId="1" xfId="3" applyNumberFormat="1" applyFont="1" applyFill="1" applyBorder="1" applyAlignment="1">
      <alignment horizontal="right" vertical="center"/>
    </xf>
    <xf numFmtId="0" fontId="3" fillId="3" borderId="1" xfId="7" applyFont="1" applyFill="1" applyBorder="1" applyAlignment="1">
      <alignment horizontal="left" vertical="center" wrapText="1"/>
    </xf>
    <xf numFmtId="0" fontId="3" fillId="3" borderId="1" xfId="8" applyFont="1" applyFill="1" applyBorder="1" applyAlignment="1">
      <alignment horizontal="left" vertical="center" wrapText="1"/>
    </xf>
    <xf numFmtId="3" fontId="3" fillId="3" borderId="1" xfId="8" applyNumberFormat="1" applyFont="1" applyFill="1" applyBorder="1" applyAlignment="1">
      <alignment horizontal="right" vertical="center"/>
    </xf>
    <xf numFmtId="0" fontId="3" fillId="3" borderId="0" xfId="7" applyFont="1" applyFill="1"/>
    <xf numFmtId="0" fontId="3" fillId="3" borderId="0" xfId="7" applyFont="1" applyFill="1" applyAlignment="1">
      <alignment horizontal="center"/>
    </xf>
    <xf numFmtId="0" fontId="13" fillId="3" borderId="0" xfId="7" applyFont="1" applyFill="1" applyAlignment="1">
      <alignment horizontal="center" vertical="center"/>
    </xf>
    <xf numFmtId="0" fontId="3" fillId="3" borderId="0" xfId="7" applyFont="1" applyFill="1" applyAlignment="1">
      <alignment horizontal="center" vertical="center"/>
    </xf>
    <xf numFmtId="0" fontId="3" fillId="3" borderId="1" xfId="14" applyFont="1" applyFill="1" applyBorder="1" applyAlignment="1">
      <alignment horizontal="center" vertical="center" wrapText="1"/>
    </xf>
    <xf numFmtId="165" fontId="3" fillId="3" borderId="1" xfId="1" applyFont="1" applyFill="1" applyBorder="1" applyAlignment="1">
      <alignment horizontal="right" vertical="center"/>
    </xf>
    <xf numFmtId="0" fontId="3" fillId="3" borderId="0" xfId="7" applyFont="1" applyFill="1" applyAlignment="1">
      <alignment horizontal="left" vertical="center"/>
    </xf>
    <xf numFmtId="0" fontId="3" fillId="3" borderId="0" xfId="7" applyFont="1" applyFill="1" applyAlignment="1">
      <alignment horizontal="right" vertical="center"/>
    </xf>
    <xf numFmtId="0" fontId="3" fillId="3" borderId="1" xfId="8" quotePrefix="1" applyFont="1" applyFill="1" applyBorder="1" applyAlignment="1">
      <alignment horizontal="center" vertical="center" wrapText="1"/>
    </xf>
    <xf numFmtId="0" fontId="26" fillId="3" borderId="0" xfId="8" applyFont="1" applyFill="1" applyAlignment="1"/>
    <xf numFmtId="1" fontId="3" fillId="3" borderId="1" xfId="14" applyNumberFormat="1" applyFont="1" applyFill="1" applyBorder="1" applyAlignment="1">
      <alignment vertical="center"/>
    </xf>
    <xf numFmtId="0" fontId="3" fillId="3" borderId="1" xfId="7" applyFont="1" applyFill="1" applyBorder="1" applyAlignment="1">
      <alignment vertical="center" wrapText="1"/>
    </xf>
    <xf numFmtId="0" fontId="3" fillId="3" borderId="0" xfId="7" applyFont="1" applyFill="1" applyBorder="1" applyAlignment="1">
      <alignment horizontal="center" vertical="center"/>
    </xf>
    <xf numFmtId="1" fontId="3" fillId="3" borderId="1" xfId="7" applyNumberFormat="1" applyFont="1" applyFill="1" applyBorder="1" applyAlignment="1">
      <alignment horizontal="center" vertical="center" wrapText="1"/>
    </xf>
    <xf numFmtId="17" fontId="3" fillId="3" borderId="1" xfId="7" quotePrefix="1" applyNumberFormat="1" applyFont="1" applyFill="1" applyBorder="1" applyAlignment="1">
      <alignment horizontal="center" vertical="center"/>
    </xf>
    <xf numFmtId="0" fontId="3" fillId="3" borderId="1" xfId="7" applyFont="1" applyFill="1" applyBorder="1" applyAlignment="1">
      <alignment horizontal="left" vertical="center"/>
    </xf>
    <xf numFmtId="0" fontId="3" fillId="3" borderId="1" xfId="7" applyFont="1" applyFill="1" applyBorder="1"/>
    <xf numFmtId="0" fontId="13" fillId="3" borderId="1" xfId="8" applyFont="1" applyFill="1" applyBorder="1" applyAlignment="1">
      <alignment vertical="center" wrapText="1"/>
    </xf>
    <xf numFmtId="0" fontId="3" fillId="3" borderId="1" xfId="12" applyFont="1" applyFill="1" applyBorder="1" applyAlignment="1">
      <alignment horizontal="left" vertical="center" wrapText="1"/>
    </xf>
    <xf numFmtId="0" fontId="3" fillId="3" borderId="1" xfId="7" applyFont="1" applyFill="1" applyBorder="1" applyAlignment="1">
      <alignment horizontal="right" vertical="center"/>
    </xf>
    <xf numFmtId="0" fontId="40" fillId="3" borderId="0" xfId="7" applyFont="1" applyFill="1"/>
    <xf numFmtId="0" fontId="3" fillId="3" borderId="0" xfId="7" applyFont="1" applyFill="1" applyAlignment="1">
      <alignment horizontal="left" vertical="center" wrapText="1"/>
    </xf>
    <xf numFmtId="1" fontId="3" fillId="3" borderId="0" xfId="14" applyNumberFormat="1" applyFont="1" applyFill="1" applyBorder="1" applyAlignment="1">
      <alignment horizontal="center" vertical="center" wrapText="1"/>
    </xf>
    <xf numFmtId="17" fontId="3" fillId="3" borderId="0" xfId="7" quotePrefix="1" applyNumberFormat="1" applyFont="1" applyFill="1" applyAlignment="1">
      <alignment horizontal="center" vertical="center"/>
    </xf>
    <xf numFmtId="0" fontId="3" fillId="3" borderId="1" xfId="7" applyFont="1" applyFill="1" applyBorder="1" applyAlignment="1">
      <alignment horizontal="left"/>
    </xf>
    <xf numFmtId="0" fontId="3" fillId="3" borderId="1" xfId="7" applyFont="1" applyFill="1" applyBorder="1" applyAlignment="1">
      <alignment horizontal="center" vertical="center" wrapText="1"/>
    </xf>
    <xf numFmtId="0" fontId="41" fillId="3" borderId="0" xfId="7" applyFont="1" applyFill="1"/>
    <xf numFmtId="0" fontId="41" fillId="3" borderId="0" xfId="7" applyFont="1" applyFill="1" applyAlignment="1">
      <alignment horizontal="center"/>
    </xf>
    <xf numFmtId="0" fontId="41" fillId="3" borderId="0" xfId="7" applyFont="1" applyFill="1" applyAlignment="1">
      <alignment vertical="center"/>
    </xf>
    <xf numFmtId="0" fontId="41" fillId="3" borderId="0" xfId="7" applyFont="1" applyFill="1" applyAlignment="1">
      <alignment horizontal="center" vertical="center"/>
    </xf>
    <xf numFmtId="0" fontId="41" fillId="3" borderId="0" xfId="7" applyFont="1" applyFill="1" applyAlignment="1">
      <alignment horizontal="left" vertical="center"/>
    </xf>
    <xf numFmtId="0" fontId="41" fillId="3" borderId="0" xfId="7" applyFont="1" applyFill="1" applyAlignment="1">
      <alignment horizontal="right" vertical="center"/>
    </xf>
    <xf numFmtId="0" fontId="44" fillId="3" borderId="0" xfId="7" applyFont="1" applyFill="1"/>
    <xf numFmtId="0" fontId="44" fillId="3" borderId="1" xfId="7" applyFont="1" applyFill="1" applyBorder="1" applyAlignment="1">
      <alignment horizontal="center" vertical="center"/>
    </xf>
    <xf numFmtId="0" fontId="44" fillId="3" borderId="0" xfId="7" applyFont="1" applyFill="1" applyAlignment="1">
      <alignment horizontal="center" vertical="center"/>
    </xf>
    <xf numFmtId="0" fontId="44" fillId="3" borderId="0" xfId="7" applyFont="1" applyFill="1" applyAlignment="1">
      <alignment horizontal="center"/>
    </xf>
    <xf numFmtId="0" fontId="44" fillId="3" borderId="0" xfId="7" applyFont="1" applyFill="1" applyAlignment="1">
      <alignment vertical="center"/>
    </xf>
    <xf numFmtId="0" fontId="44" fillId="3" borderId="0" xfId="7" applyFont="1" applyFill="1" applyAlignment="1">
      <alignment horizontal="left" vertical="center"/>
    </xf>
    <xf numFmtId="0" fontId="44" fillId="3" borderId="0" xfId="7" applyFont="1" applyFill="1" applyAlignment="1">
      <alignment horizontal="right" vertical="center"/>
    </xf>
    <xf numFmtId="0" fontId="44" fillId="3" borderId="1" xfId="0" applyFont="1" applyFill="1" applyBorder="1" applyAlignment="1">
      <alignment horizontal="right" vertical="center" wrapText="1" indent="1" readingOrder="1"/>
    </xf>
    <xf numFmtId="0" fontId="44" fillId="3" borderId="1" xfId="0" applyFont="1" applyFill="1" applyBorder="1" applyAlignment="1">
      <alignment vertical="center" wrapText="1" readingOrder="1"/>
    </xf>
    <xf numFmtId="0" fontId="44" fillId="3" borderId="1" xfId="0" applyFont="1" applyFill="1" applyBorder="1" applyAlignment="1">
      <alignment horizontal="center" vertical="center" wrapText="1" readingOrder="1"/>
    </xf>
    <xf numFmtId="0" fontId="3" fillId="3" borderId="1" xfId="14" applyFont="1" applyFill="1" applyBorder="1" applyAlignment="1">
      <alignment horizontal="center" vertical="center"/>
    </xf>
    <xf numFmtId="0" fontId="3" fillId="3" borderId="1" xfId="18" applyFont="1" applyFill="1" applyBorder="1" applyAlignment="1">
      <alignment horizontal="left" vertical="center" wrapText="1"/>
    </xf>
    <xf numFmtId="0" fontId="44" fillId="3" borderId="1" xfId="0" applyFont="1" applyFill="1" applyBorder="1" applyAlignment="1">
      <alignment horizontal="left" vertical="center" wrapText="1"/>
    </xf>
    <xf numFmtId="3" fontId="44" fillId="3" borderId="1" xfId="0" applyNumberFormat="1" applyFont="1" applyFill="1" applyBorder="1" applyAlignment="1">
      <alignment horizontal="left" vertical="center" wrapText="1"/>
    </xf>
    <xf numFmtId="0" fontId="44" fillId="3" borderId="1" xfId="8" applyFont="1" applyFill="1" applyBorder="1" applyAlignment="1">
      <alignment horizontal="left" vertical="center" wrapText="1"/>
    </xf>
    <xf numFmtId="0" fontId="44" fillId="3" borderId="1" xfId="7" applyFont="1" applyFill="1" applyBorder="1" applyAlignment="1">
      <alignment horizontal="left" vertical="center" wrapText="1"/>
    </xf>
    <xf numFmtId="0" fontId="44" fillId="3" borderId="1" xfId="18" applyFont="1" applyFill="1" applyBorder="1" applyAlignment="1">
      <alignment vertical="center" wrapText="1"/>
    </xf>
    <xf numFmtId="0" fontId="44" fillId="3" borderId="1" xfId="18" applyFont="1" applyFill="1" applyBorder="1" applyAlignment="1">
      <alignment horizontal="left" vertical="center" wrapText="1"/>
    </xf>
    <xf numFmtId="0" fontId="44" fillId="3" borderId="1" xfId="7" applyFont="1" applyFill="1" applyBorder="1" applyAlignment="1">
      <alignment vertical="center" wrapText="1"/>
    </xf>
    <xf numFmtId="49" fontId="44" fillId="3" borderId="1" xfId="11" applyNumberFormat="1" applyFont="1" applyFill="1" applyBorder="1" applyAlignment="1">
      <alignment vertical="center" wrapText="1" shrinkToFit="1"/>
    </xf>
    <xf numFmtId="0" fontId="44" fillId="3" borderId="1" xfId="7" applyFont="1" applyFill="1" applyBorder="1" applyAlignment="1">
      <alignment vertical="center" wrapText="1" shrinkToFit="1"/>
    </xf>
    <xf numFmtId="49" fontId="44" fillId="3" borderId="1" xfId="7" applyNumberFormat="1" applyFont="1" applyFill="1" applyBorder="1" applyAlignment="1">
      <alignment vertical="center" wrapText="1"/>
    </xf>
    <xf numFmtId="49" fontId="44" fillId="3" borderId="1" xfId="11" applyNumberFormat="1" applyFont="1" applyFill="1" applyBorder="1" applyAlignment="1">
      <alignment vertical="center" wrapText="1"/>
    </xf>
    <xf numFmtId="166" fontId="44" fillId="3" borderId="1" xfId="3" applyNumberFormat="1" applyFont="1" applyFill="1" applyBorder="1" applyAlignment="1">
      <alignment vertical="center" wrapText="1"/>
    </xf>
    <xf numFmtId="166" fontId="44" fillId="3" borderId="1" xfId="3" applyNumberFormat="1" applyFont="1" applyFill="1" applyBorder="1" applyAlignment="1">
      <alignment horizontal="left" vertical="center" wrapText="1"/>
    </xf>
    <xf numFmtId="0" fontId="44" fillId="3" borderId="1" xfId="7" applyFont="1" applyFill="1" applyBorder="1" applyAlignment="1">
      <alignment horizontal="left" vertical="center"/>
    </xf>
    <xf numFmtId="0" fontId="3" fillId="3" borderId="1" xfId="0" applyFont="1" applyFill="1" applyBorder="1" applyAlignment="1">
      <alignment horizontal="center" vertical="center"/>
    </xf>
    <xf numFmtId="166" fontId="3" fillId="3" borderId="1" xfId="1" applyNumberFormat="1" applyFont="1" applyFill="1" applyBorder="1" applyAlignment="1">
      <alignment horizontal="center" vertical="center" wrapText="1"/>
    </xf>
    <xf numFmtId="0" fontId="44" fillId="3" borderId="1" xfId="18" applyFont="1" applyFill="1" applyBorder="1" applyAlignment="1">
      <alignment horizontal="center" vertical="center" wrapText="1"/>
    </xf>
    <xf numFmtId="0" fontId="44" fillId="3" borderId="0" xfId="18" applyFont="1" applyFill="1" applyAlignment="1">
      <alignment horizontal="left" vertical="center" wrapText="1"/>
    </xf>
    <xf numFmtId="0" fontId="44" fillId="3" borderId="0" xfId="18" applyFont="1" applyFill="1"/>
    <xf numFmtId="0" fontId="44" fillId="3" borderId="1" xfId="0" applyFont="1" applyFill="1" applyBorder="1" applyAlignment="1">
      <alignment horizontal="center" vertical="center" wrapText="1"/>
    </xf>
    <xf numFmtId="0" fontId="44" fillId="3" borderId="0" xfId="18" applyFont="1" applyFill="1" applyAlignment="1">
      <alignment horizontal="center" vertical="center" wrapText="1"/>
    </xf>
    <xf numFmtId="0" fontId="44" fillId="3" borderId="0" xfId="8" applyFont="1" applyFill="1" applyAlignment="1">
      <alignment horizontal="left" vertical="center" wrapText="1"/>
    </xf>
    <xf numFmtId="3" fontId="44" fillId="3" borderId="1" xfId="0" applyNumberFormat="1" applyFont="1" applyFill="1" applyBorder="1" applyAlignment="1">
      <alignment horizontal="left" wrapText="1"/>
    </xf>
    <xf numFmtId="0" fontId="3" fillId="3" borderId="1" xfId="0" applyFont="1" applyFill="1" applyBorder="1" applyAlignment="1">
      <alignment horizontal="left" vertical="center" wrapText="1"/>
    </xf>
    <xf numFmtId="167" fontId="44" fillId="3" borderId="1" xfId="1" applyNumberFormat="1" applyFont="1" applyFill="1" applyBorder="1" applyAlignment="1">
      <alignment horizontal="right" vertical="center" wrapText="1" indent="1" readingOrder="1"/>
    </xf>
    <xf numFmtId="0" fontId="49" fillId="3" borderId="1" xfId="8" applyFont="1" applyFill="1" applyBorder="1" applyAlignment="1">
      <alignment horizontal="center" vertical="center" wrapText="1"/>
    </xf>
    <xf numFmtId="0" fontId="49" fillId="3" borderId="1" xfId="8" applyFont="1" applyFill="1" applyBorder="1" applyAlignment="1">
      <alignment horizontal="left" vertical="center" wrapText="1"/>
    </xf>
    <xf numFmtId="166" fontId="49" fillId="3" borderId="1" xfId="1" quotePrefix="1" applyNumberFormat="1" applyFont="1" applyFill="1" applyBorder="1" applyAlignment="1">
      <alignment horizontal="center" vertical="center" wrapText="1"/>
    </xf>
    <xf numFmtId="0" fontId="31" fillId="3" borderId="1" xfId="0" applyFont="1" applyFill="1" applyBorder="1" applyAlignment="1">
      <alignment horizontal="center" vertical="center" wrapText="1"/>
    </xf>
    <xf numFmtId="0" fontId="26" fillId="3" borderId="1" xfId="0" applyFont="1" applyFill="1" applyBorder="1"/>
    <xf numFmtId="0" fontId="26" fillId="3" borderId="0" xfId="0" applyFont="1" applyFill="1"/>
    <xf numFmtId="3" fontId="44" fillId="3" borderId="1" xfId="0" applyNumberFormat="1" applyFont="1" applyFill="1" applyBorder="1" applyAlignment="1">
      <alignment horizontal="center" vertical="center" wrapText="1"/>
    </xf>
    <xf numFmtId="49" fontId="44" fillId="3" borderId="1" xfId="0" applyNumberFormat="1" applyFont="1" applyFill="1" applyBorder="1" applyAlignment="1">
      <alignment horizontal="center" vertical="center" wrapText="1"/>
    </xf>
    <xf numFmtId="0" fontId="3" fillId="3" borderId="0" xfId="8" applyFont="1" applyFill="1"/>
    <xf numFmtId="0" fontId="3" fillId="3" borderId="0" xfId="8" applyFont="1" applyFill="1" applyAlignment="1">
      <alignment horizontal="left" vertical="center" wrapText="1"/>
    </xf>
    <xf numFmtId="0" fontId="3" fillId="3" borderId="0" xfId="6" applyFont="1" applyFill="1"/>
    <xf numFmtId="0" fontId="44" fillId="0" borderId="1" xfId="0" applyFont="1" applyBorder="1" applyAlignment="1">
      <alignment horizontal="center" vertical="center" wrapText="1" readingOrder="1"/>
    </xf>
    <xf numFmtId="0" fontId="3" fillId="3" borderId="0" xfId="8" applyFont="1" applyFill="1" applyAlignment="1">
      <alignment horizontal="left"/>
    </xf>
    <xf numFmtId="0" fontId="44" fillId="3" borderId="1" xfId="7" applyFont="1" applyFill="1" applyBorder="1" applyAlignment="1">
      <alignment horizontal="center" vertical="center" wrapText="1"/>
    </xf>
    <xf numFmtId="166" fontId="44" fillId="3" borderId="1" xfId="3" applyNumberFormat="1" applyFont="1" applyFill="1" applyBorder="1" applyAlignment="1">
      <alignment horizontal="center" vertical="center" wrapText="1"/>
    </xf>
    <xf numFmtId="3" fontId="3" fillId="3" borderId="1" xfId="0" applyNumberFormat="1" applyFont="1" applyFill="1" applyBorder="1" applyAlignment="1">
      <alignment horizontal="center" vertical="center"/>
    </xf>
    <xf numFmtId="0" fontId="3" fillId="3" borderId="1" xfId="0" applyFont="1" applyFill="1" applyBorder="1" applyAlignment="1">
      <alignment horizontal="center" vertical="center" wrapText="1" readingOrder="1"/>
    </xf>
    <xf numFmtId="0" fontId="3" fillId="3" borderId="1" xfId="0" applyFont="1" applyFill="1" applyBorder="1" applyAlignment="1">
      <alignment horizontal="right" vertical="center" wrapText="1" indent="1" readingOrder="1"/>
    </xf>
    <xf numFmtId="1" fontId="3" fillId="3" borderId="1" xfId="7" applyNumberFormat="1" applyFont="1" applyFill="1" applyBorder="1" applyAlignment="1">
      <alignment horizontal="left" vertical="center" wrapText="1"/>
    </xf>
    <xf numFmtId="0" fontId="37" fillId="3" borderId="1" xfId="7" applyFont="1" applyFill="1" applyBorder="1" applyAlignment="1">
      <alignment horizontal="center" vertical="center"/>
    </xf>
    <xf numFmtId="1" fontId="3" fillId="3" borderId="1" xfId="14" applyNumberFormat="1" applyFont="1" applyFill="1" applyBorder="1" applyAlignment="1">
      <alignment horizontal="center" vertical="center"/>
    </xf>
    <xf numFmtId="0" fontId="3" fillId="3" borderId="1" xfId="0" applyFont="1" applyFill="1" applyBorder="1" applyAlignment="1">
      <alignment horizontal="left" vertical="center"/>
    </xf>
    <xf numFmtId="3" fontId="3" fillId="3" borderId="1" xfId="7" applyNumberFormat="1" applyFont="1" applyFill="1" applyBorder="1" applyAlignment="1">
      <alignment horizontal="center" vertical="center"/>
    </xf>
    <xf numFmtId="3" fontId="3" fillId="3" borderId="1" xfId="7" applyNumberFormat="1" applyFont="1" applyFill="1" applyBorder="1" applyAlignment="1">
      <alignment horizontal="left" vertical="center"/>
    </xf>
    <xf numFmtId="166" fontId="3" fillId="3" borderId="1" xfId="1" applyNumberFormat="1" applyFont="1" applyFill="1" applyBorder="1" applyAlignment="1">
      <alignment horizontal="right" vertical="center"/>
    </xf>
    <xf numFmtId="0" fontId="3" fillId="3" borderId="1" xfId="14" applyFont="1" applyFill="1" applyBorder="1" applyAlignment="1">
      <alignment horizontal="right" vertical="center" wrapText="1"/>
    </xf>
    <xf numFmtId="166" fontId="3" fillId="3" borderId="1" xfId="1" applyNumberFormat="1" applyFont="1" applyFill="1" applyBorder="1" applyAlignment="1">
      <alignment horizontal="right" vertical="center" wrapText="1"/>
    </xf>
    <xf numFmtId="49" fontId="3" fillId="3" borderId="1" xfId="11" applyNumberFormat="1" applyFont="1" applyFill="1" applyBorder="1" applyAlignment="1">
      <alignment horizontal="left" vertical="center" wrapText="1" shrinkToFit="1"/>
    </xf>
    <xf numFmtId="166" fontId="3" fillId="3" borderId="1" xfId="3" applyNumberFormat="1" applyFont="1" applyFill="1" applyBorder="1" applyAlignment="1">
      <alignment horizontal="right" vertical="center" wrapText="1" shrinkToFit="1"/>
    </xf>
    <xf numFmtId="0" fontId="3" fillId="3" borderId="1" xfId="7" applyFont="1" applyFill="1" applyBorder="1" applyAlignment="1">
      <alignment horizontal="right" vertical="center" wrapText="1"/>
    </xf>
    <xf numFmtId="3" fontId="3" fillId="3" borderId="1" xfId="7" applyNumberFormat="1" applyFont="1" applyFill="1" applyBorder="1" applyAlignment="1">
      <alignment horizontal="right" vertical="center"/>
    </xf>
    <xf numFmtId="3" fontId="3" fillId="3" borderId="1" xfId="0" applyNumberFormat="1" applyFont="1" applyFill="1" applyBorder="1" applyAlignment="1">
      <alignment horizontal="right" vertical="center"/>
    </xf>
    <xf numFmtId="0" fontId="3" fillId="3" borderId="1" xfId="0" applyFont="1" applyFill="1" applyBorder="1" applyAlignment="1">
      <alignment horizontal="right" vertical="center"/>
    </xf>
    <xf numFmtId="3" fontId="3" fillId="3" borderId="1" xfId="0" applyNumberFormat="1" applyFont="1" applyFill="1" applyBorder="1" applyAlignment="1">
      <alignment horizontal="right" vertical="center" wrapText="1"/>
    </xf>
    <xf numFmtId="0" fontId="3" fillId="3" borderId="1" xfId="0" applyFont="1" applyFill="1" applyBorder="1" applyAlignment="1">
      <alignment horizontal="right" vertical="center" wrapText="1"/>
    </xf>
    <xf numFmtId="166" fontId="3" fillId="3" borderId="1" xfId="7" applyNumberFormat="1" applyFont="1" applyFill="1" applyBorder="1" applyAlignment="1">
      <alignment horizontal="right" vertical="center"/>
    </xf>
    <xf numFmtId="0" fontId="3" fillId="3" borderId="1" xfId="10" applyFont="1" applyFill="1" applyBorder="1" applyAlignment="1">
      <alignment horizontal="right" vertical="center"/>
    </xf>
    <xf numFmtId="0" fontId="13" fillId="3" borderId="1" xfId="0" quotePrefix="1" applyFont="1" applyFill="1" applyBorder="1" applyAlignment="1">
      <alignment horizontal="center" vertical="center" wrapText="1"/>
    </xf>
    <xf numFmtId="0" fontId="13" fillId="3" borderId="1" xfId="0" applyFont="1" applyFill="1" applyBorder="1" applyAlignment="1">
      <alignment horizontal="center" vertical="center" wrapText="1"/>
    </xf>
    <xf numFmtId="0" fontId="13" fillId="3" borderId="1" xfId="0" applyFont="1" applyFill="1" applyBorder="1" applyAlignment="1">
      <alignment horizontal="left" vertical="center"/>
    </xf>
    <xf numFmtId="0" fontId="3" fillId="3" borderId="1" xfId="0" quotePrefix="1" applyFont="1" applyFill="1" applyBorder="1" applyAlignment="1">
      <alignment horizontal="center" vertical="center" wrapText="1"/>
    </xf>
    <xf numFmtId="0" fontId="3" fillId="3" borderId="1" xfId="0" applyFont="1" applyFill="1" applyBorder="1" applyAlignment="1">
      <alignment vertical="center" wrapText="1" readingOrder="1"/>
    </xf>
    <xf numFmtId="0" fontId="3" fillId="3" borderId="1" xfId="0" applyFont="1" applyFill="1" applyBorder="1" applyAlignment="1">
      <alignment vertical="center" wrapText="1"/>
    </xf>
    <xf numFmtId="174" fontId="3" fillId="3" borderId="1" xfId="0" applyNumberFormat="1" applyFont="1" applyFill="1" applyBorder="1" applyAlignment="1">
      <alignment horizontal="right" vertical="center"/>
    </xf>
    <xf numFmtId="49" fontId="13" fillId="3" borderId="1" xfId="1" applyNumberFormat="1" applyFont="1" applyFill="1" applyBorder="1" applyAlignment="1">
      <alignment horizontal="center" vertical="center" wrapText="1"/>
    </xf>
    <xf numFmtId="49" fontId="3" fillId="3" borderId="1" xfId="1" applyNumberFormat="1" applyFont="1" applyFill="1" applyBorder="1" applyAlignment="1">
      <alignment horizontal="center" vertical="center"/>
    </xf>
    <xf numFmtId="49" fontId="3" fillId="3" borderId="1" xfId="1" quotePrefix="1" applyNumberFormat="1" applyFont="1" applyFill="1" applyBorder="1" applyAlignment="1">
      <alignment horizontal="center" vertical="center" wrapText="1"/>
    </xf>
    <xf numFmtId="49" fontId="3" fillId="3" borderId="1" xfId="1" applyNumberFormat="1" applyFont="1" applyFill="1" applyBorder="1" applyAlignment="1">
      <alignment horizontal="center" vertical="center" wrapText="1"/>
    </xf>
    <xf numFmtId="49" fontId="3" fillId="3" borderId="1" xfId="1" applyNumberFormat="1" applyFont="1" applyFill="1" applyBorder="1" applyAlignment="1">
      <alignment horizontal="center" vertical="center" wrapText="1" shrinkToFit="1"/>
    </xf>
    <xf numFmtId="49" fontId="3" fillId="3" borderId="1" xfId="1" quotePrefix="1" applyNumberFormat="1" applyFont="1" applyFill="1" applyBorder="1" applyAlignment="1">
      <alignment horizontal="center" vertical="center"/>
    </xf>
    <xf numFmtId="49" fontId="3" fillId="3" borderId="1" xfId="1" applyNumberFormat="1" applyFont="1" applyFill="1" applyBorder="1" applyAlignment="1">
      <alignment horizontal="center" vertical="center" wrapText="1" readingOrder="1"/>
    </xf>
    <xf numFmtId="49" fontId="3" fillId="3" borderId="0" xfId="1" applyNumberFormat="1" applyFont="1" applyFill="1" applyAlignment="1">
      <alignment horizontal="center" vertical="center"/>
    </xf>
    <xf numFmtId="0" fontId="3" fillId="3" borderId="1" xfId="12" applyFont="1" applyFill="1" applyBorder="1" applyAlignment="1">
      <alignment horizontal="right" vertical="center" wrapText="1"/>
    </xf>
    <xf numFmtId="0" fontId="3" fillId="3" borderId="1" xfId="7" applyFont="1" applyFill="1" applyBorder="1" applyAlignment="1">
      <alignment horizontal="right"/>
    </xf>
    <xf numFmtId="17" fontId="3" fillId="3" borderId="1" xfId="7" quotePrefix="1" applyNumberFormat="1" applyFont="1" applyFill="1" applyBorder="1" applyAlignment="1">
      <alignment horizontal="right" vertical="center"/>
    </xf>
    <xf numFmtId="0" fontId="44" fillId="3" borderId="1" xfId="0" applyFont="1" applyFill="1" applyBorder="1" applyAlignment="1">
      <alignment horizontal="left" vertical="center" wrapText="1" indent="1" readingOrder="1"/>
    </xf>
    <xf numFmtId="3" fontId="44" fillId="3" borderId="1" xfId="18" applyNumberFormat="1" applyFont="1" applyFill="1" applyBorder="1" applyAlignment="1">
      <alignment horizontal="right" vertical="center"/>
    </xf>
    <xf numFmtId="3" fontId="44" fillId="3" borderId="1" xfId="19" applyNumberFormat="1" applyFont="1" applyFill="1" applyBorder="1" applyAlignment="1">
      <alignment horizontal="left" vertical="center" wrapText="1"/>
    </xf>
    <xf numFmtId="0" fontId="3" fillId="3" borderId="0" xfId="7" applyFont="1" applyFill="1" applyBorder="1" applyAlignment="1">
      <alignment vertical="center"/>
    </xf>
    <xf numFmtId="0" fontId="44" fillId="3" borderId="1" xfId="7" applyFont="1" applyFill="1" applyBorder="1" applyAlignment="1">
      <alignment horizontal="right" vertical="center"/>
    </xf>
    <xf numFmtId="0" fontId="44" fillId="3" borderId="1" xfId="7" applyFont="1" applyFill="1" applyBorder="1"/>
    <xf numFmtId="0" fontId="3" fillId="3" borderId="1" xfId="8" applyFont="1" applyFill="1" applyBorder="1" applyAlignment="1">
      <alignment horizontal="center"/>
    </xf>
    <xf numFmtId="0" fontId="3" fillId="3" borderId="1" xfId="8" applyFont="1" applyFill="1" applyBorder="1" applyAlignment="1">
      <alignment horizontal="left"/>
    </xf>
    <xf numFmtId="0" fontId="3" fillId="3" borderId="1" xfId="8" applyFont="1" applyFill="1" applyBorder="1" applyAlignment="1">
      <alignment horizontal="left" vertical="center"/>
    </xf>
    <xf numFmtId="166" fontId="3" fillId="3" borderId="1" xfId="1" applyNumberFormat="1" applyFont="1" applyFill="1" applyBorder="1" applyAlignment="1">
      <alignment horizontal="left" vertical="center" wrapText="1"/>
    </xf>
    <xf numFmtId="0" fontId="3" fillId="3" borderId="0" xfId="18" applyFont="1" applyFill="1"/>
    <xf numFmtId="0" fontId="13" fillId="3" borderId="0" xfId="7" applyFont="1" applyFill="1"/>
    <xf numFmtId="0" fontId="3" fillId="3" borderId="1" xfId="0" applyFont="1" applyFill="1" applyBorder="1" applyAlignment="1">
      <alignment horizontal="left" vertical="top"/>
    </xf>
    <xf numFmtId="174" fontId="3" fillId="3" borderId="1" xfId="0" applyNumberFormat="1" applyFont="1" applyFill="1" applyBorder="1" applyAlignment="1">
      <alignment horizontal="right" vertical="top"/>
    </xf>
    <xf numFmtId="0" fontId="3" fillId="3" borderId="1" xfId="0" applyFont="1" applyFill="1" applyBorder="1" applyAlignment="1">
      <alignment horizontal="left"/>
    </xf>
    <xf numFmtId="174" fontId="3" fillId="3" borderId="1" xfId="0" applyNumberFormat="1" applyFont="1" applyFill="1" applyBorder="1" applyAlignment="1">
      <alignment horizontal="right"/>
    </xf>
    <xf numFmtId="16" fontId="44" fillId="3" borderId="1" xfId="0" quotePrefix="1" applyNumberFormat="1" applyFont="1" applyFill="1" applyBorder="1" applyAlignment="1">
      <alignment horizontal="center" vertical="center" wrapText="1" readingOrder="1"/>
    </xf>
    <xf numFmtId="3" fontId="44" fillId="3" borderId="1" xfId="0" applyNumberFormat="1" applyFont="1" applyFill="1" applyBorder="1" applyAlignment="1">
      <alignment horizontal="center" wrapText="1"/>
    </xf>
    <xf numFmtId="49" fontId="44" fillId="3" borderId="1" xfId="18" applyNumberFormat="1" applyFont="1" applyFill="1" applyBorder="1" applyAlignment="1">
      <alignment horizontal="center" vertical="center" wrapText="1"/>
    </xf>
    <xf numFmtId="17" fontId="44" fillId="3" borderId="1" xfId="10" quotePrefix="1" applyNumberFormat="1" applyFont="1" applyFill="1" applyBorder="1" applyAlignment="1">
      <alignment horizontal="center" vertical="center" wrapText="1"/>
    </xf>
    <xf numFmtId="166" fontId="44" fillId="3" borderId="1" xfId="3" quotePrefix="1" applyNumberFormat="1" applyFont="1" applyFill="1" applyBorder="1" applyAlignment="1">
      <alignment horizontal="center" vertical="center" wrapText="1"/>
    </xf>
    <xf numFmtId="0" fontId="3" fillId="3" borderId="1" xfId="12" applyFont="1" applyFill="1" applyBorder="1" applyAlignment="1"/>
    <xf numFmtId="1" fontId="3" fillId="3" borderId="1" xfId="7" applyNumberFormat="1" applyFont="1" applyFill="1" applyBorder="1" applyAlignment="1">
      <alignment vertical="center"/>
    </xf>
    <xf numFmtId="0" fontId="3" fillId="3" borderId="1" xfId="7" applyFont="1" applyFill="1" applyBorder="1" applyAlignment="1">
      <alignment vertical="center"/>
    </xf>
    <xf numFmtId="0" fontId="3" fillId="3" borderId="1" xfId="0" applyFont="1" applyFill="1" applyBorder="1" applyAlignment="1">
      <alignment horizontal="left" vertical="center" wrapText="1" readingOrder="1"/>
    </xf>
    <xf numFmtId="3" fontId="13" fillId="3" borderId="1" xfId="0" applyNumberFormat="1" applyFont="1" applyFill="1" applyBorder="1" applyAlignment="1">
      <alignment horizontal="left" vertical="center" wrapText="1" readingOrder="1"/>
    </xf>
    <xf numFmtId="0" fontId="3" fillId="3" borderId="1" xfId="0" applyFont="1" applyFill="1" applyBorder="1" applyAlignment="1" applyProtection="1">
      <alignment horizontal="center" vertical="center"/>
    </xf>
    <xf numFmtId="3" fontId="3" fillId="3" borderId="1" xfId="0" applyNumberFormat="1" applyFont="1" applyFill="1" applyBorder="1" applyAlignment="1">
      <alignment horizontal="left" vertical="center" wrapText="1" readingOrder="1"/>
    </xf>
    <xf numFmtId="49" fontId="13" fillId="5" borderId="1" xfId="1" applyNumberFormat="1" applyFont="1" applyFill="1" applyBorder="1" applyAlignment="1">
      <alignment horizontal="center" vertical="center" wrapText="1"/>
    </xf>
    <xf numFmtId="1" fontId="13" fillId="5" borderId="1" xfId="14" applyNumberFormat="1" applyFont="1" applyFill="1" applyBorder="1" applyAlignment="1">
      <alignment horizontal="left" vertical="center"/>
    </xf>
    <xf numFmtId="1" fontId="3" fillId="5" borderId="1" xfId="14" applyNumberFormat="1" applyFont="1" applyFill="1" applyBorder="1" applyAlignment="1">
      <alignment horizontal="center" vertical="center" wrapText="1"/>
    </xf>
    <xf numFmtId="1" fontId="3" fillId="5" borderId="1" xfId="7" applyNumberFormat="1" applyFont="1" applyFill="1" applyBorder="1" applyAlignment="1">
      <alignment horizontal="center" vertical="center" wrapText="1"/>
    </xf>
    <xf numFmtId="0" fontId="3" fillId="5" borderId="1" xfId="14" applyFont="1" applyFill="1" applyBorder="1" applyAlignment="1">
      <alignment horizontal="left" vertical="center" wrapText="1"/>
    </xf>
    <xf numFmtId="166" fontId="3" fillId="5" borderId="1" xfId="3" applyNumberFormat="1" applyFont="1" applyFill="1" applyBorder="1" applyAlignment="1">
      <alignment horizontal="right" vertical="center"/>
    </xf>
    <xf numFmtId="49" fontId="3" fillId="5" borderId="1" xfId="1" applyNumberFormat="1" applyFont="1" applyFill="1" applyBorder="1" applyAlignment="1">
      <alignment horizontal="center" vertical="center"/>
    </xf>
    <xf numFmtId="0" fontId="3" fillId="5" borderId="1" xfId="7" applyFont="1" applyFill="1" applyBorder="1" applyAlignment="1">
      <alignment horizontal="center" vertical="center"/>
    </xf>
    <xf numFmtId="0" fontId="3" fillId="5" borderId="1" xfId="12" applyFont="1" applyFill="1" applyBorder="1" applyAlignment="1">
      <alignment horizontal="center" vertical="center" wrapText="1"/>
    </xf>
    <xf numFmtId="3" fontId="3" fillId="5" borderId="1" xfId="8" applyNumberFormat="1" applyFont="1" applyFill="1" applyBorder="1" applyAlignment="1">
      <alignment horizontal="right" vertical="center"/>
    </xf>
    <xf numFmtId="0" fontId="13" fillId="5" borderId="1" xfId="14" applyFont="1" applyFill="1" applyBorder="1" applyAlignment="1">
      <alignment horizontal="center" vertical="center" wrapText="1"/>
    </xf>
    <xf numFmtId="166" fontId="13" fillId="5" borderId="1" xfId="3" applyNumberFormat="1" applyFont="1" applyFill="1" applyBorder="1" applyAlignment="1">
      <alignment horizontal="right" vertical="center"/>
    </xf>
    <xf numFmtId="0" fontId="3" fillId="5" borderId="1" xfId="14" applyFont="1" applyFill="1" applyBorder="1" applyAlignment="1">
      <alignment horizontal="center" vertical="center" wrapText="1"/>
    </xf>
    <xf numFmtId="0" fontId="3" fillId="5" borderId="1" xfId="8" applyFont="1" applyFill="1" applyBorder="1" applyAlignment="1">
      <alignment horizontal="center" vertical="center" wrapText="1"/>
    </xf>
    <xf numFmtId="0" fontId="3" fillId="5" borderId="1" xfId="8" applyFont="1" applyFill="1" applyBorder="1" applyAlignment="1">
      <alignment horizontal="left" vertical="center" wrapText="1"/>
    </xf>
    <xf numFmtId="49" fontId="3" fillId="5" borderId="1" xfId="1" applyNumberFormat="1" applyFont="1" applyFill="1" applyBorder="1" applyAlignment="1">
      <alignment horizontal="center" vertical="center" wrapText="1"/>
    </xf>
    <xf numFmtId="0" fontId="13" fillId="5" borderId="1" xfId="0" quotePrefix="1" applyFont="1" applyFill="1" applyBorder="1" applyAlignment="1">
      <alignment horizontal="center" vertical="center" wrapText="1"/>
    </xf>
    <xf numFmtId="0" fontId="13" fillId="5" borderId="1" xfId="8" applyFont="1" applyFill="1" applyBorder="1" applyAlignment="1">
      <alignment horizontal="center" vertical="center"/>
    </xf>
    <xf numFmtId="0" fontId="13" fillId="5" borderId="1" xfId="8" applyFont="1" applyFill="1" applyBorder="1" applyAlignment="1">
      <alignment horizontal="left" vertical="center"/>
    </xf>
    <xf numFmtId="0" fontId="3" fillId="5" borderId="1" xfId="8" applyFont="1" applyFill="1" applyBorder="1" applyAlignment="1">
      <alignment horizontal="center"/>
    </xf>
    <xf numFmtId="0" fontId="3" fillId="5" borderId="1" xfId="8" applyFont="1" applyFill="1" applyBorder="1" applyAlignment="1">
      <alignment horizontal="left"/>
    </xf>
    <xf numFmtId="0" fontId="3" fillId="5" borderId="1" xfId="8" applyFont="1" applyFill="1" applyBorder="1"/>
    <xf numFmtId="0" fontId="13" fillId="5" borderId="1" xfId="8" applyFont="1" applyFill="1" applyBorder="1" applyAlignment="1">
      <alignment horizontal="center" wrapText="1"/>
    </xf>
    <xf numFmtId="49" fontId="13" fillId="5" borderId="1" xfId="1" applyNumberFormat="1" applyFont="1" applyFill="1" applyBorder="1" applyAlignment="1">
      <alignment horizontal="center" vertical="center"/>
    </xf>
    <xf numFmtId="0" fontId="3" fillId="5" borderId="1" xfId="8" applyFont="1" applyFill="1" applyBorder="1" applyAlignment="1">
      <alignment horizontal="left" vertical="center"/>
    </xf>
    <xf numFmtId="0" fontId="3" fillId="5" borderId="1" xfId="8" applyFont="1" applyFill="1" applyBorder="1" applyAlignment="1">
      <alignment horizontal="center" vertical="center"/>
    </xf>
    <xf numFmtId="0" fontId="3" fillId="5" borderId="1" xfId="0" applyFont="1" applyFill="1" applyBorder="1" applyAlignment="1">
      <alignment horizontal="center" vertical="center" wrapText="1"/>
    </xf>
    <xf numFmtId="0" fontId="3" fillId="5" borderId="1" xfId="8" applyFont="1" applyFill="1" applyBorder="1" applyAlignment="1">
      <alignment vertical="center" wrapText="1"/>
    </xf>
    <xf numFmtId="0" fontId="13" fillId="5" borderId="1" xfId="7" applyFont="1" applyFill="1" applyBorder="1"/>
    <xf numFmtId="49" fontId="41" fillId="5" borderId="1" xfId="3" applyNumberFormat="1" applyFont="1" applyFill="1" applyBorder="1" applyAlignment="1">
      <alignment horizontal="center" vertical="center" wrapText="1"/>
    </xf>
    <xf numFmtId="167" fontId="41" fillId="5" borderId="1" xfId="3" applyNumberFormat="1" applyFont="1" applyFill="1" applyBorder="1" applyAlignment="1">
      <alignment horizontal="center" vertical="center" wrapText="1"/>
    </xf>
    <xf numFmtId="0" fontId="41" fillId="5" borderId="1" xfId="7" applyFont="1" applyFill="1" applyBorder="1" applyAlignment="1">
      <alignment horizontal="center" vertical="center"/>
    </xf>
    <xf numFmtId="1" fontId="41" fillId="5" borderId="1" xfId="14" applyNumberFormat="1" applyFont="1" applyFill="1" applyBorder="1" applyAlignment="1">
      <alignment horizontal="center" vertical="center" wrapText="1"/>
    </xf>
    <xf numFmtId="1" fontId="41" fillId="5" borderId="1" xfId="7" applyNumberFormat="1" applyFont="1" applyFill="1" applyBorder="1" applyAlignment="1">
      <alignment horizontal="center" vertical="center" wrapText="1"/>
    </xf>
    <xf numFmtId="166" fontId="41" fillId="5" borderId="1" xfId="3" applyNumberFormat="1" applyFont="1" applyFill="1" applyBorder="1" applyAlignment="1">
      <alignment horizontal="right" vertical="center"/>
    </xf>
    <xf numFmtId="0" fontId="44" fillId="5" borderId="1" xfId="7" applyFont="1" applyFill="1" applyBorder="1" applyAlignment="1">
      <alignment horizontal="center" vertical="center"/>
    </xf>
    <xf numFmtId="166" fontId="44" fillId="3" borderId="1" xfId="1" applyNumberFormat="1" applyFont="1" applyFill="1" applyBorder="1" applyAlignment="1">
      <alignment horizontal="right" vertical="center" wrapText="1"/>
    </xf>
    <xf numFmtId="166" fontId="44" fillId="3" borderId="1" xfId="1" applyNumberFormat="1" applyFont="1" applyFill="1" applyBorder="1" applyAlignment="1">
      <alignment horizontal="right" wrapText="1"/>
    </xf>
    <xf numFmtId="49" fontId="41" fillId="5" borderId="1" xfId="3" applyNumberFormat="1" applyFont="1" applyFill="1" applyBorder="1" applyAlignment="1">
      <alignment horizontal="center" wrapText="1"/>
    </xf>
    <xf numFmtId="0" fontId="44" fillId="3" borderId="1" xfId="18" applyNumberFormat="1" applyFont="1" applyFill="1" applyBorder="1" applyAlignment="1">
      <alignment horizontal="center" vertical="center" wrapText="1"/>
    </xf>
    <xf numFmtId="16" fontId="44" fillId="3" borderId="1" xfId="18" quotePrefix="1" applyNumberFormat="1" applyFont="1" applyFill="1" applyBorder="1" applyAlignment="1">
      <alignment horizontal="center" vertical="center" wrapText="1"/>
    </xf>
    <xf numFmtId="0" fontId="44" fillId="3" borderId="1" xfId="18" quotePrefix="1" applyFont="1" applyFill="1" applyBorder="1" applyAlignment="1">
      <alignment horizontal="center" vertical="center" wrapText="1"/>
    </xf>
    <xf numFmtId="17" fontId="44" fillId="3" borderId="1" xfId="18" quotePrefix="1" applyNumberFormat="1" applyFont="1" applyFill="1" applyBorder="1" applyAlignment="1">
      <alignment horizontal="center" vertical="center" wrapText="1"/>
    </xf>
    <xf numFmtId="0" fontId="44" fillId="3" borderId="1" xfId="16" applyFont="1" applyFill="1" applyBorder="1" applyAlignment="1">
      <alignment horizontal="center"/>
    </xf>
    <xf numFmtId="0" fontId="44" fillId="3" borderId="1" xfId="0" applyFont="1" applyFill="1" applyBorder="1" applyAlignment="1">
      <alignment vertical="center" wrapText="1"/>
    </xf>
    <xf numFmtId="3" fontId="44" fillId="3" borderId="1" xfId="18" applyNumberFormat="1" applyFont="1" applyFill="1" applyBorder="1" applyAlignment="1">
      <alignment horizontal="center" vertical="center" wrapText="1"/>
    </xf>
    <xf numFmtId="1" fontId="44" fillId="3" borderId="1" xfId="18" quotePrefix="1" applyNumberFormat="1" applyFont="1" applyFill="1" applyBorder="1" applyAlignment="1">
      <alignment horizontal="center" vertical="center" wrapText="1"/>
    </xf>
    <xf numFmtId="169" fontId="44" fillId="3" borderId="1" xfId="18" quotePrefix="1" applyNumberFormat="1" applyFont="1" applyFill="1" applyBorder="1" applyAlignment="1">
      <alignment horizontal="center" vertical="center" wrapText="1"/>
    </xf>
    <xf numFmtId="0" fontId="44" fillId="3" borderId="1" xfId="8" applyFont="1" applyFill="1" applyBorder="1" applyAlignment="1">
      <alignment horizontal="center" vertical="center" wrapText="1"/>
    </xf>
    <xf numFmtId="0" fontId="3" fillId="3" borderId="1" xfId="0" applyFont="1" applyFill="1" applyBorder="1" applyAlignment="1"/>
    <xf numFmtId="0" fontId="13" fillId="5" borderId="1" xfId="18" applyFont="1" applyFill="1" applyBorder="1" applyAlignment="1">
      <alignment vertical="center"/>
    </xf>
    <xf numFmtId="49" fontId="13" fillId="5" borderId="1" xfId="18" applyNumberFormat="1" applyFont="1" applyFill="1" applyBorder="1" applyAlignment="1">
      <alignment horizontal="center" vertical="center"/>
    </xf>
    <xf numFmtId="0" fontId="3" fillId="3" borderId="0" xfId="18" applyFont="1" applyFill="1" applyAlignment="1">
      <alignment horizontal="left" vertical="center" wrapText="1"/>
    </xf>
    <xf numFmtId="0" fontId="26" fillId="3" borderId="1" xfId="6" applyFont="1" applyFill="1" applyBorder="1" applyAlignment="1">
      <alignment horizontal="left" vertical="center" wrapText="1"/>
    </xf>
    <xf numFmtId="0" fontId="3" fillId="3" borderId="1" xfId="18" applyFont="1" applyFill="1" applyBorder="1" applyAlignment="1">
      <alignment vertical="center" wrapText="1"/>
    </xf>
    <xf numFmtId="0" fontId="3" fillId="3" borderId="1" xfId="18" applyFont="1" applyFill="1" applyBorder="1"/>
    <xf numFmtId="49" fontId="3" fillId="3" borderId="1" xfId="0" applyNumberFormat="1" applyFont="1" applyFill="1" applyBorder="1" applyAlignment="1">
      <alignment horizontal="center" vertical="center"/>
    </xf>
    <xf numFmtId="16" fontId="3" fillId="3" borderId="1" xfId="0" quotePrefix="1" applyNumberFormat="1" applyFont="1" applyFill="1" applyBorder="1" applyAlignment="1">
      <alignment horizontal="center" vertical="center" wrapText="1"/>
    </xf>
    <xf numFmtId="49" fontId="3" fillId="3" borderId="1" xfId="0" applyNumberFormat="1" applyFont="1" applyFill="1" applyBorder="1" applyAlignment="1">
      <alignment horizontal="center" vertical="center" wrapText="1"/>
    </xf>
    <xf numFmtId="0" fontId="3" fillId="0" borderId="1" xfId="18" applyFont="1" applyFill="1" applyBorder="1" applyAlignment="1">
      <alignment horizontal="left" vertical="center" wrapText="1"/>
    </xf>
    <xf numFmtId="0" fontId="3" fillId="4" borderId="0" xfId="18" applyFont="1" applyFill="1"/>
    <xf numFmtId="0" fontId="3" fillId="3" borderId="0" xfId="18" applyFont="1" applyFill="1" applyAlignment="1">
      <alignment horizontal="center" vertical="center"/>
    </xf>
    <xf numFmtId="0" fontId="3" fillId="3" borderId="0" xfId="18" applyFont="1" applyFill="1" applyAlignment="1">
      <alignment horizontal="left"/>
    </xf>
    <xf numFmtId="49" fontId="3" fillId="3" borderId="0" xfId="18" applyNumberFormat="1" applyFont="1" applyFill="1"/>
    <xf numFmtId="0" fontId="44" fillId="3" borderId="1" xfId="8" applyNumberFormat="1" applyFont="1" applyFill="1" applyBorder="1" applyAlignment="1">
      <alignment horizontal="center" vertical="center" wrapText="1"/>
    </xf>
    <xf numFmtId="49" fontId="13" fillId="3" borderId="1" xfId="3" applyNumberFormat="1" applyFont="1" applyFill="1" applyBorder="1" applyAlignment="1">
      <alignment horizontal="center" vertical="center" wrapText="1"/>
    </xf>
    <xf numFmtId="0" fontId="13" fillId="5" borderId="1" xfId="8" applyFont="1" applyFill="1" applyBorder="1" applyAlignment="1">
      <alignment horizontal="left" vertical="center" wrapText="1"/>
    </xf>
    <xf numFmtId="0" fontId="26" fillId="3" borderId="1" xfId="0" applyFont="1" applyFill="1" applyBorder="1" applyAlignment="1">
      <alignment horizontal="center"/>
    </xf>
    <xf numFmtId="0" fontId="32" fillId="3" borderId="1" xfId="0" applyFont="1" applyFill="1" applyBorder="1" applyAlignment="1">
      <alignment horizontal="center" vertical="center" wrapText="1"/>
    </xf>
    <xf numFmtId="0" fontId="32" fillId="3" borderId="1" xfId="0" applyFont="1" applyFill="1" applyBorder="1" applyAlignment="1">
      <alignment horizontal="left" vertical="center" wrapText="1"/>
    </xf>
    <xf numFmtId="0" fontId="32" fillId="3" borderId="1" xfId="0" applyFont="1" applyFill="1" applyBorder="1" applyAlignment="1">
      <alignment vertical="center" wrapText="1"/>
    </xf>
    <xf numFmtId="0" fontId="32" fillId="3" borderId="1" xfId="0" applyFont="1" applyFill="1" applyBorder="1" applyAlignment="1">
      <alignment horizontal="right" vertical="center" wrapText="1"/>
    </xf>
    <xf numFmtId="2" fontId="32" fillId="3" borderId="1" xfId="0" applyNumberFormat="1" applyFont="1" applyFill="1" applyBorder="1" applyAlignment="1">
      <alignment horizontal="right" vertical="center" wrapText="1"/>
    </xf>
    <xf numFmtId="0" fontId="26" fillId="3" borderId="1" xfId="0" applyFont="1" applyFill="1" applyBorder="1" applyAlignment="1">
      <alignment horizontal="right"/>
    </xf>
    <xf numFmtId="169" fontId="32" fillId="3" borderId="1" xfId="0" applyNumberFormat="1" applyFont="1" applyFill="1" applyBorder="1" applyAlignment="1">
      <alignment horizontal="right" vertical="center" wrapText="1"/>
    </xf>
    <xf numFmtId="0" fontId="33" fillId="3" borderId="1" xfId="0" applyFont="1" applyFill="1" applyBorder="1" applyAlignment="1">
      <alignment vertical="center" wrapText="1"/>
    </xf>
    <xf numFmtId="0" fontId="33" fillId="3" borderId="1" xfId="0" applyFont="1" applyFill="1" applyBorder="1" applyAlignment="1">
      <alignment horizontal="right" vertical="center" wrapText="1"/>
    </xf>
    <xf numFmtId="170" fontId="26" fillId="3" borderId="1" xfId="1" applyNumberFormat="1" applyFont="1" applyFill="1" applyBorder="1" applyAlignment="1">
      <alignment horizontal="right"/>
    </xf>
    <xf numFmtId="0" fontId="48" fillId="3" borderId="1" xfId="6" applyFont="1" applyFill="1" applyBorder="1" applyAlignment="1">
      <alignment horizontal="center" vertical="center"/>
    </xf>
    <xf numFmtId="0" fontId="26" fillId="3" borderId="1" xfId="6" applyFont="1" applyFill="1" applyBorder="1" applyAlignment="1">
      <alignment horizontal="center" vertical="center" wrapText="1"/>
    </xf>
    <xf numFmtId="171" fontId="26" fillId="3" borderId="1" xfId="17" applyNumberFormat="1" applyFont="1" applyFill="1" applyBorder="1" applyAlignment="1">
      <alignment vertical="center"/>
    </xf>
    <xf numFmtId="171" fontId="26" fillId="3" borderId="1" xfId="6" applyNumberFormat="1" applyFont="1" applyFill="1" applyBorder="1" applyAlignment="1">
      <alignment horizontal="center"/>
    </xf>
    <xf numFmtId="0" fontId="26" fillId="3" borderId="1" xfId="6" applyFont="1" applyFill="1" applyBorder="1" applyAlignment="1">
      <alignment horizontal="center"/>
    </xf>
    <xf numFmtId="0" fontId="26" fillId="3" borderId="0" xfId="0" applyFont="1" applyFill="1" applyAlignment="1">
      <alignment horizontal="center"/>
    </xf>
    <xf numFmtId="0" fontId="41" fillId="5" borderId="1" xfId="8" applyFont="1" applyFill="1" applyBorder="1" applyAlignment="1">
      <alignment vertical="center" wrapText="1"/>
    </xf>
    <xf numFmtId="0" fontId="41" fillId="5" borderId="1" xfId="12" applyFont="1" applyFill="1" applyBorder="1" applyAlignment="1">
      <alignment horizontal="left" vertical="center" wrapText="1"/>
    </xf>
    <xf numFmtId="3" fontId="41" fillId="5" borderId="1" xfId="8" applyNumberFormat="1" applyFont="1" applyFill="1" applyBorder="1" applyAlignment="1">
      <alignment horizontal="right" vertical="center"/>
    </xf>
    <xf numFmtId="0" fontId="44" fillId="0" borderId="1" xfId="0" applyFont="1" applyBorder="1" applyAlignment="1">
      <alignment vertical="center" wrapText="1" readingOrder="1"/>
    </xf>
    <xf numFmtId="167" fontId="44" fillId="0" borderId="1" xfId="1" applyNumberFormat="1" applyFont="1" applyBorder="1" applyAlignment="1">
      <alignment horizontal="right" vertical="center" wrapText="1" indent="1" readingOrder="1"/>
    </xf>
    <xf numFmtId="0" fontId="41" fillId="5" borderId="1" xfId="0" applyFont="1" applyFill="1" applyBorder="1" applyAlignment="1">
      <alignment horizontal="left" vertical="center" wrapText="1" indent="1" readingOrder="1"/>
    </xf>
    <xf numFmtId="0" fontId="44" fillId="5" borderId="1" xfId="0" applyFont="1" applyFill="1" applyBorder="1" applyAlignment="1">
      <alignment horizontal="center" vertical="center" wrapText="1" readingOrder="1"/>
    </xf>
    <xf numFmtId="0" fontId="44" fillId="5" borderId="1" xfId="0" applyFont="1" applyFill="1" applyBorder="1" applyAlignment="1">
      <alignment horizontal="right" vertical="center" wrapText="1" indent="1" readingOrder="1"/>
    </xf>
    <xf numFmtId="0" fontId="3" fillId="3" borderId="1" xfId="18" applyFont="1" applyFill="1" applyBorder="1" applyAlignment="1">
      <alignment horizontal="center" vertical="center"/>
    </xf>
    <xf numFmtId="0" fontId="3" fillId="3" borderId="1" xfId="18" applyFont="1" applyFill="1" applyBorder="1" applyAlignment="1">
      <alignment horizontal="left"/>
    </xf>
    <xf numFmtId="49" fontId="3" fillId="3" borderId="1" xfId="18" applyNumberFormat="1" applyFont="1" applyFill="1" applyBorder="1"/>
    <xf numFmtId="0" fontId="3" fillId="3" borderId="1" xfId="18" applyFont="1" applyFill="1" applyBorder="1" applyAlignment="1">
      <alignment horizontal="center"/>
    </xf>
    <xf numFmtId="0" fontId="3" fillId="3" borderId="1" xfId="18" applyNumberFormat="1" applyFont="1" applyFill="1" applyBorder="1" applyAlignment="1">
      <alignment horizontal="center" vertical="center" wrapText="1"/>
    </xf>
    <xf numFmtId="3" fontId="13" fillId="5" borderId="1" xfId="8" applyNumberFormat="1" applyFont="1" applyFill="1" applyBorder="1" applyAlignment="1">
      <alignment horizontal="right" vertical="center"/>
    </xf>
    <xf numFmtId="0" fontId="3" fillId="3" borderId="1" xfId="0" applyFont="1" applyFill="1" applyBorder="1" applyAlignment="1">
      <alignment horizontal="right" vertical="top" wrapText="1"/>
    </xf>
    <xf numFmtId="3" fontId="13" fillId="3" borderId="1" xfId="0" applyNumberFormat="1" applyFont="1" applyFill="1" applyBorder="1" applyAlignment="1">
      <alignment horizontal="right" vertical="center" wrapText="1"/>
    </xf>
    <xf numFmtId="3" fontId="13" fillId="5" borderId="1" xfId="0" applyNumberFormat="1" applyFont="1" applyFill="1" applyBorder="1" applyAlignment="1">
      <alignment horizontal="right" vertical="center"/>
    </xf>
    <xf numFmtId="0" fontId="13" fillId="5" borderId="1" xfId="0" applyFont="1" applyFill="1" applyBorder="1" applyAlignment="1">
      <alignment horizontal="right" vertical="center" wrapText="1"/>
    </xf>
    <xf numFmtId="166" fontId="26" fillId="3" borderId="0" xfId="1" applyNumberFormat="1" applyFont="1" applyFill="1"/>
    <xf numFmtId="166" fontId="3" fillId="3" borderId="1" xfId="3" applyNumberFormat="1" applyFont="1" applyFill="1" applyBorder="1" applyAlignment="1">
      <alignment horizontal="center" vertical="center"/>
    </xf>
    <xf numFmtId="1" fontId="44" fillId="3" borderId="1" xfId="8" quotePrefix="1" applyNumberFormat="1" applyFont="1" applyFill="1" applyBorder="1" applyAlignment="1">
      <alignment horizontal="center" vertical="center" wrapText="1"/>
    </xf>
    <xf numFmtId="0" fontId="44" fillId="3" borderId="1" xfId="0" applyFont="1" applyFill="1" applyBorder="1" applyAlignment="1">
      <alignment horizontal="left" vertical="center" wrapText="1" readingOrder="1"/>
    </xf>
    <xf numFmtId="49" fontId="44" fillId="3" borderId="1" xfId="0" applyNumberFormat="1" applyFont="1" applyFill="1" applyBorder="1" applyAlignment="1">
      <alignment horizontal="center" vertical="center" wrapText="1" readingOrder="1"/>
    </xf>
    <xf numFmtId="0" fontId="44" fillId="3" borderId="1" xfId="15" applyFont="1" applyFill="1" applyBorder="1" applyAlignment="1">
      <alignment horizontal="left" vertical="center" wrapText="1"/>
    </xf>
    <xf numFmtId="166" fontId="44" fillId="3" borderId="1" xfId="1" applyNumberFormat="1" applyFont="1" applyFill="1" applyBorder="1" applyAlignment="1">
      <alignment horizontal="right" vertical="center" wrapText="1" readingOrder="1"/>
    </xf>
    <xf numFmtId="0" fontId="44" fillId="3" borderId="1" xfId="0" applyFont="1" applyFill="1" applyBorder="1" applyAlignment="1">
      <alignment horizontal="center" vertical="center"/>
    </xf>
    <xf numFmtId="0" fontId="44" fillId="3" borderId="1" xfId="0" quotePrefix="1" applyNumberFormat="1" applyFont="1" applyFill="1" applyBorder="1" applyAlignment="1">
      <alignment horizontal="center" vertical="center" wrapText="1"/>
    </xf>
    <xf numFmtId="49" fontId="44" fillId="3" borderId="1" xfId="1" applyNumberFormat="1" applyFont="1" applyFill="1" applyBorder="1" applyAlignment="1">
      <alignment horizontal="center" vertical="center" wrapText="1"/>
    </xf>
    <xf numFmtId="0" fontId="44" fillId="3" borderId="1" xfId="0" applyFont="1" applyFill="1" applyBorder="1" applyAlignment="1">
      <alignment horizontal="right" vertical="center" wrapText="1" readingOrder="1"/>
    </xf>
    <xf numFmtId="49" fontId="44" fillId="3" borderId="1" xfId="0" applyNumberFormat="1" applyFont="1" applyFill="1" applyBorder="1" applyAlignment="1">
      <alignment horizontal="left" vertical="center" wrapText="1"/>
    </xf>
    <xf numFmtId="3" fontId="44" fillId="3" borderId="1" xfId="20" applyNumberFormat="1" applyFont="1" applyFill="1" applyBorder="1" applyAlignment="1">
      <alignment horizontal="left" vertical="center" wrapText="1"/>
    </xf>
    <xf numFmtId="3" fontId="44" fillId="3" borderId="1" xfId="0" quotePrefix="1" applyNumberFormat="1" applyFont="1" applyFill="1" applyBorder="1" applyAlignment="1">
      <alignment horizontal="left" vertical="center" wrapText="1"/>
    </xf>
    <xf numFmtId="2" fontId="44" fillId="3" borderId="1" xfId="0" applyNumberFormat="1" applyFont="1" applyFill="1" applyBorder="1" applyAlignment="1">
      <alignment horizontal="left" vertical="center" wrapText="1"/>
    </xf>
    <xf numFmtId="0" fontId="44" fillId="4" borderId="0" xfId="18" applyFont="1" applyFill="1"/>
    <xf numFmtId="0" fontId="3" fillId="3" borderId="1" xfId="18" applyFont="1" applyFill="1" applyBorder="1" applyAlignment="1">
      <alignment horizontal="center" vertical="center" wrapText="1"/>
    </xf>
    <xf numFmtId="0" fontId="3" fillId="3" borderId="1" xfId="0" applyFont="1" applyFill="1" applyBorder="1" applyAlignment="1">
      <alignment horizontal="center" vertical="center" wrapText="1"/>
    </xf>
    <xf numFmtId="0" fontId="13" fillId="3" borderId="1" xfId="0" applyFont="1" applyFill="1" applyBorder="1" applyAlignment="1">
      <alignment horizontal="left" vertical="center" wrapText="1"/>
    </xf>
    <xf numFmtId="0" fontId="3" fillId="3" borderId="1" xfId="8" applyFont="1" applyFill="1" applyBorder="1" applyAlignment="1">
      <alignment horizontal="center" vertical="center" wrapText="1"/>
    </xf>
    <xf numFmtId="0" fontId="13" fillId="5" borderId="1" xfId="0" applyFont="1" applyFill="1" applyBorder="1" applyAlignment="1">
      <alignment horizontal="left" vertical="center" wrapText="1"/>
    </xf>
    <xf numFmtId="0" fontId="13" fillId="5" borderId="1" xfId="7" applyFont="1" applyFill="1" applyBorder="1" applyAlignment="1">
      <alignment horizontal="center" vertical="center"/>
    </xf>
    <xf numFmtId="0" fontId="13" fillId="5" borderId="1" xfId="8" applyFont="1" applyFill="1" applyBorder="1" applyAlignment="1">
      <alignment horizontal="center" vertical="center" wrapText="1"/>
    </xf>
    <xf numFmtId="0" fontId="3" fillId="3" borderId="1" xfId="8" applyFont="1" applyFill="1" applyBorder="1" applyAlignment="1">
      <alignment horizontal="center" vertical="center"/>
    </xf>
    <xf numFmtId="0" fontId="44" fillId="3" borderId="1" xfId="14" applyFont="1" applyFill="1" applyBorder="1" applyAlignment="1">
      <alignment horizontal="center" vertical="center" wrapText="1"/>
    </xf>
    <xf numFmtId="0" fontId="44" fillId="3" borderId="1" xfId="18" applyFont="1" applyFill="1" applyBorder="1" applyAlignment="1">
      <alignment horizontal="center" wrapText="1"/>
    </xf>
    <xf numFmtId="0" fontId="44" fillId="3" borderId="1" xfId="13" applyFont="1" applyFill="1" applyBorder="1" applyAlignment="1">
      <alignment horizontal="center" vertical="center" wrapText="1"/>
    </xf>
    <xf numFmtId="1" fontId="44" fillId="3" borderId="1" xfId="7" applyNumberFormat="1" applyFont="1" applyFill="1" applyBorder="1" applyAlignment="1">
      <alignment horizontal="center" vertical="center" wrapText="1"/>
    </xf>
    <xf numFmtId="1" fontId="44" fillId="3" borderId="1" xfId="7" quotePrefix="1" applyNumberFormat="1" applyFont="1" applyFill="1" applyBorder="1" applyAlignment="1">
      <alignment horizontal="center" vertical="center" wrapText="1"/>
    </xf>
    <xf numFmtId="0" fontId="44" fillId="3" borderId="1" xfId="12" quotePrefix="1" applyFont="1" applyFill="1" applyBorder="1" applyAlignment="1">
      <alignment horizontal="center" vertical="center" wrapText="1"/>
    </xf>
    <xf numFmtId="3" fontId="3" fillId="3" borderId="1" xfId="18" applyNumberFormat="1" applyFont="1" applyFill="1" applyBorder="1" applyAlignment="1">
      <alignment horizontal="left" vertical="center" wrapText="1"/>
    </xf>
    <xf numFmtId="0" fontId="13" fillId="5" borderId="1" xfId="7" applyFont="1" applyFill="1" applyBorder="1" applyAlignment="1">
      <alignment horizontal="left" vertical="center"/>
    </xf>
    <xf numFmtId="1" fontId="13" fillId="5" borderId="1" xfId="14" applyNumberFormat="1" applyFont="1" applyFill="1" applyBorder="1" applyAlignment="1">
      <alignment horizontal="center" vertical="center" wrapText="1"/>
    </xf>
    <xf numFmtId="1" fontId="13" fillId="5" borderId="1" xfId="7" applyNumberFormat="1" applyFont="1" applyFill="1" applyBorder="1" applyAlignment="1">
      <alignment horizontal="center" vertical="center" wrapText="1"/>
    </xf>
    <xf numFmtId="0" fontId="13" fillId="5" borderId="1" xfId="0" applyFont="1" applyFill="1" applyBorder="1" applyAlignment="1">
      <alignment horizontal="left"/>
    </xf>
    <xf numFmtId="0" fontId="3" fillId="3" borderId="1" xfId="14" applyFont="1" applyFill="1" applyBorder="1" applyAlignment="1">
      <alignment vertical="center" wrapText="1"/>
    </xf>
    <xf numFmtId="0" fontId="3" fillId="3" borderId="1" xfId="0" quotePrefix="1" applyFont="1" applyFill="1" applyBorder="1" applyAlignment="1">
      <alignment horizontal="center" vertical="center" wrapText="1" readingOrder="1"/>
    </xf>
    <xf numFmtId="0" fontId="3" fillId="5" borderId="1" xfId="18" applyNumberFormat="1" applyFont="1" applyFill="1" applyBorder="1" applyAlignment="1">
      <alignment horizontal="center" vertical="center" wrapText="1"/>
    </xf>
    <xf numFmtId="49" fontId="3" fillId="5" borderId="1" xfId="1" quotePrefix="1" applyNumberFormat="1" applyFont="1" applyFill="1" applyBorder="1" applyAlignment="1">
      <alignment horizontal="center" vertical="center" wrapText="1"/>
    </xf>
    <xf numFmtId="0" fontId="3" fillId="5" borderId="1" xfId="14" applyFont="1" applyFill="1" applyBorder="1" applyAlignment="1">
      <alignment horizontal="center" vertical="center"/>
    </xf>
    <xf numFmtId="49" fontId="3" fillId="3" borderId="1" xfId="21" applyNumberFormat="1" applyFont="1" applyFill="1" applyBorder="1" applyAlignment="1">
      <alignment horizontal="center" vertical="center" wrapText="1"/>
    </xf>
    <xf numFmtId="3" fontId="13" fillId="3" borderId="1" xfId="0" applyNumberFormat="1" applyFont="1" applyFill="1" applyBorder="1" applyAlignment="1">
      <alignment horizontal="right" vertical="center"/>
    </xf>
    <xf numFmtId="174" fontId="13" fillId="5" borderId="1" xfId="7" applyNumberFormat="1" applyFont="1" applyFill="1" applyBorder="1" applyAlignment="1">
      <alignment horizontal="right" vertical="center"/>
    </xf>
    <xf numFmtId="0" fontId="44" fillId="4" borderId="0" xfId="18" applyFont="1" applyFill="1" applyAlignment="1">
      <alignment horizontal="left" vertical="center" wrapText="1"/>
    </xf>
    <xf numFmtId="16" fontId="3" fillId="3" borderId="1" xfId="18" quotePrefix="1" applyNumberFormat="1" applyFont="1" applyFill="1" applyBorder="1" applyAlignment="1">
      <alignment horizontal="center" vertical="center" wrapText="1"/>
    </xf>
    <xf numFmtId="0" fontId="56" fillId="3" borderId="1" xfId="0" applyFont="1" applyFill="1" applyBorder="1" applyAlignment="1">
      <alignment horizontal="center" vertical="center" wrapText="1"/>
    </xf>
    <xf numFmtId="166" fontId="56" fillId="3" borderId="1" xfId="1" applyNumberFormat="1" applyFont="1" applyFill="1" applyBorder="1" applyAlignment="1">
      <alignment horizontal="right" vertical="center" wrapText="1"/>
    </xf>
    <xf numFmtId="0" fontId="44" fillId="3" borderId="1" xfId="0" applyFont="1" applyFill="1" applyBorder="1" applyAlignment="1">
      <alignment horizontal="center"/>
    </xf>
    <xf numFmtId="3" fontId="3" fillId="3" borderId="1" xfId="18" applyNumberFormat="1" applyFont="1" applyFill="1" applyBorder="1" applyAlignment="1">
      <alignment horizontal="right" vertical="center"/>
    </xf>
    <xf numFmtId="49" fontId="3" fillId="3" borderId="1" xfId="18" applyNumberFormat="1" applyFont="1" applyFill="1" applyBorder="1" applyAlignment="1">
      <alignment horizontal="center" vertical="center"/>
    </xf>
    <xf numFmtId="0" fontId="3" fillId="4" borderId="0" xfId="18" applyFont="1" applyFill="1" applyBorder="1" applyAlignment="1">
      <alignment horizontal="center" vertical="center" wrapText="1"/>
    </xf>
    <xf numFmtId="0" fontId="3" fillId="6" borderId="0" xfId="6" applyFont="1" applyFill="1"/>
    <xf numFmtId="0" fontId="3" fillId="3" borderId="1" xfId="6" applyFont="1" applyFill="1" applyBorder="1" applyAlignment="1">
      <alignment horizontal="left" vertical="center" wrapText="1"/>
    </xf>
    <xf numFmtId="0" fontId="3" fillId="4" borderId="0" xfId="6" applyFont="1" applyFill="1"/>
    <xf numFmtId="2" fontId="3" fillId="3" borderId="1" xfId="18" quotePrefix="1" applyNumberFormat="1" applyFont="1" applyFill="1" applyBorder="1" applyAlignment="1">
      <alignment horizontal="center" vertical="center" wrapText="1"/>
    </xf>
    <xf numFmtId="0" fontId="3" fillId="3" borderId="1" xfId="18" applyFont="1" applyFill="1" applyBorder="1" applyAlignment="1">
      <alignment horizontal="justify" vertical="center" wrapText="1"/>
    </xf>
    <xf numFmtId="17" fontId="3" fillId="3" borderId="1" xfId="18" quotePrefix="1" applyNumberFormat="1" applyFont="1" applyFill="1" applyBorder="1" applyAlignment="1">
      <alignment horizontal="center" vertical="center" wrapText="1"/>
    </xf>
    <xf numFmtId="0" fontId="3" fillId="0" borderId="1" xfId="0" applyFont="1" applyFill="1" applyBorder="1" applyAlignment="1">
      <alignment horizontal="left" vertical="center" wrapText="1"/>
    </xf>
    <xf numFmtId="1" fontId="3" fillId="3" borderId="1" xfId="14" applyNumberFormat="1" applyFont="1" applyFill="1" applyBorder="1" applyAlignment="1">
      <alignment vertical="center" wrapText="1"/>
    </xf>
    <xf numFmtId="1" fontId="3" fillId="3" borderId="1" xfId="14" applyNumberFormat="1"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3" borderId="1" xfId="7" applyFont="1" applyFill="1" applyBorder="1" applyAlignment="1">
      <alignment horizontal="center" vertical="center"/>
    </xf>
    <xf numFmtId="0" fontId="3" fillId="3" borderId="1" xfId="14" applyFont="1" applyFill="1" applyBorder="1" applyAlignment="1">
      <alignment horizontal="center" vertical="center" wrapText="1"/>
    </xf>
    <xf numFmtId="166" fontId="3" fillId="3" borderId="1" xfId="3" applyNumberFormat="1" applyFont="1" applyFill="1" applyBorder="1" applyAlignment="1">
      <alignment horizontal="center" vertical="center"/>
    </xf>
    <xf numFmtId="167" fontId="3" fillId="3" borderId="1" xfId="3" applyNumberFormat="1" applyFont="1" applyFill="1" applyBorder="1" applyAlignment="1">
      <alignment horizontal="center" vertical="center"/>
    </xf>
    <xf numFmtId="0" fontId="44" fillId="4" borderId="0" xfId="18" applyFont="1" applyFill="1" applyBorder="1" applyAlignment="1">
      <alignment horizontal="left" vertical="center" wrapText="1"/>
    </xf>
    <xf numFmtId="0" fontId="3" fillId="3" borderId="1" xfId="18" applyFont="1" applyFill="1" applyBorder="1" applyAlignment="1">
      <alignment horizontal="center" vertical="center" wrapText="1"/>
    </xf>
    <xf numFmtId="0" fontId="32" fillId="0" borderId="1" xfId="0" applyFont="1" applyFill="1" applyBorder="1" applyAlignment="1">
      <alignment horizontal="right" vertical="center" wrapText="1"/>
    </xf>
    <xf numFmtId="0" fontId="32" fillId="0"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1" xfId="8" applyFont="1" applyFill="1" applyBorder="1" applyAlignment="1">
      <alignment horizontal="center" vertical="center" wrapText="1"/>
    </xf>
    <xf numFmtId="0" fontId="26" fillId="0" borderId="0" xfId="8" applyFont="1" applyFill="1" applyAlignment="1">
      <alignment horizontal="center" vertical="center"/>
    </xf>
    <xf numFmtId="0" fontId="26" fillId="0" borderId="0" xfId="8" applyFont="1" applyFill="1" applyAlignment="1"/>
    <xf numFmtId="0" fontId="26" fillId="0" borderId="0" xfId="8" applyFont="1" applyFill="1"/>
    <xf numFmtId="0" fontId="26" fillId="0" borderId="0" xfId="8" applyFont="1" applyFill="1" applyAlignment="1">
      <alignment horizontal="left"/>
    </xf>
    <xf numFmtId="49" fontId="26" fillId="0" borderId="0" xfId="8" applyNumberFormat="1" applyFont="1" applyFill="1"/>
    <xf numFmtId="0" fontId="44" fillId="3" borderId="1" xfId="7" applyFont="1" applyFill="1" applyBorder="1" applyAlignment="1" applyProtection="1">
      <alignment horizontal="center" vertical="center"/>
      <protection locked="0"/>
    </xf>
    <xf numFmtId="0" fontId="44" fillId="3" borderId="1" xfId="0" applyFont="1" applyFill="1" applyBorder="1" applyAlignment="1" applyProtection="1">
      <alignment vertical="center" wrapText="1" readingOrder="1"/>
      <protection locked="0"/>
    </xf>
    <xf numFmtId="1" fontId="44" fillId="3" borderId="1" xfId="14" applyNumberFormat="1" applyFont="1" applyFill="1" applyBorder="1" applyAlignment="1" applyProtection="1">
      <alignment horizontal="center" vertical="center" wrapText="1"/>
      <protection locked="0"/>
    </xf>
    <xf numFmtId="173" fontId="44" fillId="3" borderId="1" xfId="1" applyNumberFormat="1" applyFont="1" applyFill="1" applyBorder="1" applyAlignment="1" applyProtection="1">
      <alignment horizontal="center" vertical="center" wrapText="1" readingOrder="1"/>
      <protection locked="0"/>
    </xf>
    <xf numFmtId="165" fontId="44" fillId="3" borderId="1" xfId="1" applyNumberFormat="1" applyFont="1" applyFill="1" applyBorder="1" applyAlignment="1" applyProtection="1">
      <alignment horizontal="right" vertical="center" wrapText="1" indent="1" readingOrder="1"/>
      <protection locked="0"/>
    </xf>
    <xf numFmtId="0" fontId="44" fillId="3" borderId="1" xfId="0" applyFont="1" applyFill="1" applyBorder="1" applyAlignment="1" applyProtection="1">
      <alignment horizontal="center" vertical="center" wrapText="1" readingOrder="1"/>
      <protection locked="0"/>
    </xf>
    <xf numFmtId="0" fontId="44" fillId="3" borderId="1" xfId="0" applyFont="1" applyFill="1" applyBorder="1" applyAlignment="1" applyProtection="1">
      <alignment horizontal="right" vertical="center" wrapText="1" indent="1" readingOrder="1"/>
      <protection locked="0"/>
    </xf>
    <xf numFmtId="165" fontId="44" fillId="3" borderId="1" xfId="1" applyFont="1" applyFill="1" applyBorder="1" applyAlignment="1" applyProtection="1">
      <alignment horizontal="right" vertical="center" wrapText="1" indent="1" readingOrder="1"/>
      <protection locked="0"/>
    </xf>
    <xf numFmtId="165" fontId="49" fillId="3" borderId="1" xfId="1" applyFont="1" applyFill="1" applyBorder="1" applyProtection="1">
      <protection locked="0"/>
    </xf>
    <xf numFmtId="173" fontId="44" fillId="3" borderId="1" xfId="1" applyNumberFormat="1" applyFont="1" applyFill="1" applyBorder="1" applyAlignment="1" applyProtection="1">
      <alignment horizontal="center"/>
      <protection locked="0"/>
    </xf>
    <xf numFmtId="165" fontId="44" fillId="3" borderId="1" xfId="1" applyNumberFormat="1" applyFont="1" applyFill="1" applyBorder="1" applyAlignment="1" applyProtection="1">
      <alignment horizontal="center"/>
      <protection locked="0"/>
    </xf>
    <xf numFmtId="165" fontId="44" fillId="3" borderId="1" xfId="1" applyFont="1" applyFill="1" applyBorder="1" applyAlignment="1" applyProtection="1">
      <alignment horizontal="center" vertical="center"/>
      <protection locked="0"/>
    </xf>
    <xf numFmtId="0" fontId="44" fillId="3" borderId="1" xfId="8" applyFont="1" applyFill="1" applyBorder="1" applyProtection="1">
      <protection locked="0"/>
    </xf>
    <xf numFmtId="0" fontId="45" fillId="7" borderId="1" xfId="8" applyFont="1" applyFill="1" applyBorder="1" applyAlignment="1">
      <alignment vertical="center"/>
    </xf>
    <xf numFmtId="0" fontId="45" fillId="7" borderId="1" xfId="8" applyFont="1" applyFill="1" applyBorder="1" applyAlignment="1">
      <alignment horizontal="center" vertical="center" wrapText="1"/>
    </xf>
    <xf numFmtId="0" fontId="45" fillId="7" borderId="1" xfId="8" applyFont="1" applyFill="1" applyBorder="1" applyAlignment="1">
      <alignment horizontal="center" vertical="center"/>
    </xf>
    <xf numFmtId="49" fontId="45" fillId="7" borderId="1" xfId="8" applyNumberFormat="1" applyFont="1" applyFill="1" applyBorder="1" applyAlignment="1">
      <alignment horizontal="center" vertical="center"/>
    </xf>
    <xf numFmtId="3" fontId="45" fillId="7" borderId="1" xfId="8" applyNumberFormat="1" applyFont="1" applyFill="1" applyBorder="1" applyAlignment="1">
      <alignment horizontal="center" vertical="center"/>
    </xf>
    <xf numFmtId="0" fontId="26" fillId="7" borderId="1" xfId="0" applyFont="1" applyFill="1" applyBorder="1" applyAlignment="1">
      <alignment horizontal="center"/>
    </xf>
    <xf numFmtId="0" fontId="26" fillId="7" borderId="1" xfId="0" applyFont="1" applyFill="1" applyBorder="1"/>
    <xf numFmtId="0" fontId="26" fillId="7" borderId="1" xfId="0" applyFont="1" applyFill="1" applyBorder="1" applyAlignment="1">
      <alignment horizontal="right"/>
    </xf>
    <xf numFmtId="0" fontId="29" fillId="7" borderId="1" xfId="0" applyFont="1" applyFill="1" applyBorder="1"/>
    <xf numFmtId="0" fontId="29" fillId="7" borderId="1" xfId="0" applyFont="1" applyFill="1" applyBorder="1" applyAlignment="1">
      <alignment horizontal="center"/>
    </xf>
    <xf numFmtId="167" fontId="13" fillId="7" borderId="1" xfId="3" applyNumberFormat="1" applyFont="1" applyFill="1" applyBorder="1" applyAlignment="1">
      <alignment horizontal="center" vertical="center" wrapText="1"/>
    </xf>
    <xf numFmtId="49" fontId="13" fillId="7" borderId="1" xfId="1" applyNumberFormat="1" applyFont="1" applyFill="1" applyBorder="1" applyAlignment="1">
      <alignment horizontal="center" vertical="center" wrapText="1"/>
    </xf>
    <xf numFmtId="166" fontId="13" fillId="7" borderId="1" xfId="3" applyNumberFormat="1" applyFont="1" applyFill="1" applyBorder="1" applyAlignment="1">
      <alignment horizontal="right" vertical="center" wrapText="1"/>
    </xf>
    <xf numFmtId="1" fontId="13" fillId="7" borderId="1" xfId="14" applyNumberFormat="1" applyFont="1" applyFill="1" applyBorder="1" applyAlignment="1">
      <alignment horizontal="left" vertical="center"/>
    </xf>
    <xf numFmtId="1" fontId="3" fillId="7" borderId="1" xfId="14" applyNumberFormat="1" applyFont="1" applyFill="1" applyBorder="1" applyAlignment="1">
      <alignment horizontal="center" vertical="center" wrapText="1"/>
    </xf>
    <xf numFmtId="1" fontId="3" fillId="7" borderId="1" xfId="7" applyNumberFormat="1" applyFont="1" applyFill="1" applyBorder="1" applyAlignment="1">
      <alignment horizontal="center" vertical="center" wrapText="1"/>
    </xf>
    <xf numFmtId="0" fontId="3" fillId="7" borderId="1" xfId="14" applyFont="1" applyFill="1" applyBorder="1" applyAlignment="1">
      <alignment horizontal="left" vertical="center" wrapText="1"/>
    </xf>
    <xf numFmtId="166" fontId="13" fillId="7" borderId="1" xfId="3" applyNumberFormat="1" applyFont="1" applyFill="1" applyBorder="1" applyAlignment="1">
      <alignment horizontal="right" vertical="center"/>
    </xf>
    <xf numFmtId="49" fontId="3" fillId="7" borderId="1" xfId="1" applyNumberFormat="1" applyFont="1" applyFill="1" applyBorder="1" applyAlignment="1">
      <alignment horizontal="center" vertical="center"/>
    </xf>
    <xf numFmtId="0" fontId="3" fillId="7" borderId="1" xfId="7" applyFont="1" applyFill="1" applyBorder="1" applyAlignment="1">
      <alignment horizontal="center" vertical="center"/>
    </xf>
    <xf numFmtId="166" fontId="3" fillId="7" borderId="1" xfId="3" applyNumberFormat="1" applyFont="1" applyFill="1" applyBorder="1" applyAlignment="1">
      <alignment horizontal="right" vertical="center"/>
    </xf>
    <xf numFmtId="0" fontId="13" fillId="5" borderId="1" xfId="8" applyFont="1" applyFill="1" applyBorder="1" applyAlignment="1">
      <alignment vertical="center" wrapText="1"/>
    </xf>
    <xf numFmtId="17" fontId="3" fillId="3" borderId="1" xfId="0" quotePrefix="1" applyNumberFormat="1" applyFont="1" applyFill="1" applyBorder="1" applyAlignment="1">
      <alignment horizontal="center" vertical="center" wrapText="1"/>
    </xf>
    <xf numFmtId="1" fontId="3" fillId="3" borderId="1" xfId="0" applyNumberFormat="1" applyFont="1" applyFill="1" applyBorder="1" applyAlignment="1">
      <alignment horizontal="center" vertical="center" wrapText="1"/>
    </xf>
    <xf numFmtId="0" fontId="13" fillId="3" borderId="1" xfId="18" applyFont="1" applyFill="1" applyBorder="1" applyAlignment="1">
      <alignment horizontal="center" vertical="center"/>
    </xf>
    <xf numFmtId="0" fontId="13" fillId="3" borderId="1" xfId="18" applyFont="1" applyFill="1" applyBorder="1" applyAlignment="1">
      <alignment horizontal="center" vertical="center" wrapText="1"/>
    </xf>
    <xf numFmtId="172" fontId="3" fillId="3" borderId="1" xfId="0" applyNumberFormat="1" applyFont="1" applyFill="1" applyBorder="1" applyAlignment="1">
      <alignment horizontal="left" vertical="center" wrapText="1"/>
    </xf>
    <xf numFmtId="49" fontId="3" fillId="3" borderId="1" xfId="18" applyNumberFormat="1" applyFont="1" applyFill="1" applyBorder="1" applyAlignment="1">
      <alignment horizontal="center"/>
    </xf>
    <xf numFmtId="0" fontId="44" fillId="3" borderId="1" xfId="0" applyFont="1" applyFill="1" applyBorder="1" applyAlignment="1"/>
    <xf numFmtId="0" fontId="44" fillId="3" borderId="1" xfId="0" applyFont="1" applyFill="1" applyBorder="1" applyAlignment="1">
      <alignment horizontal="center" wrapText="1"/>
    </xf>
    <xf numFmtId="0" fontId="55" fillId="3" borderId="1" xfId="0" applyFont="1" applyFill="1" applyBorder="1" applyAlignment="1">
      <alignment vertical="center" wrapText="1"/>
    </xf>
    <xf numFmtId="0" fontId="44" fillId="8" borderId="1" xfId="8" applyNumberFormat="1" applyFont="1" applyFill="1" applyBorder="1" applyAlignment="1">
      <alignment horizontal="center" vertical="center" wrapText="1"/>
    </xf>
    <xf numFmtId="0" fontId="44" fillId="8" borderId="1" xfId="8" applyFont="1" applyFill="1" applyBorder="1" applyAlignment="1">
      <alignment horizontal="center" vertical="center" wrapText="1"/>
    </xf>
    <xf numFmtId="1" fontId="44" fillId="8" borderId="1" xfId="8" quotePrefix="1" applyNumberFormat="1" applyFont="1" applyFill="1" applyBorder="1" applyAlignment="1">
      <alignment horizontal="center" vertical="center" wrapText="1"/>
    </xf>
    <xf numFmtId="49" fontId="44" fillId="8" borderId="1" xfId="8" applyNumberFormat="1" applyFont="1" applyFill="1" applyBorder="1" applyAlignment="1">
      <alignment horizontal="center" vertical="center" wrapText="1"/>
    </xf>
    <xf numFmtId="17" fontId="44" fillId="8" borderId="1" xfId="10" quotePrefix="1" applyNumberFormat="1" applyFont="1" applyFill="1" applyBorder="1" applyAlignment="1">
      <alignment horizontal="center" vertical="center" wrapText="1"/>
    </xf>
    <xf numFmtId="0" fontId="41" fillId="8" borderId="1" xfId="7" applyFont="1" applyFill="1" applyBorder="1" applyAlignment="1">
      <alignment horizontal="center" vertical="center" wrapText="1"/>
    </xf>
    <xf numFmtId="0" fontId="44" fillId="8" borderId="1" xfId="14" applyFont="1" applyFill="1" applyBorder="1" applyAlignment="1">
      <alignment horizontal="center" vertical="center" wrapText="1"/>
    </xf>
    <xf numFmtId="0" fontId="57" fillId="3" borderId="1" xfId="18" applyFont="1" applyFill="1" applyBorder="1" applyAlignment="1">
      <alignment vertical="center" wrapText="1"/>
    </xf>
    <xf numFmtId="0" fontId="31" fillId="7" borderId="1" xfId="0" applyFont="1" applyFill="1" applyBorder="1" applyAlignment="1">
      <alignment horizontal="center" vertical="center" wrapText="1"/>
    </xf>
    <xf numFmtId="0" fontId="56" fillId="0" borderId="1" xfId="0" applyFont="1" applyBorder="1" applyAlignment="1">
      <alignment vertical="center" wrapText="1"/>
    </xf>
    <xf numFmtId="167" fontId="56" fillId="0" borderId="1" xfId="1" applyNumberFormat="1" applyFont="1" applyBorder="1" applyAlignment="1">
      <alignment vertical="center" wrapText="1"/>
    </xf>
    <xf numFmtId="0" fontId="44" fillId="4" borderId="0" xfId="7" applyFont="1" applyFill="1" applyAlignment="1">
      <alignment horizontal="center" vertical="center"/>
    </xf>
    <xf numFmtId="0" fontId="31" fillId="7" borderId="1" xfId="0" applyFont="1" applyFill="1" applyBorder="1" applyAlignment="1">
      <alignment horizontal="center" vertical="center" wrapText="1"/>
    </xf>
    <xf numFmtId="17" fontId="44" fillId="3" borderId="1" xfId="0" quotePrefix="1" applyNumberFormat="1" applyFont="1" applyFill="1" applyBorder="1" applyAlignment="1">
      <alignment horizontal="center" vertical="center" wrapText="1" readingOrder="1"/>
    </xf>
    <xf numFmtId="0" fontId="44" fillId="3" borderId="1" xfId="0" quotePrefix="1" applyNumberFormat="1" applyFont="1" applyFill="1" applyBorder="1" applyAlignment="1">
      <alignment horizontal="center" vertical="center" wrapText="1" readingOrder="1"/>
    </xf>
    <xf numFmtId="165" fontId="3" fillId="3" borderId="1" xfId="1" applyFont="1" applyFill="1" applyBorder="1" applyAlignment="1">
      <alignment horizontal="center" vertical="center"/>
    </xf>
    <xf numFmtId="17" fontId="3" fillId="3" borderId="1" xfId="10" quotePrefix="1" applyNumberFormat="1" applyFont="1" applyFill="1" applyBorder="1" applyAlignment="1">
      <alignment horizontal="center" vertical="center" wrapText="1"/>
    </xf>
    <xf numFmtId="0" fontId="31" fillId="7" borderId="1" xfId="0" applyFont="1" applyFill="1" applyBorder="1" applyAlignment="1">
      <alignment horizontal="center" vertical="center" wrapText="1"/>
    </xf>
    <xf numFmtId="0" fontId="3" fillId="3" borderId="1" xfId="0" applyFont="1" applyFill="1" applyBorder="1" applyAlignment="1">
      <alignment horizontal="center" vertical="center" wrapText="1" readingOrder="1"/>
    </xf>
    <xf numFmtId="172" fontId="3" fillId="3" borderId="1" xfId="0" applyNumberFormat="1" applyFont="1" applyFill="1" applyBorder="1" applyAlignment="1">
      <alignment horizontal="center" vertical="center"/>
    </xf>
    <xf numFmtId="0" fontId="3" fillId="3" borderId="1" xfId="18" quotePrefix="1" applyFont="1" applyFill="1" applyBorder="1" applyAlignment="1">
      <alignment horizontal="center" vertical="center" wrapText="1"/>
    </xf>
    <xf numFmtId="0" fontId="3" fillId="3" borderId="1" xfId="18" applyFont="1" applyFill="1" applyBorder="1" applyAlignment="1">
      <alignment horizontal="center" vertical="center" wrapText="1"/>
    </xf>
    <xf numFmtId="172" fontId="3" fillId="3" borderId="1" xfId="0" applyNumberFormat="1" applyFont="1" applyFill="1" applyBorder="1" applyAlignment="1">
      <alignment horizontal="left" vertical="center"/>
    </xf>
    <xf numFmtId="0" fontId="13" fillId="5" borderId="1" xfId="18" applyFont="1" applyFill="1" applyBorder="1" applyAlignment="1">
      <alignment horizontal="left" vertical="center" wrapText="1"/>
    </xf>
    <xf numFmtId="0" fontId="13" fillId="5" borderId="1" xfId="18" applyFont="1" applyFill="1" applyBorder="1" applyAlignment="1">
      <alignment horizontal="center" vertical="center"/>
    </xf>
    <xf numFmtId="0" fontId="13" fillId="5" borderId="1" xfId="18"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1" xfId="8" applyFont="1" applyFill="1" applyBorder="1" applyAlignment="1">
      <alignment horizontal="center" vertical="center" wrapText="1"/>
    </xf>
    <xf numFmtId="0" fontId="13" fillId="7" borderId="1" xfId="7" applyFont="1" applyFill="1" applyBorder="1" applyAlignment="1">
      <alignment horizontal="center" vertical="center"/>
    </xf>
    <xf numFmtId="0" fontId="3" fillId="3" borderId="1" xfId="8" applyFont="1" applyFill="1" applyBorder="1" applyAlignment="1">
      <alignment horizontal="center" vertical="center"/>
    </xf>
    <xf numFmtId="0" fontId="41" fillId="8" borderId="1" xfId="8" applyFont="1" applyFill="1" applyBorder="1" applyAlignment="1">
      <alignment horizontal="left" vertical="center" wrapText="1"/>
    </xf>
    <xf numFmtId="0" fontId="41" fillId="8" borderId="1" xfId="7" applyFont="1" applyFill="1" applyBorder="1" applyAlignment="1">
      <alignment horizontal="left" vertical="center" wrapText="1"/>
    </xf>
    <xf numFmtId="0" fontId="44" fillId="3" borderId="0" xfId="8" applyFont="1" applyFill="1" applyAlignment="1">
      <alignment horizontal="center" vertical="center" wrapText="1"/>
    </xf>
    <xf numFmtId="0" fontId="41" fillId="8" borderId="1" xfId="8" applyFont="1" applyFill="1" applyBorder="1" applyAlignment="1">
      <alignment horizontal="center" vertical="center" wrapText="1"/>
    </xf>
    <xf numFmtId="0" fontId="41" fillId="8" borderId="1" xfId="8" applyNumberFormat="1" applyFont="1" applyFill="1" applyBorder="1" applyAlignment="1">
      <alignment horizontal="center" vertical="center" wrapText="1"/>
    </xf>
    <xf numFmtId="0" fontId="13" fillId="3" borderId="1" xfId="7" applyFont="1" applyFill="1" applyBorder="1" applyAlignment="1">
      <alignment horizontal="center" vertical="center"/>
    </xf>
    <xf numFmtId="167" fontId="13" fillId="3" borderId="1" xfId="3" applyNumberFormat="1" applyFont="1" applyFill="1" applyBorder="1" applyAlignment="1">
      <alignment horizontal="center" vertical="center" wrapText="1"/>
    </xf>
    <xf numFmtId="3" fontId="13" fillId="5" borderId="1" xfId="18" applyNumberFormat="1" applyFont="1" applyFill="1" applyBorder="1" applyAlignment="1">
      <alignment horizontal="right" vertical="center"/>
    </xf>
    <xf numFmtId="3" fontId="3" fillId="0" borderId="1" xfId="0" applyNumberFormat="1" applyFont="1" applyFill="1" applyBorder="1" applyAlignment="1">
      <alignment horizontal="right" vertical="center"/>
    </xf>
    <xf numFmtId="3" fontId="13" fillId="3" borderId="1" xfId="18" applyNumberFormat="1" applyFont="1" applyFill="1" applyBorder="1" applyAlignment="1">
      <alignment horizontal="right" vertical="center" wrapText="1"/>
    </xf>
    <xf numFmtId="3" fontId="3" fillId="3" borderId="1" xfId="0" applyNumberFormat="1" applyFont="1" applyFill="1" applyBorder="1" applyAlignment="1">
      <alignment horizontal="right" vertical="center" wrapText="1" readingOrder="1"/>
    </xf>
    <xf numFmtId="3" fontId="3" fillId="3" borderId="1" xfId="18" applyNumberFormat="1" applyFont="1" applyFill="1" applyBorder="1" applyAlignment="1">
      <alignment horizontal="right" vertical="center" wrapText="1"/>
    </xf>
    <xf numFmtId="3" fontId="13" fillId="5" borderId="1" xfId="18" applyNumberFormat="1" applyFont="1" applyFill="1" applyBorder="1" applyAlignment="1">
      <alignment horizontal="right" vertical="center" wrapText="1"/>
    </xf>
    <xf numFmtId="168" fontId="3" fillId="3" borderId="1" xfId="18" applyNumberFormat="1" applyFont="1" applyFill="1" applyBorder="1" applyAlignment="1">
      <alignment horizontal="right" vertical="center"/>
    </xf>
    <xf numFmtId="168" fontId="3" fillId="3" borderId="1" xfId="0" applyNumberFormat="1" applyFont="1" applyFill="1" applyBorder="1" applyAlignment="1">
      <alignment horizontal="right" vertical="center"/>
    </xf>
    <xf numFmtId="169" fontId="3" fillId="3" borderId="1" xfId="18" applyNumberFormat="1" applyFont="1" applyFill="1" applyBorder="1" applyAlignment="1">
      <alignment horizontal="right" vertical="center" wrapText="1"/>
    </xf>
    <xf numFmtId="0" fontId="3" fillId="3" borderId="1" xfId="18" applyFont="1" applyFill="1" applyBorder="1" applyAlignment="1">
      <alignment horizontal="right" vertical="center"/>
    </xf>
    <xf numFmtId="0" fontId="3" fillId="3" borderId="0" xfId="18" applyFont="1" applyFill="1" applyAlignment="1">
      <alignment horizontal="right" vertical="center"/>
    </xf>
    <xf numFmtId="168" fontId="3" fillId="3" borderId="1" xfId="0" applyNumberFormat="1" applyFont="1" applyFill="1" applyBorder="1" applyAlignment="1">
      <alignment horizontal="right" vertical="center" wrapText="1"/>
    </xf>
    <xf numFmtId="0" fontId="49" fillId="3" borderId="1" xfId="0" applyFont="1" applyFill="1" applyBorder="1" applyAlignment="1">
      <alignment horizontal="center"/>
    </xf>
    <xf numFmtId="0" fontId="3" fillId="3" borderId="1" xfId="18" applyFont="1" applyFill="1" applyBorder="1" applyAlignment="1">
      <alignment horizontal="right" vertical="center" wrapText="1"/>
    </xf>
    <xf numFmtId="166" fontId="3" fillId="3" borderId="1" xfId="3" applyNumberFormat="1" applyFont="1" applyFill="1" applyBorder="1" applyAlignment="1">
      <alignment vertical="center"/>
    </xf>
    <xf numFmtId="165" fontId="3" fillId="3" borderId="1" xfId="1" quotePrefix="1" applyFont="1" applyFill="1" applyBorder="1" applyAlignment="1">
      <alignment horizontal="center" vertical="center"/>
    </xf>
    <xf numFmtId="166" fontId="3" fillId="3" borderId="1" xfId="3" quotePrefix="1" applyNumberFormat="1" applyFont="1" applyFill="1" applyBorder="1" applyAlignment="1">
      <alignment horizontal="center" vertical="center"/>
    </xf>
    <xf numFmtId="3" fontId="3" fillId="3" borderId="1" xfId="8" applyNumberFormat="1" applyFont="1" applyFill="1" applyBorder="1" applyAlignment="1">
      <alignment vertical="center"/>
    </xf>
    <xf numFmtId="167" fontId="13" fillId="7" borderId="1" xfId="3" applyNumberFormat="1" applyFont="1" applyFill="1" applyBorder="1" applyAlignment="1">
      <alignment horizontal="right" vertical="center" wrapText="1"/>
    </xf>
    <xf numFmtId="166" fontId="13" fillId="5" borderId="1" xfId="8" applyNumberFormat="1" applyFont="1" applyFill="1" applyBorder="1" applyAlignment="1">
      <alignment horizontal="right" vertical="center" wrapText="1"/>
    </xf>
    <xf numFmtId="0" fontId="3" fillId="3" borderId="1" xfId="0" applyFont="1" applyFill="1" applyBorder="1" applyAlignment="1">
      <alignment horizontal="right" vertical="center" wrapText="1" readingOrder="1"/>
    </xf>
    <xf numFmtId="166" fontId="3" fillId="3" borderId="1" xfId="1" applyNumberFormat="1" applyFont="1" applyFill="1" applyBorder="1" applyAlignment="1">
      <alignment horizontal="right" vertical="center" wrapText="1" readingOrder="1"/>
    </xf>
    <xf numFmtId="0" fontId="3" fillId="3" borderId="1" xfId="8" applyFont="1" applyFill="1" applyBorder="1" applyAlignment="1">
      <alignment vertical="center"/>
    </xf>
    <xf numFmtId="0" fontId="3" fillId="3" borderId="1" xfId="8" applyFont="1" applyFill="1" applyBorder="1" applyAlignment="1">
      <alignment vertical="center" wrapText="1"/>
    </xf>
    <xf numFmtId="0" fontId="41" fillId="5" borderId="1" xfId="0" applyFont="1" applyFill="1" applyBorder="1" applyAlignment="1">
      <alignment horizontal="center" vertical="center" wrapText="1" readingOrder="1"/>
    </xf>
    <xf numFmtId="165" fontId="44" fillId="0" borderId="1" xfId="1" applyNumberFormat="1" applyFont="1" applyBorder="1" applyAlignment="1">
      <alignment vertical="center" wrapText="1" readingOrder="1"/>
    </xf>
    <xf numFmtId="167" fontId="44" fillId="0" borderId="1" xfId="1" applyNumberFormat="1" applyFont="1" applyBorder="1" applyAlignment="1">
      <alignment vertical="center" wrapText="1" readingOrder="1"/>
    </xf>
    <xf numFmtId="169" fontId="44" fillId="0" borderId="1" xfId="0" applyNumberFormat="1" applyFont="1" applyBorder="1" applyAlignment="1">
      <alignment vertical="center" wrapText="1" readingOrder="1"/>
    </xf>
    <xf numFmtId="3" fontId="44" fillId="0" borderId="1" xfId="0" applyNumberFormat="1" applyFont="1" applyBorder="1" applyAlignment="1">
      <alignment vertical="center" wrapText="1" readingOrder="1"/>
    </xf>
    <xf numFmtId="165" fontId="44" fillId="3" borderId="1" xfId="1" applyNumberFormat="1" applyFont="1" applyFill="1" applyBorder="1" applyAlignment="1">
      <alignment vertical="center" wrapText="1" readingOrder="1"/>
    </xf>
    <xf numFmtId="167" fontId="44" fillId="3" borderId="1" xfId="1" applyNumberFormat="1" applyFont="1" applyFill="1" applyBorder="1" applyAlignment="1">
      <alignment vertical="center" wrapText="1" readingOrder="1"/>
    </xf>
    <xf numFmtId="0" fontId="44" fillId="3" borderId="0" xfId="8" applyFont="1" applyFill="1" applyAlignment="1">
      <alignment horizontal="left" wrapText="1"/>
    </xf>
    <xf numFmtId="166" fontId="41" fillId="8" borderId="1" xfId="1" applyNumberFormat="1" applyFont="1" applyFill="1" applyBorder="1" applyAlignment="1">
      <alignment horizontal="center" vertical="center" wrapText="1"/>
    </xf>
    <xf numFmtId="49" fontId="41" fillId="8" borderId="1" xfId="8" applyNumberFormat="1" applyFont="1" applyFill="1" applyBorder="1" applyAlignment="1">
      <alignment horizontal="center" vertical="center" wrapText="1"/>
    </xf>
    <xf numFmtId="166" fontId="41" fillId="8" borderId="1" xfId="1" applyNumberFormat="1" applyFont="1" applyFill="1" applyBorder="1" applyAlignment="1">
      <alignment horizontal="right" vertical="center" wrapText="1"/>
    </xf>
    <xf numFmtId="0" fontId="44" fillId="3" borderId="0" xfId="18" applyFont="1" applyFill="1" applyAlignment="1">
      <alignment wrapText="1"/>
    </xf>
    <xf numFmtId="0" fontId="44" fillId="3" borderId="0" xfId="7" applyFont="1" applyFill="1" applyAlignment="1">
      <alignment horizontal="center" vertical="center" wrapText="1"/>
    </xf>
    <xf numFmtId="1" fontId="44" fillId="3" borderId="1" xfId="6" applyNumberFormat="1" applyFont="1" applyFill="1" applyBorder="1" applyAlignment="1">
      <alignment vertical="center" wrapText="1"/>
    </xf>
    <xf numFmtId="168" fontId="44" fillId="3" borderId="1" xfId="18" applyNumberFormat="1" applyFont="1" applyFill="1" applyBorder="1" applyAlignment="1">
      <alignment horizontal="center" vertical="center" wrapText="1"/>
    </xf>
    <xf numFmtId="0" fontId="41" fillId="8" borderId="1" xfId="0" applyFont="1" applyFill="1" applyBorder="1" applyAlignment="1" applyProtection="1">
      <alignment horizontal="center" vertical="center" wrapText="1"/>
    </xf>
    <xf numFmtId="0" fontId="44" fillId="3" borderId="1" xfId="0" applyFont="1" applyFill="1" applyBorder="1" applyAlignment="1" applyProtection="1">
      <alignment horizontal="center" vertical="center" wrapText="1"/>
    </xf>
    <xf numFmtId="1" fontId="44" fillId="3" borderId="1" xfId="14" applyNumberFormat="1" applyFont="1" applyFill="1" applyBorder="1" applyAlignment="1">
      <alignment horizontal="left" vertical="center" wrapText="1"/>
    </xf>
    <xf numFmtId="49" fontId="44" fillId="3" borderId="1" xfId="8" applyNumberFormat="1" applyFont="1" applyFill="1" applyBorder="1" applyAlignment="1">
      <alignment horizontal="center" vertical="center" wrapText="1"/>
    </xf>
    <xf numFmtId="17" fontId="44" fillId="3" borderId="1" xfId="7" quotePrefix="1" applyNumberFormat="1" applyFont="1" applyFill="1" applyBorder="1" applyAlignment="1">
      <alignment horizontal="center" vertical="center" wrapText="1"/>
    </xf>
    <xf numFmtId="0" fontId="44" fillId="3" borderId="1" xfId="0" applyFont="1" applyFill="1" applyBorder="1" applyAlignment="1">
      <alignment horizontal="left" wrapText="1"/>
    </xf>
    <xf numFmtId="0" fontId="44" fillId="3" borderId="1" xfId="0" applyFont="1" applyFill="1" applyBorder="1" applyAlignment="1">
      <alignment horizontal="left" vertical="top" wrapText="1"/>
    </xf>
    <xf numFmtId="166" fontId="44" fillId="3" borderId="1" xfId="1" applyNumberFormat="1" applyFont="1" applyFill="1" applyBorder="1" applyAlignment="1">
      <alignment horizontal="right" vertical="top" wrapText="1"/>
    </xf>
    <xf numFmtId="17" fontId="44" fillId="3" borderId="1" xfId="7" quotePrefix="1" applyNumberFormat="1" applyFont="1" applyFill="1" applyBorder="1" applyAlignment="1">
      <alignment horizontal="center" wrapText="1"/>
    </xf>
    <xf numFmtId="1" fontId="44" fillId="3" borderId="1" xfId="7" applyNumberFormat="1" applyFont="1" applyFill="1" applyBorder="1" applyAlignment="1">
      <alignment vertical="center" wrapText="1"/>
    </xf>
    <xf numFmtId="1" fontId="44" fillId="3" borderId="1" xfId="14" applyNumberFormat="1" applyFont="1" applyFill="1" applyBorder="1" applyAlignment="1">
      <alignment vertical="center" wrapText="1"/>
    </xf>
    <xf numFmtId="1" fontId="44" fillId="3" borderId="1" xfId="14" applyNumberFormat="1" applyFont="1" applyFill="1" applyBorder="1" applyAlignment="1">
      <alignment horizontal="center" vertical="center" wrapText="1"/>
    </xf>
    <xf numFmtId="1" fontId="44" fillId="3" borderId="1" xfId="6" applyNumberFormat="1" applyFont="1" applyFill="1" applyBorder="1" applyAlignment="1">
      <alignment horizontal="center" vertical="center" wrapText="1"/>
    </xf>
    <xf numFmtId="1" fontId="41" fillId="8" borderId="1" xfId="14" applyNumberFormat="1" applyFont="1" applyFill="1" applyBorder="1" applyAlignment="1">
      <alignment horizontal="left" vertical="center" wrapText="1"/>
    </xf>
    <xf numFmtId="166" fontId="44" fillId="8" borderId="1" xfId="3" applyNumberFormat="1" applyFont="1" applyFill="1" applyBorder="1" applyAlignment="1">
      <alignment horizontal="center" vertical="center" wrapText="1"/>
    </xf>
    <xf numFmtId="0" fontId="44" fillId="3" borderId="1" xfId="8" applyFont="1" applyFill="1" applyBorder="1" applyAlignment="1">
      <alignment horizontal="center" wrapText="1"/>
    </xf>
    <xf numFmtId="4" fontId="44" fillId="3" borderId="1" xfId="0" quotePrefix="1" applyNumberFormat="1" applyFont="1" applyFill="1" applyBorder="1" applyAlignment="1">
      <alignment horizontal="center" vertical="center" wrapText="1"/>
    </xf>
    <xf numFmtId="49" fontId="3" fillId="3" borderId="1" xfId="18" applyNumberFormat="1" applyFont="1" applyFill="1" applyBorder="1" applyAlignment="1">
      <alignment horizontal="center" vertical="center" wrapText="1"/>
    </xf>
    <xf numFmtId="167" fontId="44" fillId="3" borderId="1" xfId="3" quotePrefix="1" applyNumberFormat="1" applyFont="1" applyFill="1" applyBorder="1" applyAlignment="1">
      <alignment horizontal="center" vertical="center" wrapText="1"/>
    </xf>
    <xf numFmtId="0" fontId="44" fillId="3" borderId="0" xfId="8" applyNumberFormat="1" applyFont="1" applyFill="1" applyAlignment="1">
      <alignment horizontal="center" wrapText="1"/>
    </xf>
    <xf numFmtId="0" fontId="44" fillId="3" borderId="0" xfId="8" applyFont="1" applyFill="1" applyAlignment="1">
      <alignment horizontal="center" wrapText="1"/>
    </xf>
    <xf numFmtId="166" fontId="44" fillId="3" borderId="0" xfId="1" applyNumberFormat="1" applyFont="1" applyFill="1" applyAlignment="1">
      <alignment horizontal="right" vertical="center" wrapText="1"/>
    </xf>
    <xf numFmtId="49" fontId="44" fillId="3" borderId="0" xfId="8" applyNumberFormat="1" applyFont="1" applyFill="1" applyAlignment="1">
      <alignment horizontal="center" wrapText="1"/>
    </xf>
    <xf numFmtId="16" fontId="44" fillId="3" borderId="1" xfId="0" quotePrefix="1" applyNumberFormat="1" applyFont="1" applyFill="1" applyBorder="1" applyAlignment="1">
      <alignment horizontal="center" vertical="center" wrapText="1"/>
    </xf>
    <xf numFmtId="0" fontId="44" fillId="3" borderId="1" xfId="0" quotePrefix="1" applyFont="1" applyFill="1" applyBorder="1" applyAlignment="1">
      <alignment horizontal="center" vertical="center" wrapText="1"/>
    </xf>
    <xf numFmtId="0" fontId="44" fillId="3" borderId="1" xfId="0" quotePrefix="1" applyFont="1" applyFill="1" applyBorder="1" applyAlignment="1">
      <alignment horizontal="center" vertical="center" wrapText="1" readingOrder="1"/>
    </xf>
    <xf numFmtId="49" fontId="44" fillId="3" borderId="1" xfId="8" quotePrefix="1" applyNumberFormat="1" applyFont="1" applyFill="1" applyBorder="1" applyAlignment="1">
      <alignment horizontal="center" vertical="center" wrapText="1"/>
    </xf>
    <xf numFmtId="17" fontId="44" fillId="3" borderId="1" xfId="0" quotePrefix="1" applyNumberFormat="1" applyFont="1" applyFill="1" applyBorder="1" applyAlignment="1">
      <alignment horizontal="center" vertical="center" wrapText="1"/>
    </xf>
    <xf numFmtId="0" fontId="44" fillId="3" borderId="1" xfId="16" applyFont="1" applyFill="1" applyBorder="1" applyAlignment="1">
      <alignment horizontal="center" vertical="center" wrapText="1"/>
    </xf>
    <xf numFmtId="0" fontId="44" fillId="3" borderId="1" xfId="12" applyFont="1" applyFill="1" applyBorder="1" applyAlignment="1">
      <alignment horizontal="center" vertical="center" wrapText="1"/>
    </xf>
    <xf numFmtId="0" fontId="56" fillId="0" borderId="1" xfId="0" applyFont="1" applyBorder="1" applyAlignment="1">
      <alignment horizontal="right" vertical="center" wrapText="1"/>
    </xf>
    <xf numFmtId="0" fontId="3" fillId="3" borderId="0" xfId="7" applyFont="1" applyFill="1" applyAlignment="1">
      <alignment horizontal="right"/>
    </xf>
    <xf numFmtId="0" fontId="3" fillId="3" borderId="1" xfId="12" applyFont="1" applyFill="1" applyBorder="1" applyAlignment="1">
      <alignment vertical="center" wrapText="1"/>
    </xf>
    <xf numFmtId="0" fontId="44" fillId="0" borderId="1" xfId="0" applyFont="1" applyBorder="1" applyAlignment="1">
      <alignment horizontal="right" vertical="center" wrapText="1" readingOrder="1"/>
    </xf>
    <xf numFmtId="166" fontId="44" fillId="3" borderId="1" xfId="1" applyNumberFormat="1" applyFont="1" applyFill="1" applyBorder="1" applyAlignment="1">
      <alignment horizontal="right" vertical="center" wrapText="1" shrinkToFit="1"/>
    </xf>
    <xf numFmtId="3" fontId="44" fillId="3" borderId="1" xfId="0" quotePrefix="1" applyNumberFormat="1" applyFont="1" applyFill="1" applyBorder="1" applyAlignment="1">
      <alignment horizontal="center" vertical="center" wrapText="1"/>
    </xf>
    <xf numFmtId="167" fontId="44" fillId="3" borderId="1" xfId="1" quotePrefix="1" applyNumberFormat="1" applyFont="1" applyFill="1" applyBorder="1" applyAlignment="1">
      <alignment horizontal="center" wrapText="1"/>
    </xf>
    <xf numFmtId="166" fontId="10" fillId="0" borderId="0" xfId="5" applyNumberFormat="1" applyFont="1" applyBorder="1" applyAlignment="1">
      <alignment horizontal="center" vertical="center" wrapText="1"/>
    </xf>
    <xf numFmtId="166" fontId="10" fillId="0" borderId="0" xfId="5" applyNumberFormat="1" applyFont="1" applyBorder="1" applyAlignment="1">
      <alignment horizontal="center" vertical="center"/>
    </xf>
    <xf numFmtId="0" fontId="10" fillId="0" borderId="0" xfId="5" applyFont="1" applyAlignment="1">
      <alignment horizontal="right"/>
    </xf>
    <xf numFmtId="166" fontId="11" fillId="0" borderId="0" xfId="5" applyNumberFormat="1" applyFont="1" applyBorder="1" applyAlignment="1">
      <alignment horizontal="center" vertical="center"/>
    </xf>
    <xf numFmtId="0" fontId="13" fillId="0" borderId="35" xfId="0" applyFont="1" applyBorder="1" applyAlignment="1">
      <alignment horizontal="right"/>
    </xf>
    <xf numFmtId="0" fontId="3" fillId="0" borderId="35" xfId="0" applyFont="1" applyBorder="1" applyAlignment="1">
      <alignment horizontal="right"/>
    </xf>
    <xf numFmtId="0" fontId="14" fillId="0" borderId="0" xfId="0" applyFont="1" applyAlignment="1">
      <alignment horizontal="center" vertical="center" wrapText="1"/>
    </xf>
    <xf numFmtId="0" fontId="25" fillId="0" borderId="0" xfId="0" applyFont="1" applyAlignment="1">
      <alignment horizontal="left" vertical="center"/>
    </xf>
    <xf numFmtId="0" fontId="13" fillId="0" borderId="5" xfId="0" applyFont="1" applyBorder="1" applyAlignment="1">
      <alignment horizontal="center" vertical="center"/>
    </xf>
    <xf numFmtId="0" fontId="13" fillId="0" borderId="15" xfId="0" applyFont="1" applyBorder="1" applyAlignment="1">
      <alignment horizontal="center" vertical="center"/>
    </xf>
    <xf numFmtId="0" fontId="13" fillId="0" borderId="14" xfId="0" applyFont="1" applyBorder="1" applyAlignment="1">
      <alignment horizontal="center" vertical="center"/>
    </xf>
    <xf numFmtId="0" fontId="13" fillId="0" borderId="13" xfId="0" applyFont="1" applyBorder="1" applyAlignment="1">
      <alignment horizontal="center" vertical="center"/>
    </xf>
    <xf numFmtId="0" fontId="13" fillId="0" borderId="6" xfId="0" applyFont="1" applyBorder="1" applyAlignment="1">
      <alignment horizontal="center" vertical="center" wrapText="1"/>
    </xf>
    <xf numFmtId="0" fontId="13" fillId="0" borderId="16" xfId="0" applyFont="1" applyBorder="1" applyAlignment="1">
      <alignment horizontal="center" vertical="center" wrapText="1"/>
    </xf>
    <xf numFmtId="0" fontId="13" fillId="0" borderId="7" xfId="0" applyFont="1" applyBorder="1" applyAlignment="1">
      <alignment horizontal="center" vertical="center"/>
    </xf>
    <xf numFmtId="0" fontId="13" fillId="0" borderId="36" xfId="0" applyFont="1" applyBorder="1" applyAlignment="1">
      <alignment horizontal="left" vertical="center"/>
    </xf>
    <xf numFmtId="0" fontId="13" fillId="0" borderId="37" xfId="0" applyFont="1" applyBorder="1" applyAlignment="1">
      <alignment horizontal="left" vertical="center"/>
    </xf>
    <xf numFmtId="0" fontId="13" fillId="0" borderId="18" xfId="0" applyFont="1" applyBorder="1" applyAlignment="1">
      <alignment horizontal="left" vertical="center"/>
    </xf>
    <xf numFmtId="0" fontId="32" fillId="3" borderId="1" xfId="0" applyFont="1" applyFill="1" applyBorder="1" applyAlignment="1">
      <alignment horizontal="center" vertical="center" wrapText="1"/>
    </xf>
    <xf numFmtId="0" fontId="31" fillId="7" borderId="1" xfId="0" applyFont="1" applyFill="1" applyBorder="1" applyAlignment="1">
      <alignment horizontal="center" vertical="center" wrapText="1"/>
    </xf>
    <xf numFmtId="0" fontId="30" fillId="7" borderId="1" xfId="0" applyFont="1" applyFill="1" applyBorder="1" applyAlignment="1">
      <alignment horizontal="left" vertical="center" wrapText="1"/>
    </xf>
    <xf numFmtId="0" fontId="30" fillId="3" borderId="1" xfId="0" applyFont="1" applyFill="1" applyBorder="1" applyAlignment="1">
      <alignment horizontal="left" vertical="center" wrapText="1"/>
    </xf>
    <xf numFmtId="0" fontId="29" fillId="3" borderId="0" xfId="6" applyFont="1" applyFill="1" applyAlignment="1">
      <alignment horizontal="center" vertical="center" wrapText="1"/>
    </xf>
    <xf numFmtId="0" fontId="26" fillId="3" borderId="1" xfId="0" applyFont="1" applyFill="1" applyBorder="1" applyAlignment="1">
      <alignment horizontal="center" vertical="center" wrapText="1"/>
    </xf>
    <xf numFmtId="0" fontId="26" fillId="3" borderId="1" xfId="0" applyFont="1" applyFill="1" applyBorder="1" applyAlignment="1">
      <alignment horizontal="center" vertical="center"/>
    </xf>
    <xf numFmtId="0" fontId="31" fillId="7" borderId="1" xfId="0" applyFont="1" applyFill="1" applyBorder="1" applyAlignment="1">
      <alignment horizontal="left" vertical="center" wrapText="1"/>
    </xf>
    <xf numFmtId="0" fontId="32" fillId="3" borderId="14" xfId="0" applyFont="1" applyFill="1" applyBorder="1" applyAlignment="1">
      <alignment horizontal="center" vertical="top" wrapText="1"/>
    </xf>
    <xf numFmtId="0" fontId="32" fillId="3" borderId="3" xfId="0" applyFont="1" applyFill="1" applyBorder="1" applyAlignment="1">
      <alignment horizontal="center" vertical="top" wrapText="1"/>
    </xf>
    <xf numFmtId="0" fontId="32" fillId="3" borderId="13" xfId="0" applyFont="1" applyFill="1" applyBorder="1" applyAlignment="1">
      <alignment horizontal="center" vertical="top" wrapText="1"/>
    </xf>
    <xf numFmtId="0" fontId="32" fillId="3" borderId="14" xfId="0" applyFont="1" applyFill="1" applyBorder="1" applyAlignment="1">
      <alignment horizontal="center" vertical="center" wrapText="1"/>
    </xf>
    <xf numFmtId="0" fontId="32" fillId="3" borderId="3" xfId="0" applyFont="1" applyFill="1" applyBorder="1" applyAlignment="1">
      <alignment horizontal="center" vertical="center" wrapText="1"/>
    </xf>
    <xf numFmtId="0" fontId="32" fillId="3" borderId="13" xfId="0" applyFont="1" applyFill="1" applyBorder="1" applyAlignment="1">
      <alignment horizontal="center" vertical="center" wrapText="1"/>
    </xf>
    <xf numFmtId="0" fontId="3" fillId="3" borderId="1" xfId="0" applyFont="1" applyFill="1" applyBorder="1" applyAlignment="1">
      <alignment horizontal="center" vertical="center" wrapText="1" readingOrder="1"/>
    </xf>
    <xf numFmtId="172" fontId="3" fillId="3" borderId="1" xfId="0" applyNumberFormat="1" applyFont="1" applyFill="1" applyBorder="1" applyAlignment="1">
      <alignment horizontal="center" vertical="center"/>
    </xf>
    <xf numFmtId="0" fontId="3" fillId="3" borderId="1" xfId="18" quotePrefix="1" applyFont="1" applyFill="1" applyBorder="1" applyAlignment="1">
      <alignment horizontal="center" vertical="center" wrapText="1"/>
    </xf>
    <xf numFmtId="0" fontId="3" fillId="3" borderId="1" xfId="18" applyFont="1" applyFill="1" applyBorder="1" applyAlignment="1">
      <alignment horizontal="center" vertical="center" wrapText="1"/>
    </xf>
    <xf numFmtId="172" fontId="3" fillId="3" borderId="1" xfId="0" applyNumberFormat="1" applyFont="1" applyFill="1" applyBorder="1" applyAlignment="1">
      <alignment horizontal="left" vertical="center"/>
    </xf>
    <xf numFmtId="0" fontId="3" fillId="4" borderId="0" xfId="18" applyFont="1" applyFill="1" applyBorder="1" applyAlignment="1">
      <alignment horizontal="center" vertical="center" wrapText="1"/>
    </xf>
    <xf numFmtId="0" fontId="13" fillId="5" borderId="1" xfId="18" applyFont="1" applyFill="1" applyBorder="1" applyAlignment="1">
      <alignment horizontal="left" vertical="center"/>
    </xf>
    <xf numFmtId="0" fontId="13" fillId="5" borderId="1" xfId="18" applyFont="1" applyFill="1" applyBorder="1" applyAlignment="1">
      <alignment horizontal="left" vertical="center" wrapText="1"/>
    </xf>
    <xf numFmtId="0" fontId="3" fillId="3" borderId="25" xfId="18" applyFont="1" applyFill="1" applyBorder="1" applyAlignment="1">
      <alignment horizontal="center" vertical="center" wrapText="1"/>
    </xf>
    <xf numFmtId="0" fontId="3" fillId="3" borderId="23" xfId="18" applyFont="1" applyFill="1" applyBorder="1" applyAlignment="1">
      <alignment horizontal="center" vertical="center" wrapText="1"/>
    </xf>
    <xf numFmtId="0" fontId="13" fillId="3" borderId="0" xfId="18" applyFont="1" applyFill="1" applyAlignment="1">
      <alignment horizontal="center" vertical="center" wrapText="1"/>
    </xf>
    <xf numFmtId="0" fontId="3" fillId="3" borderId="0" xfId="18" applyFont="1" applyFill="1" applyAlignment="1">
      <alignment horizontal="center" vertical="center" wrapText="1"/>
    </xf>
    <xf numFmtId="0" fontId="13" fillId="5" borderId="1" xfId="18" applyFont="1" applyFill="1" applyBorder="1" applyAlignment="1">
      <alignment horizontal="center" vertical="center"/>
    </xf>
    <xf numFmtId="0" fontId="13" fillId="5" borderId="1" xfId="18" applyFont="1" applyFill="1" applyBorder="1" applyAlignment="1">
      <alignment horizontal="center" vertical="center" wrapText="1"/>
    </xf>
    <xf numFmtId="0" fontId="13" fillId="3" borderId="1" xfId="18" applyFont="1" applyFill="1" applyBorder="1" applyAlignment="1">
      <alignment horizontal="left" vertical="center" wrapText="1"/>
    </xf>
    <xf numFmtId="0" fontId="3" fillId="3" borderId="14" xfId="8" applyFont="1" applyFill="1" applyBorder="1" applyAlignment="1">
      <alignment horizontal="center" vertical="center" wrapText="1"/>
    </xf>
    <xf numFmtId="0" fontId="3" fillId="3" borderId="13" xfId="8" applyFont="1" applyFill="1" applyBorder="1" applyAlignment="1">
      <alignment horizontal="center" vertical="center" wrapText="1"/>
    </xf>
    <xf numFmtId="0" fontId="3" fillId="3" borderId="3" xfId="8" applyFont="1" applyFill="1" applyBorder="1" applyAlignment="1">
      <alignment horizontal="center" vertical="center" wrapText="1"/>
    </xf>
    <xf numFmtId="0" fontId="13" fillId="5" borderId="1" xfId="8" applyFont="1" applyFill="1" applyBorder="1" applyAlignment="1">
      <alignment horizontal="left" vertical="center" wrapText="1"/>
    </xf>
    <xf numFmtId="0" fontId="13" fillId="5" borderId="1" xfId="7" applyFont="1" applyFill="1" applyBorder="1" applyAlignment="1">
      <alignment horizontal="left"/>
    </xf>
    <xf numFmtId="0" fontId="3" fillId="3" borderId="1" xfId="0" applyFont="1" applyFill="1" applyBorder="1" applyAlignment="1">
      <alignment horizontal="center" vertical="center" wrapText="1"/>
    </xf>
    <xf numFmtId="0" fontId="13" fillId="3" borderId="1" xfId="0" applyFont="1" applyFill="1" applyBorder="1" applyAlignment="1">
      <alignment horizontal="left" vertical="center" wrapText="1"/>
    </xf>
    <xf numFmtId="0" fontId="3" fillId="3" borderId="1" xfId="8" applyFont="1" applyFill="1" applyBorder="1" applyAlignment="1">
      <alignment horizontal="center" vertical="center" wrapText="1"/>
    </xf>
    <xf numFmtId="0" fontId="13" fillId="3" borderId="1" xfId="8" applyFont="1" applyFill="1" applyBorder="1" applyAlignment="1">
      <alignment horizontal="center" vertical="center" wrapText="1"/>
    </xf>
    <xf numFmtId="0" fontId="13" fillId="5" borderId="38" xfId="8" applyFont="1" applyFill="1" applyBorder="1" applyAlignment="1">
      <alignment horizontal="left" vertical="center" wrapText="1"/>
    </xf>
    <xf numFmtId="0" fontId="13" fillId="5" borderId="39" xfId="8" applyFont="1" applyFill="1" applyBorder="1" applyAlignment="1">
      <alignment horizontal="left" vertical="center" wrapText="1"/>
    </xf>
    <xf numFmtId="0" fontId="13" fillId="5" borderId="31" xfId="8" applyFont="1" applyFill="1" applyBorder="1" applyAlignment="1">
      <alignment horizontal="left" vertical="center" wrapText="1"/>
    </xf>
    <xf numFmtId="0" fontId="13" fillId="5" borderId="1" xfId="0" applyFont="1" applyFill="1" applyBorder="1" applyAlignment="1">
      <alignment horizontal="left" vertical="center" wrapText="1"/>
    </xf>
    <xf numFmtId="0" fontId="13" fillId="5" borderId="1" xfId="8" applyFont="1" applyFill="1" applyBorder="1" applyAlignment="1">
      <alignment horizontal="left" vertical="center"/>
    </xf>
    <xf numFmtId="0" fontId="13" fillId="7" borderId="1" xfId="7" applyFont="1" applyFill="1" applyBorder="1" applyAlignment="1">
      <alignment horizontal="left" vertical="center" wrapText="1"/>
    </xf>
    <xf numFmtId="0" fontId="13" fillId="3" borderId="0" xfId="7" applyFont="1" applyFill="1" applyAlignment="1">
      <alignment horizontal="center" vertical="center" wrapText="1"/>
    </xf>
    <xf numFmtId="0" fontId="13" fillId="7" borderId="1" xfId="7" applyFont="1" applyFill="1" applyBorder="1" applyAlignment="1">
      <alignment horizontal="center" vertical="center"/>
    </xf>
    <xf numFmtId="0" fontId="13" fillId="7" borderId="1" xfId="7" applyFont="1" applyFill="1" applyBorder="1" applyAlignment="1">
      <alignment horizontal="center" vertical="center" wrapText="1"/>
    </xf>
    <xf numFmtId="0" fontId="13" fillId="7" borderId="1" xfId="8" applyFont="1" applyFill="1" applyBorder="1" applyAlignment="1">
      <alignment horizontal="center" vertical="center" wrapText="1"/>
    </xf>
    <xf numFmtId="167" fontId="13" fillId="7" borderId="1" xfId="3" applyNumberFormat="1" applyFont="1" applyFill="1" applyBorder="1" applyAlignment="1">
      <alignment horizontal="center" vertical="center" wrapText="1"/>
    </xf>
    <xf numFmtId="0" fontId="44" fillId="0" borderId="14" xfId="0" applyFont="1" applyBorder="1" applyAlignment="1">
      <alignment horizontal="center" vertical="center" wrapText="1" readingOrder="1"/>
    </xf>
    <xf numFmtId="0" fontId="44" fillId="0" borderId="3" xfId="0" applyFont="1" applyBorder="1" applyAlignment="1">
      <alignment horizontal="center" vertical="center" wrapText="1" readingOrder="1"/>
    </xf>
    <xf numFmtId="0" fontId="44" fillId="0" borderId="13" xfId="0" applyFont="1" applyBorder="1" applyAlignment="1">
      <alignment horizontal="center" vertical="center" wrapText="1" readingOrder="1"/>
    </xf>
    <xf numFmtId="0" fontId="44" fillId="3" borderId="3" xfId="0" applyFont="1" applyFill="1" applyBorder="1" applyAlignment="1">
      <alignment horizontal="center" vertical="center" wrapText="1" readingOrder="1"/>
    </xf>
    <xf numFmtId="0" fontId="44" fillId="3" borderId="13" xfId="0" applyFont="1" applyFill="1" applyBorder="1" applyAlignment="1">
      <alignment horizontal="center" vertical="center" wrapText="1" readingOrder="1"/>
    </xf>
    <xf numFmtId="0" fontId="44" fillId="3" borderId="14" xfId="0" applyFont="1" applyFill="1" applyBorder="1" applyAlignment="1">
      <alignment horizontal="center" vertical="center" wrapText="1" readingOrder="1"/>
    </xf>
    <xf numFmtId="0" fontId="41" fillId="3" borderId="0" xfId="7" applyFont="1" applyFill="1" applyAlignment="1">
      <alignment horizontal="center" vertical="center" wrapText="1"/>
    </xf>
    <xf numFmtId="0" fontId="46" fillId="3" borderId="0" xfId="7" applyFont="1" applyFill="1" applyAlignment="1">
      <alignment horizontal="center" vertical="center" wrapText="1"/>
    </xf>
    <xf numFmtId="0" fontId="42" fillId="3" borderId="0" xfId="7" applyFont="1" applyFill="1" applyAlignment="1">
      <alignment horizontal="center" vertical="center" wrapText="1"/>
    </xf>
    <xf numFmtId="0" fontId="41" fillId="5" borderId="14" xfId="7" applyFont="1" applyFill="1" applyBorder="1" applyAlignment="1">
      <alignment horizontal="center" vertical="center"/>
    </xf>
    <xf numFmtId="0" fontId="41" fillId="5" borderId="13" xfId="7" applyFont="1" applyFill="1" applyBorder="1" applyAlignment="1">
      <alignment horizontal="center" vertical="center"/>
    </xf>
    <xf numFmtId="0" fontId="41" fillId="5" borderId="14" xfId="7" applyFont="1" applyFill="1" applyBorder="1" applyAlignment="1">
      <alignment vertical="center" wrapText="1"/>
    </xf>
    <xf numFmtId="0" fontId="41" fillId="5" borderId="13" xfId="7" applyFont="1" applyFill="1" applyBorder="1" applyAlignment="1">
      <alignment vertical="center" wrapText="1"/>
    </xf>
    <xf numFmtId="0" fontId="41" fillId="5" borderId="14" xfId="7" applyFont="1" applyFill="1" applyBorder="1" applyAlignment="1">
      <alignment horizontal="center" vertical="center" wrapText="1"/>
    </xf>
    <xf numFmtId="0" fontId="41" fillId="5" borderId="13" xfId="7" applyFont="1" applyFill="1" applyBorder="1" applyAlignment="1">
      <alignment horizontal="center" vertical="center" wrapText="1"/>
    </xf>
    <xf numFmtId="167" fontId="41" fillId="5" borderId="38" xfId="3" applyNumberFormat="1" applyFont="1" applyFill="1" applyBorder="1" applyAlignment="1">
      <alignment horizontal="center" vertical="center" wrapText="1"/>
    </xf>
    <xf numFmtId="167" fontId="41" fillId="5" borderId="39" xfId="3" applyNumberFormat="1" applyFont="1" applyFill="1" applyBorder="1" applyAlignment="1">
      <alignment horizontal="center" vertical="center" wrapText="1"/>
    </xf>
    <xf numFmtId="167" fontId="41" fillId="5" borderId="31" xfId="3" applyNumberFormat="1" applyFont="1" applyFill="1" applyBorder="1" applyAlignment="1">
      <alignment horizontal="center" vertical="center" wrapText="1"/>
    </xf>
    <xf numFmtId="167" fontId="41" fillId="5" borderId="14" xfId="3" applyNumberFormat="1" applyFont="1" applyFill="1" applyBorder="1" applyAlignment="1">
      <alignment horizontal="center" vertical="center" wrapText="1"/>
    </xf>
    <xf numFmtId="167" fontId="41" fillId="5" borderId="13" xfId="3" applyNumberFormat="1" applyFont="1" applyFill="1" applyBorder="1" applyAlignment="1">
      <alignment horizontal="center" vertical="center" wrapText="1"/>
    </xf>
    <xf numFmtId="0" fontId="41" fillId="8" borderId="1" xfId="8" applyFont="1" applyFill="1" applyBorder="1" applyAlignment="1">
      <alignment horizontal="left" vertical="center" wrapText="1"/>
    </xf>
    <xf numFmtId="0" fontId="41" fillId="8" borderId="1" xfId="7" applyFont="1" applyFill="1" applyBorder="1" applyAlignment="1">
      <alignment horizontal="left" vertical="center" wrapText="1"/>
    </xf>
    <xf numFmtId="166" fontId="41" fillId="8" borderId="1" xfId="3" applyNumberFormat="1" applyFont="1" applyFill="1" applyBorder="1" applyAlignment="1">
      <alignment horizontal="left" vertical="center" wrapText="1"/>
    </xf>
    <xf numFmtId="0" fontId="41" fillId="3" borderId="46" xfId="8" applyFont="1" applyFill="1" applyBorder="1" applyAlignment="1">
      <alignment horizontal="center" vertical="center" wrapText="1"/>
    </xf>
    <xf numFmtId="0" fontId="44" fillId="3" borderId="46" xfId="8" applyFont="1" applyFill="1" applyBorder="1" applyAlignment="1">
      <alignment horizontal="center" vertical="center" wrapText="1"/>
    </xf>
    <xf numFmtId="0" fontId="41" fillId="8" borderId="1" xfId="8" applyFont="1" applyFill="1" applyBorder="1" applyAlignment="1">
      <alignment horizontal="center" vertical="center" wrapText="1"/>
    </xf>
    <xf numFmtId="0" fontId="41" fillId="8" borderId="1" xfId="8" applyNumberFormat="1" applyFont="1" applyFill="1" applyBorder="1" applyAlignment="1">
      <alignment horizontal="center" vertical="center" wrapText="1"/>
    </xf>
    <xf numFmtId="0" fontId="13" fillId="3" borderId="0" xfId="7" applyFont="1" applyFill="1" applyBorder="1" applyAlignment="1">
      <alignment horizontal="center" vertical="center" wrapText="1"/>
    </xf>
    <xf numFmtId="0" fontId="13" fillId="3" borderId="1" xfId="7" applyFont="1" applyFill="1" applyBorder="1" applyAlignment="1">
      <alignment horizontal="center" vertical="center"/>
    </xf>
    <xf numFmtId="0" fontId="13" fillId="3" borderId="1" xfId="7" applyFont="1" applyFill="1" applyBorder="1" applyAlignment="1">
      <alignment horizontal="center" vertical="center" wrapText="1"/>
    </xf>
    <xf numFmtId="167" fontId="13" fillId="3" borderId="1" xfId="3" applyNumberFormat="1" applyFont="1" applyFill="1" applyBorder="1" applyAlignment="1">
      <alignment horizontal="center" vertical="center" wrapText="1"/>
    </xf>
    <xf numFmtId="0" fontId="49" fillId="3" borderId="14" xfId="8" applyFont="1" applyFill="1" applyBorder="1" applyAlignment="1">
      <alignment horizontal="center" vertical="center" wrapText="1"/>
    </xf>
    <xf numFmtId="0" fontId="49" fillId="3" borderId="3" xfId="8" applyFont="1" applyFill="1" applyBorder="1" applyAlignment="1">
      <alignment horizontal="center" vertical="center" wrapText="1"/>
    </xf>
    <xf numFmtId="0" fontId="49" fillId="3" borderId="13" xfId="8" applyFont="1" applyFill="1" applyBorder="1" applyAlignment="1">
      <alignment horizontal="center" vertical="center" wrapText="1"/>
    </xf>
    <xf numFmtId="0" fontId="41" fillId="5" borderId="24" xfId="7" applyFont="1" applyFill="1" applyBorder="1" applyAlignment="1">
      <alignment horizontal="left" vertical="center"/>
    </xf>
    <xf numFmtId="0" fontId="41" fillId="5" borderId="46" xfId="7" applyFont="1" applyFill="1" applyBorder="1" applyAlignment="1">
      <alignment horizontal="left" vertical="center"/>
    </xf>
    <xf numFmtId="0" fontId="49" fillId="3" borderId="1" xfId="8" applyFont="1" applyFill="1" applyBorder="1" applyAlignment="1" applyProtection="1">
      <alignment horizontal="center" vertical="center"/>
      <protection locked="0"/>
    </xf>
    <xf numFmtId="0" fontId="51" fillId="3" borderId="0" xfId="8" applyFont="1" applyFill="1" applyAlignment="1">
      <alignment horizontal="center" vertical="center" wrapText="1"/>
    </xf>
    <xf numFmtId="0" fontId="49" fillId="3" borderId="0" xfId="8" applyFont="1" applyFill="1" applyAlignment="1">
      <alignment horizontal="center" vertical="center" wrapText="1"/>
    </xf>
    <xf numFmtId="0" fontId="45" fillId="7" borderId="1" xfId="8" applyFont="1" applyFill="1" applyBorder="1" applyAlignment="1">
      <alignment horizontal="center" vertical="center"/>
    </xf>
    <xf numFmtId="0" fontId="45" fillId="7" borderId="14" xfId="8" applyFont="1" applyFill="1" applyBorder="1" applyAlignment="1">
      <alignment horizontal="center" vertical="center" wrapText="1"/>
    </xf>
    <xf numFmtId="0" fontId="45" fillId="7" borderId="13" xfId="8" applyFont="1" applyFill="1" applyBorder="1" applyAlignment="1">
      <alignment horizontal="center" vertical="center" wrapText="1"/>
    </xf>
    <xf numFmtId="0" fontId="45" fillId="7" borderId="1" xfId="8" applyFont="1" applyFill="1" applyBorder="1" applyAlignment="1">
      <alignment horizontal="center" vertical="center" wrapText="1"/>
    </xf>
    <xf numFmtId="0" fontId="45" fillId="7" borderId="38" xfId="8" applyFont="1" applyFill="1" applyBorder="1" applyAlignment="1">
      <alignment horizontal="center" vertical="center"/>
    </xf>
    <xf numFmtId="0" fontId="45" fillId="7" borderId="31" xfId="8" applyFont="1" applyFill="1" applyBorder="1" applyAlignment="1">
      <alignment horizontal="center" vertical="center"/>
    </xf>
    <xf numFmtId="0" fontId="45" fillId="7" borderId="38" xfId="8" applyFont="1" applyFill="1" applyBorder="1" applyAlignment="1">
      <alignment horizontal="left" vertical="center" wrapText="1"/>
    </xf>
    <xf numFmtId="0" fontId="45" fillId="7" borderId="39" xfId="8" applyFont="1" applyFill="1" applyBorder="1" applyAlignment="1">
      <alignment horizontal="left" vertical="center" wrapText="1"/>
    </xf>
    <xf numFmtId="0" fontId="45" fillId="7" borderId="31" xfId="8" applyFont="1" applyFill="1" applyBorder="1" applyAlignment="1">
      <alignment horizontal="left" vertical="center" wrapText="1"/>
    </xf>
    <xf numFmtId="0" fontId="13" fillId="0" borderId="35" xfId="5" applyFont="1" applyBorder="1" applyAlignment="1">
      <alignment horizontal="right"/>
    </xf>
    <xf numFmtId="0" fontId="13" fillId="2" borderId="42" xfId="5" applyFont="1" applyFill="1" applyBorder="1" applyAlignment="1">
      <alignment horizontal="right" vertical="center" wrapText="1"/>
    </xf>
    <xf numFmtId="0" fontId="13" fillId="2" borderId="43" xfId="5" applyFont="1" applyFill="1" applyBorder="1" applyAlignment="1">
      <alignment horizontal="right" vertical="center" wrapText="1"/>
    </xf>
    <xf numFmtId="0" fontId="13" fillId="2" borderId="28" xfId="5" applyFont="1" applyFill="1" applyBorder="1" applyAlignment="1">
      <alignment horizontal="right" vertical="center" wrapText="1"/>
    </xf>
    <xf numFmtId="0" fontId="10" fillId="0" borderId="0" xfId="5" applyFont="1" applyAlignment="1">
      <alignment horizontal="center" vertical="center" wrapText="1"/>
    </xf>
    <xf numFmtId="0" fontId="11" fillId="0" borderId="0" xfId="5" applyFont="1" applyAlignment="1">
      <alignment horizontal="center" vertical="center"/>
    </xf>
    <xf numFmtId="0" fontId="12" fillId="0" borderId="0" xfId="5" applyFont="1" applyAlignment="1">
      <alignment horizontal="center" vertical="center"/>
    </xf>
    <xf numFmtId="0" fontId="13" fillId="2" borderId="44" xfId="5" applyFont="1" applyFill="1" applyBorder="1" applyAlignment="1">
      <alignment horizontal="center" vertical="center"/>
    </xf>
    <xf numFmtId="0" fontId="13" fillId="2" borderId="45" xfId="5" applyFont="1" applyFill="1" applyBorder="1" applyAlignment="1">
      <alignment horizontal="center" vertical="center"/>
    </xf>
    <xf numFmtId="0" fontId="13" fillId="2" borderId="6" xfId="5" applyFont="1" applyFill="1" applyBorder="1" applyAlignment="1">
      <alignment horizontal="center" vertical="center"/>
    </xf>
    <xf numFmtId="0" fontId="13" fillId="2" borderId="16" xfId="5" applyFont="1" applyFill="1" applyBorder="1" applyAlignment="1">
      <alignment horizontal="center" vertical="center"/>
    </xf>
    <xf numFmtId="167" fontId="13" fillId="2" borderId="6" xfId="2" applyNumberFormat="1" applyFont="1" applyFill="1" applyBorder="1" applyAlignment="1">
      <alignment horizontal="center" vertical="center" wrapText="1"/>
    </xf>
    <xf numFmtId="167" fontId="13" fillId="2" borderId="16" xfId="2" applyNumberFormat="1" applyFont="1" applyFill="1" applyBorder="1" applyAlignment="1">
      <alignment horizontal="center" vertical="center" wrapText="1"/>
    </xf>
    <xf numFmtId="0" fontId="13" fillId="0" borderId="7" xfId="5" applyFont="1" applyBorder="1" applyAlignment="1">
      <alignment horizontal="center"/>
    </xf>
    <xf numFmtId="167" fontId="13" fillId="2" borderId="40" xfId="2" applyNumberFormat="1" applyFont="1" applyFill="1" applyBorder="1" applyAlignment="1">
      <alignment horizontal="center" vertical="center" wrapText="1"/>
    </xf>
    <xf numFmtId="167" fontId="13" fillId="2" borderId="41" xfId="2" applyNumberFormat="1" applyFont="1" applyFill="1" applyBorder="1" applyAlignment="1">
      <alignment horizontal="center" vertical="center" wrapText="1"/>
    </xf>
  </cellXfs>
  <cellStyles count="22">
    <cellStyle name="Comma" xfId="1" builtinId="3"/>
    <cellStyle name="Comma [0]" xfId="17" builtinId="6"/>
    <cellStyle name="Comma 2" xfId="2"/>
    <cellStyle name="Comma 2 2" xfId="3"/>
    <cellStyle name="Comma 2 3" xfId="4"/>
    <cellStyle name="Comma 3" xfId="21"/>
    <cellStyle name="Normal" xfId="0" builtinId="0"/>
    <cellStyle name="Normal 2" xfId="5"/>
    <cellStyle name="Normal 2 2" xfId="6"/>
    <cellStyle name="Normal 2 3" xfId="7"/>
    <cellStyle name="Normal 3" xfId="8"/>
    <cellStyle name="Normal 3 2" xfId="18"/>
    <cellStyle name="Normal 4" xfId="15"/>
    <cellStyle name="Normal_Bieu mau (CV )" xfId="19"/>
    <cellStyle name="Normal_DMLD_HCM_30_3_11" xfId="9"/>
    <cellStyle name="Normal_DMLD_HCM_30_3_11 2" xfId="10"/>
    <cellStyle name="Normal_HT kênh của các hồ-VT" xfId="20"/>
    <cellStyle name="Normal_KenhTieuThoatNuoc_135" xfId="16"/>
    <cellStyle name="Normal_pclb03 (New_211208)" xfId="11"/>
    <cellStyle name="Normal_Sheet1" xfId="12"/>
    <cellStyle name="Normal_Sheet1 2" xfId="13"/>
    <cellStyle name="Normal_Sheet1 2 3" xfId="14"/>
  </cellStyles>
  <dxfs count="0"/>
  <tableStyles count="0" defaultTableStyle="TableStyleMedium9" defaultPivotStyle="PivotStyleLight16"/>
  <colors>
    <mruColors>
      <color rgb="FFF3F5D7"/>
      <color rgb="FFE8EBCD"/>
      <color rgb="FFF4F4F0"/>
      <color rgb="FF0000FF"/>
      <color rgb="FFDDDDDD"/>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1171575</xdr:colOff>
      <xdr:row>0</xdr:row>
      <xdr:rowOff>866775</xdr:rowOff>
    </xdr:from>
    <xdr:to>
      <xdr:col>4</xdr:col>
      <xdr:colOff>666750</xdr:colOff>
      <xdr:row>0</xdr:row>
      <xdr:rowOff>866775</xdr:rowOff>
    </xdr:to>
    <xdr:cxnSp macro="">
      <xdr:nvCxnSpPr>
        <xdr:cNvPr id="4" name="Straight Connector 3"/>
        <xdr:cNvCxnSpPr/>
      </xdr:nvCxnSpPr>
      <xdr:spPr>
        <a:xfrm>
          <a:off x="3562350" y="866775"/>
          <a:ext cx="240982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2636305</xdr:colOff>
      <xdr:row>0</xdr:row>
      <xdr:rowOff>1023193</xdr:rowOff>
    </xdr:from>
    <xdr:to>
      <xdr:col>3</xdr:col>
      <xdr:colOff>1504512</xdr:colOff>
      <xdr:row>0</xdr:row>
      <xdr:rowOff>1023193</xdr:rowOff>
    </xdr:to>
    <xdr:cxnSp macro="">
      <xdr:nvCxnSpPr>
        <xdr:cNvPr id="4" name="Straight Connector 3"/>
        <xdr:cNvCxnSpPr/>
      </xdr:nvCxnSpPr>
      <xdr:spPr>
        <a:xfrm>
          <a:off x="5079675" y="1023193"/>
          <a:ext cx="202388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1860176</xdr:colOff>
      <xdr:row>0</xdr:row>
      <xdr:rowOff>1316130</xdr:rowOff>
    </xdr:from>
    <xdr:to>
      <xdr:col>5</xdr:col>
      <xdr:colOff>347383</xdr:colOff>
      <xdr:row>0</xdr:row>
      <xdr:rowOff>1316130</xdr:rowOff>
    </xdr:to>
    <xdr:cxnSp macro="">
      <xdr:nvCxnSpPr>
        <xdr:cNvPr id="4" name="Straight Connector 3"/>
        <xdr:cNvCxnSpPr/>
      </xdr:nvCxnSpPr>
      <xdr:spPr>
        <a:xfrm>
          <a:off x="4280647" y="1316130"/>
          <a:ext cx="243167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1885950</xdr:colOff>
      <xdr:row>2</xdr:row>
      <xdr:rowOff>28575</xdr:rowOff>
    </xdr:from>
    <xdr:to>
      <xdr:col>5</xdr:col>
      <xdr:colOff>47625</xdr:colOff>
      <xdr:row>2</xdr:row>
      <xdr:rowOff>28575</xdr:rowOff>
    </xdr:to>
    <xdr:cxnSp macro="">
      <xdr:nvCxnSpPr>
        <xdr:cNvPr id="2" name="Straight Connector 1"/>
        <xdr:cNvCxnSpPr/>
      </xdr:nvCxnSpPr>
      <xdr:spPr>
        <a:xfrm>
          <a:off x="3848100" y="1076325"/>
          <a:ext cx="30099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676275</xdr:colOff>
      <xdr:row>3191</xdr:row>
      <xdr:rowOff>0</xdr:rowOff>
    </xdr:from>
    <xdr:to>
      <xdr:col>1</xdr:col>
      <xdr:colOff>676275</xdr:colOff>
      <xdr:row>3191</xdr:row>
      <xdr:rowOff>28575</xdr:rowOff>
    </xdr:to>
    <xdr:sp macro="" textlink="">
      <xdr:nvSpPr>
        <xdr:cNvPr id="3"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4"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5"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6"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7"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8"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9"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10"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11"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12"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13"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14"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15"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16"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17"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18"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19"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20"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21"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22"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23"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24"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25"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26"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27"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28"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29"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30"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31"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32"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33"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34"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35"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36"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37"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38"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39"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40"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41"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42"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43"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44"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45"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46"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47"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48"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49"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50"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51"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52"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53"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54"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55"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56"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57"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58"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59"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60"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61"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62"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63"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64"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65"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66"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67"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68"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69"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70"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71"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72"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73"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74"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75"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76"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77"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78"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79"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80"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81"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82"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83"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84"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85"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86"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87"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88"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89"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90"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91"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92"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93"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94"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95"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96"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97"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98"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99"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100"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101"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102"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103"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104"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105"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106"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107"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108"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109"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110"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111"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112"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113"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114"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115"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116"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117"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118"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119"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120"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121"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676275</xdr:colOff>
      <xdr:row>3191</xdr:row>
      <xdr:rowOff>0</xdr:rowOff>
    </xdr:from>
    <xdr:to>
      <xdr:col>1</xdr:col>
      <xdr:colOff>676275</xdr:colOff>
      <xdr:row>3191</xdr:row>
      <xdr:rowOff>28575</xdr:rowOff>
    </xdr:to>
    <xdr:sp macro="" textlink="">
      <xdr:nvSpPr>
        <xdr:cNvPr id="122" name="Text Box 1"/>
        <xdr:cNvSpPr txBox="1">
          <a:spLocks noChangeArrowheads="1"/>
        </xdr:cNvSpPr>
      </xdr:nvSpPr>
      <xdr:spPr bwMode="auto">
        <a:xfrm>
          <a:off x="1047750" y="241792125"/>
          <a:ext cx="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xdr:col>
      <xdr:colOff>415417</xdr:colOff>
      <xdr:row>0</xdr:row>
      <xdr:rowOff>1204633</xdr:rowOff>
    </xdr:from>
    <xdr:to>
      <xdr:col>4</xdr:col>
      <xdr:colOff>810024</xdr:colOff>
      <xdr:row>0</xdr:row>
      <xdr:rowOff>1204633</xdr:rowOff>
    </xdr:to>
    <xdr:cxnSp macro="">
      <xdr:nvCxnSpPr>
        <xdr:cNvPr id="123" name="Straight Connector 122"/>
        <xdr:cNvCxnSpPr/>
      </xdr:nvCxnSpPr>
      <xdr:spPr>
        <a:xfrm>
          <a:off x="5715799" y="1204633"/>
          <a:ext cx="278146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714375</xdr:colOff>
      <xdr:row>0</xdr:row>
      <xdr:rowOff>916081</xdr:rowOff>
    </xdr:from>
    <xdr:to>
      <xdr:col>6</xdr:col>
      <xdr:colOff>9525</xdr:colOff>
      <xdr:row>0</xdr:row>
      <xdr:rowOff>916081</xdr:rowOff>
    </xdr:to>
    <xdr:cxnSp macro="">
      <xdr:nvCxnSpPr>
        <xdr:cNvPr id="2" name="Straight Connector 1"/>
        <xdr:cNvCxnSpPr/>
      </xdr:nvCxnSpPr>
      <xdr:spPr>
        <a:xfrm>
          <a:off x="4726081" y="916081"/>
          <a:ext cx="2925856"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1815352</xdr:colOff>
      <xdr:row>0</xdr:row>
      <xdr:rowOff>1232647</xdr:rowOff>
    </xdr:from>
    <xdr:to>
      <xdr:col>4</xdr:col>
      <xdr:colOff>380999</xdr:colOff>
      <xdr:row>0</xdr:row>
      <xdr:rowOff>1232647</xdr:rowOff>
    </xdr:to>
    <xdr:cxnSp macro="">
      <xdr:nvCxnSpPr>
        <xdr:cNvPr id="2" name="Straight Connector 1"/>
        <xdr:cNvCxnSpPr/>
      </xdr:nvCxnSpPr>
      <xdr:spPr>
        <a:xfrm>
          <a:off x="4269440" y="1232647"/>
          <a:ext cx="2554941"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
  <sheetViews>
    <sheetView topLeftCell="A4" workbookViewId="0">
      <selection activeCell="C10" sqref="C10"/>
    </sheetView>
  </sheetViews>
  <sheetFormatPr defaultRowHeight="18.75"/>
  <cols>
    <col min="1" max="1" width="5.140625" style="63" customWidth="1"/>
    <col min="2" max="2" width="65" style="63" customWidth="1"/>
    <col min="3" max="3" width="22" style="63" customWidth="1"/>
    <col min="4" max="4" width="20.42578125" style="63" customWidth="1"/>
    <col min="5" max="5" width="13.85546875" style="63" customWidth="1"/>
    <col min="6" max="6" width="14.28515625" style="63" customWidth="1"/>
    <col min="7" max="7" width="3.85546875" style="63" customWidth="1"/>
    <col min="8" max="16384" width="9.140625" style="63"/>
  </cols>
  <sheetData>
    <row r="1" spans="1:6" s="3" customFormat="1">
      <c r="B1" s="714" t="s">
        <v>3168</v>
      </c>
      <c r="C1" s="715"/>
      <c r="D1" s="715"/>
      <c r="E1" s="715"/>
    </row>
    <row r="2" spans="1:6" s="3" customFormat="1" ht="21" customHeight="1">
      <c r="B2" s="717" t="s">
        <v>3767</v>
      </c>
      <c r="C2" s="717"/>
      <c r="D2" s="717"/>
      <c r="E2" s="717"/>
    </row>
    <row r="3" spans="1:6" s="3" customFormat="1" ht="10.5" customHeight="1" thickBot="1">
      <c r="B3" s="101"/>
      <c r="C3" s="101"/>
      <c r="D3" s="101"/>
      <c r="E3" s="101"/>
    </row>
    <row r="4" spans="1:6" s="3" customFormat="1" ht="38.25" thickBot="1">
      <c r="A4" s="102" t="s">
        <v>3172</v>
      </c>
      <c r="B4" s="103" t="s">
        <v>3173</v>
      </c>
      <c r="C4" s="104" t="s">
        <v>3171</v>
      </c>
      <c r="D4" s="104" t="s">
        <v>3167</v>
      </c>
      <c r="E4" s="105" t="s">
        <v>587</v>
      </c>
    </row>
    <row r="5" spans="1:6" s="3" customFormat="1" ht="38.25" thickBot="1">
      <c r="A5" s="106" t="s">
        <v>1110</v>
      </c>
      <c r="B5" s="107" t="s">
        <v>3170</v>
      </c>
      <c r="C5" s="108">
        <f>C6+C7+C8</f>
        <v>849</v>
      </c>
      <c r="D5" s="108">
        <f>SUM(D6:D8)</f>
        <v>1095130.74</v>
      </c>
      <c r="E5" s="109"/>
    </row>
    <row r="6" spans="1:6" ht="37.5">
      <c r="A6" s="110">
        <v>1</v>
      </c>
      <c r="B6" s="111" t="s">
        <v>3169</v>
      </c>
      <c r="C6" s="112">
        <f>'Thoat nuoc'!A727</f>
        <v>701</v>
      </c>
      <c r="D6" s="113">
        <f>'Thoat nuoc'!B727</f>
        <v>798253.74</v>
      </c>
      <c r="E6" s="114"/>
      <c r="F6" s="115"/>
    </row>
    <row r="7" spans="1:6">
      <c r="A7" s="116">
        <v>2</v>
      </c>
      <c r="B7" s="117" t="s">
        <v>3183</v>
      </c>
      <c r="C7" s="118">
        <f>'Thoat nuoc'!A751</f>
        <v>24</v>
      </c>
      <c r="D7" s="119">
        <f>'Thoat nuoc'!B728</f>
        <v>22424</v>
      </c>
      <c r="E7" s="114"/>
      <c r="F7" s="115"/>
    </row>
    <row r="8" spans="1:6" ht="19.5" thickBot="1">
      <c r="A8" s="110">
        <v>3</v>
      </c>
      <c r="B8" s="120" t="s">
        <v>3181</v>
      </c>
      <c r="C8" s="121">
        <f>'Thoat nuoc'!A875</f>
        <v>124</v>
      </c>
      <c r="D8" s="122">
        <f>'Thoat nuoc'!B729</f>
        <v>274453</v>
      </c>
      <c r="E8" s="123"/>
    </row>
    <row r="9" spans="1:6" s="127" customFormat="1" ht="38.25" thickBot="1">
      <c r="A9" s="106" t="s">
        <v>1114</v>
      </c>
      <c r="B9" s="124" t="s">
        <v>1108</v>
      </c>
      <c r="C9" s="125">
        <v>112</v>
      </c>
      <c r="D9" s="126">
        <v>975500</v>
      </c>
      <c r="E9" s="109"/>
    </row>
    <row r="10" spans="1:6" s="127" customFormat="1" ht="75.75" thickBot="1">
      <c r="A10" s="106" t="s">
        <v>1118</v>
      </c>
      <c r="B10" s="124" t="s">
        <v>1133</v>
      </c>
      <c r="C10" s="125">
        <f>C11+C12</f>
        <v>1992</v>
      </c>
      <c r="D10" s="125">
        <f>D11+D12</f>
        <v>2300403</v>
      </c>
      <c r="E10" s="109"/>
      <c r="F10" s="128"/>
    </row>
    <row r="11" spans="1:6" s="144" customFormat="1" ht="37.5">
      <c r="A11" s="145">
        <v>1</v>
      </c>
      <c r="B11" s="146" t="s">
        <v>3174</v>
      </c>
      <c r="C11" s="147">
        <f>'Tuoi tieu nong nghiep'!A9</f>
        <v>1226</v>
      </c>
      <c r="D11" s="148">
        <f>'Tuoi tieu nong nghiep'!B9</f>
        <v>1234244</v>
      </c>
      <c r="E11" s="142"/>
      <c r="F11" s="143"/>
    </row>
    <row r="12" spans="1:6" s="144" customFormat="1">
      <c r="A12" s="145">
        <v>2</v>
      </c>
      <c r="B12" s="149" t="s">
        <v>3770</v>
      </c>
      <c r="C12" s="147">
        <f>SUM(C13:C19)</f>
        <v>766</v>
      </c>
      <c r="D12" s="147">
        <f>SUM(D13:D19)</f>
        <v>1066159</v>
      </c>
      <c r="E12" s="142"/>
      <c r="F12" s="143"/>
    </row>
    <row r="13" spans="1:6">
      <c r="A13" s="116" t="s">
        <v>3771</v>
      </c>
      <c r="B13" s="129" t="s">
        <v>3175</v>
      </c>
      <c r="C13" s="130">
        <f>'Tuoi tieu nong nghiep'!A1241</f>
        <v>8</v>
      </c>
      <c r="D13" s="130">
        <f>'Tuoi tieu nong nghiep'!B1241</f>
        <v>6236</v>
      </c>
      <c r="E13" s="114"/>
    </row>
    <row r="14" spans="1:6">
      <c r="A14" s="116" t="s">
        <v>3772</v>
      </c>
      <c r="B14" s="129" t="s">
        <v>3176</v>
      </c>
      <c r="C14" s="130">
        <f>'Tuoi tieu nong nghiep'!A1291</f>
        <v>50</v>
      </c>
      <c r="D14" s="130">
        <f>'Tuoi tieu nong nghiep'!B1291</f>
        <v>24304.699999999997</v>
      </c>
      <c r="E14" s="114"/>
    </row>
    <row r="15" spans="1:6">
      <c r="A15" s="116" t="s">
        <v>3773</v>
      </c>
      <c r="B15" s="129" t="s">
        <v>3177</v>
      </c>
      <c r="C15" s="130">
        <f>'Tuoi tieu nong nghiep'!A1399</f>
        <v>108</v>
      </c>
      <c r="D15" s="130">
        <f>'Tuoi tieu nong nghiep'!B1399</f>
        <v>78219</v>
      </c>
      <c r="E15" s="114"/>
    </row>
    <row r="16" spans="1:6">
      <c r="A16" s="116" t="s">
        <v>3774</v>
      </c>
      <c r="B16" s="129" t="s">
        <v>3178</v>
      </c>
      <c r="C16" s="130">
        <f>'Tuoi tieu nong nghiep'!A1498</f>
        <v>99</v>
      </c>
      <c r="D16" s="130">
        <f>'Tuoi tieu nong nghiep'!B1498</f>
        <v>163245</v>
      </c>
      <c r="E16" s="114"/>
      <c r="F16" s="115"/>
    </row>
    <row r="17" spans="1:5">
      <c r="A17" s="116" t="s">
        <v>3775</v>
      </c>
      <c r="B17" s="129" t="s">
        <v>3179</v>
      </c>
      <c r="C17" s="130">
        <f>'Tuoi tieu nong nghiep'!A1824</f>
        <v>326</v>
      </c>
      <c r="D17" s="130">
        <f>'Tuoi tieu nong nghiep'!B1824</f>
        <v>352530.30000000005</v>
      </c>
      <c r="E17" s="114"/>
    </row>
    <row r="18" spans="1:5">
      <c r="A18" s="116" t="s">
        <v>3776</v>
      </c>
      <c r="B18" s="129" t="s">
        <v>3180</v>
      </c>
      <c r="C18" s="130">
        <f>'Tuoi tieu nong nghiep'!A1858</f>
        <v>34</v>
      </c>
      <c r="D18" s="130">
        <f>'Tuoi tieu nong nghiep'!B1858</f>
        <v>82000</v>
      </c>
      <c r="E18" s="114"/>
    </row>
    <row r="19" spans="1:5" ht="19.5" thickBot="1">
      <c r="A19" s="131" t="s">
        <v>3777</v>
      </c>
      <c r="B19" s="120" t="s">
        <v>3181</v>
      </c>
      <c r="C19" s="121">
        <f>'Tuoi tieu nong nghiep'!A1999</f>
        <v>141</v>
      </c>
      <c r="D19" s="121">
        <f>'Tuoi tieu nong nghiep'!B1999</f>
        <v>359624</v>
      </c>
      <c r="E19" s="123"/>
    </row>
    <row r="20" spans="1:5" s="127" customFormat="1" ht="19.5" thickBot="1">
      <c r="A20" s="106" t="s">
        <v>1116</v>
      </c>
      <c r="B20" s="132" t="s">
        <v>3182</v>
      </c>
      <c r="C20" s="125">
        <f>C5+C9+C10</f>
        <v>2953</v>
      </c>
      <c r="D20" s="125">
        <f>D5+D9+D10</f>
        <v>4371033.74</v>
      </c>
      <c r="E20" s="133"/>
    </row>
    <row r="22" spans="1:5">
      <c r="B22" s="716" t="s">
        <v>237</v>
      </c>
      <c r="C22" s="716"/>
      <c r="D22" s="716"/>
      <c r="E22" s="716"/>
    </row>
    <row r="23" spans="1:5">
      <c r="D23" s="115"/>
    </row>
  </sheetData>
  <mergeCells count="3">
    <mergeCell ref="B1:E1"/>
    <mergeCell ref="B22:E22"/>
    <mergeCell ref="B2:E2"/>
  </mergeCells>
  <printOptions horizontalCentered="1"/>
  <pageMargins left="0" right="0" top="0.39370078740157499" bottom="0.43307086614173201" header="0.196850393700787" footer="0.27559055118110198"/>
  <pageSetup scale="95" orientation="landscape" horizontalDpi="4294967295" verticalDpi="4294967295"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76"/>
  <sheetViews>
    <sheetView topLeftCell="C19" zoomScale="85" zoomScaleNormal="85" workbookViewId="0">
      <selection activeCell="D35" sqref="D35"/>
    </sheetView>
  </sheetViews>
  <sheetFormatPr defaultRowHeight="18.75"/>
  <cols>
    <col min="1" max="1" width="5.42578125" style="68" hidden="1" customWidth="1"/>
    <col min="2" max="2" width="11.140625" style="68" hidden="1" customWidth="1"/>
    <col min="3" max="3" width="5.5703125" style="100" customWidth="1"/>
    <col min="4" max="4" width="25.140625" style="177" customWidth="1"/>
    <col min="5" max="5" width="12.140625" style="68" customWidth="1"/>
    <col min="6" max="6" width="14.42578125" style="68" customWidth="1"/>
    <col min="7" max="7" width="21.140625" style="68" customWidth="1"/>
    <col min="8" max="8" width="20.5703125" style="70" customWidth="1"/>
    <col min="9" max="9" width="19.85546875" style="70" customWidth="1"/>
    <col min="10" max="10" width="12.85546875" style="69" customWidth="1"/>
    <col min="11" max="11" width="11.7109375" style="141" customWidth="1"/>
    <col min="12" max="12" width="11.5703125" style="68" customWidth="1"/>
    <col min="13" max="16384" width="9.140625" style="68"/>
  </cols>
  <sheetData>
    <row r="1" spans="3:12" ht="43.5" customHeight="1">
      <c r="C1" s="720" t="s">
        <v>3769</v>
      </c>
      <c r="D1" s="721"/>
      <c r="E1" s="720"/>
      <c r="F1" s="720"/>
      <c r="G1" s="720"/>
      <c r="H1" s="720"/>
      <c r="I1" s="720"/>
      <c r="J1" s="720"/>
      <c r="K1" s="720"/>
      <c r="L1" s="720"/>
    </row>
    <row r="2" spans="3:12" ht="22.5" customHeight="1">
      <c r="C2" s="69"/>
      <c r="D2" s="176"/>
      <c r="E2" s="70"/>
      <c r="F2" s="69"/>
      <c r="G2" s="69"/>
      <c r="K2" s="71"/>
    </row>
    <row r="3" spans="3:12" ht="6.75" customHeight="1" thickBot="1">
      <c r="C3" s="69"/>
      <c r="D3" s="176"/>
      <c r="E3" s="69"/>
      <c r="F3" s="69"/>
      <c r="G3" s="69"/>
      <c r="K3" s="71"/>
    </row>
    <row r="4" spans="3:12" ht="16.5" customHeight="1">
      <c r="C4" s="722" t="s">
        <v>474</v>
      </c>
      <c r="D4" s="724" t="s">
        <v>922</v>
      </c>
      <c r="E4" s="726" t="s">
        <v>239</v>
      </c>
      <c r="F4" s="726" t="s">
        <v>714</v>
      </c>
      <c r="G4" s="726" t="s">
        <v>715</v>
      </c>
      <c r="H4" s="728" t="s">
        <v>147</v>
      </c>
      <c r="I4" s="728"/>
      <c r="J4" s="728" t="s">
        <v>148</v>
      </c>
      <c r="K4" s="728"/>
      <c r="L4" s="72"/>
    </row>
    <row r="5" spans="3:12" ht="33" customHeight="1" thickBot="1">
      <c r="C5" s="723"/>
      <c r="D5" s="725"/>
      <c r="E5" s="727"/>
      <c r="F5" s="727"/>
      <c r="G5" s="727"/>
      <c r="H5" s="134" t="s">
        <v>583</v>
      </c>
      <c r="I5" s="134" t="s">
        <v>584</v>
      </c>
      <c r="J5" s="134" t="s">
        <v>585</v>
      </c>
      <c r="K5" s="73" t="s">
        <v>586</v>
      </c>
      <c r="L5" s="74" t="s">
        <v>587</v>
      </c>
    </row>
    <row r="6" spans="3:12">
      <c r="C6" s="729" t="s">
        <v>3765</v>
      </c>
      <c r="D6" s="725"/>
      <c r="E6" s="730"/>
      <c r="F6" s="730"/>
      <c r="G6" s="730"/>
      <c r="H6" s="730"/>
      <c r="I6" s="731"/>
      <c r="J6" s="75">
        <f>SUM(J7:J875)</f>
        <v>1095130.74</v>
      </c>
      <c r="K6" s="76"/>
      <c r="L6" s="77"/>
    </row>
    <row r="7" spans="3:12" s="84" customFormat="1" ht="31.5">
      <c r="C7" s="135">
        <v>1</v>
      </c>
      <c r="D7" s="178" t="s">
        <v>379</v>
      </c>
      <c r="E7" s="79">
        <v>4</v>
      </c>
      <c r="F7" s="79" t="s">
        <v>716</v>
      </c>
      <c r="G7" s="79" t="s">
        <v>921</v>
      </c>
      <c r="H7" s="78" t="s">
        <v>238</v>
      </c>
      <c r="I7" s="78" t="s">
        <v>3186</v>
      </c>
      <c r="J7" s="80">
        <v>640</v>
      </c>
      <c r="K7" s="2">
        <v>6.1</v>
      </c>
      <c r="L7" s="83"/>
    </row>
    <row r="8" spans="3:12" s="84" customFormat="1" ht="31.5">
      <c r="C8" s="136">
        <v>2</v>
      </c>
      <c r="D8" s="178" t="s">
        <v>380</v>
      </c>
      <c r="E8" s="2">
        <v>4</v>
      </c>
      <c r="F8" s="2" t="s">
        <v>716</v>
      </c>
      <c r="G8" s="79" t="s">
        <v>921</v>
      </c>
      <c r="H8" s="1" t="s">
        <v>3187</v>
      </c>
      <c r="I8" s="1" t="s">
        <v>379</v>
      </c>
      <c r="J8" s="80">
        <v>110</v>
      </c>
      <c r="K8" s="2">
        <v>1.4</v>
      </c>
      <c r="L8" s="83"/>
    </row>
    <row r="9" spans="3:12" s="84" customFormat="1" ht="31.5">
      <c r="C9" s="135">
        <v>3</v>
      </c>
      <c r="D9" s="178" t="s">
        <v>381</v>
      </c>
      <c r="E9" s="2">
        <v>4</v>
      </c>
      <c r="F9" s="2" t="s">
        <v>716</v>
      </c>
      <c r="G9" s="79" t="s">
        <v>921</v>
      </c>
      <c r="H9" s="1" t="s">
        <v>3188</v>
      </c>
      <c r="I9" s="1" t="s">
        <v>379</v>
      </c>
      <c r="J9" s="80">
        <v>410</v>
      </c>
      <c r="K9" s="2">
        <v>2.2000000000000002</v>
      </c>
      <c r="L9" s="83"/>
    </row>
    <row r="10" spans="3:12" s="84" customFormat="1" ht="31.5">
      <c r="C10" s="136">
        <v>4</v>
      </c>
      <c r="D10" s="178" t="s">
        <v>3202</v>
      </c>
      <c r="E10" s="2" t="s">
        <v>3184</v>
      </c>
      <c r="F10" s="2" t="s">
        <v>716</v>
      </c>
      <c r="G10" s="79" t="s">
        <v>921</v>
      </c>
      <c r="H10" s="1" t="s">
        <v>359</v>
      </c>
      <c r="I10" s="1" t="s">
        <v>382</v>
      </c>
      <c r="J10" s="80">
        <v>900</v>
      </c>
      <c r="K10" s="2">
        <v>20</v>
      </c>
      <c r="L10" s="83"/>
    </row>
    <row r="11" spans="3:12" s="84" customFormat="1" ht="31.5">
      <c r="C11" s="136"/>
      <c r="D11" s="178" t="s">
        <v>3492</v>
      </c>
      <c r="E11" s="2">
        <v>6</v>
      </c>
      <c r="F11" s="2" t="s">
        <v>716</v>
      </c>
      <c r="G11" s="79" t="s">
        <v>921</v>
      </c>
      <c r="H11" s="1" t="s">
        <v>382</v>
      </c>
      <c r="I11" s="1" t="s">
        <v>3189</v>
      </c>
      <c r="J11" s="80">
        <v>698</v>
      </c>
      <c r="K11" s="2">
        <v>10.9</v>
      </c>
      <c r="L11" s="83"/>
    </row>
    <row r="12" spans="3:12" s="84" customFormat="1" ht="31.5">
      <c r="C12" s="136">
        <v>5</v>
      </c>
      <c r="D12" s="178" t="s">
        <v>3203</v>
      </c>
      <c r="E12" s="2">
        <v>5</v>
      </c>
      <c r="F12" s="2" t="s">
        <v>716</v>
      </c>
      <c r="G12" s="79" t="s">
        <v>921</v>
      </c>
      <c r="H12" s="1" t="s">
        <v>384</v>
      </c>
      <c r="I12" s="1" t="s">
        <v>3190</v>
      </c>
      <c r="J12" s="80">
        <v>120</v>
      </c>
      <c r="K12" s="2">
        <v>7</v>
      </c>
      <c r="L12" s="83"/>
    </row>
    <row r="13" spans="3:12" s="84" customFormat="1" ht="31.5">
      <c r="C13" s="136"/>
      <c r="D13" s="178" t="s">
        <v>3493</v>
      </c>
      <c r="E13" s="2" t="s">
        <v>360</v>
      </c>
      <c r="F13" s="2" t="s">
        <v>716</v>
      </c>
      <c r="G13" s="79" t="s">
        <v>921</v>
      </c>
      <c r="H13" s="1" t="s">
        <v>3190</v>
      </c>
      <c r="I13" s="1" t="s">
        <v>361</v>
      </c>
      <c r="J13" s="80">
        <v>726</v>
      </c>
      <c r="K13" s="2">
        <v>2</v>
      </c>
      <c r="L13" s="83"/>
    </row>
    <row r="14" spans="3:12" s="84" customFormat="1" ht="31.5">
      <c r="C14" s="136"/>
      <c r="D14" s="178" t="s">
        <v>3494</v>
      </c>
      <c r="E14" s="2">
        <v>6</v>
      </c>
      <c r="F14" s="2" t="s">
        <v>716</v>
      </c>
      <c r="G14" s="79" t="s">
        <v>921</v>
      </c>
      <c r="H14" s="1" t="s">
        <v>383</v>
      </c>
      <c r="I14" s="1" t="s">
        <v>3191</v>
      </c>
      <c r="J14" s="80">
        <v>267</v>
      </c>
      <c r="K14" s="2">
        <v>2.9</v>
      </c>
      <c r="L14" s="83"/>
    </row>
    <row r="15" spans="3:12" s="84" customFormat="1" ht="31.5">
      <c r="C15" s="136">
        <v>6</v>
      </c>
      <c r="D15" s="178" t="s">
        <v>385</v>
      </c>
      <c r="E15" s="2" t="s">
        <v>3185</v>
      </c>
      <c r="F15" s="2" t="s">
        <v>716</v>
      </c>
      <c r="G15" s="79" t="s">
        <v>921</v>
      </c>
      <c r="H15" s="1" t="s">
        <v>362</v>
      </c>
      <c r="I15" s="1" t="s">
        <v>386</v>
      </c>
      <c r="J15" s="80">
        <v>1577</v>
      </c>
      <c r="K15" s="2">
        <v>7</v>
      </c>
      <c r="L15" s="83"/>
    </row>
    <row r="16" spans="3:12" s="84" customFormat="1" ht="31.5">
      <c r="C16" s="136">
        <v>7</v>
      </c>
      <c r="D16" s="178" t="s">
        <v>3204</v>
      </c>
      <c r="E16" s="2">
        <v>8</v>
      </c>
      <c r="F16" s="2" t="s">
        <v>716</v>
      </c>
      <c r="G16" s="79" t="s">
        <v>921</v>
      </c>
      <c r="H16" s="1" t="s">
        <v>3192</v>
      </c>
      <c r="I16" s="1" t="s">
        <v>3193</v>
      </c>
      <c r="J16" s="80">
        <v>1428</v>
      </c>
      <c r="K16" s="2">
        <v>20.6</v>
      </c>
      <c r="L16" s="83"/>
    </row>
    <row r="17" spans="3:12" s="84" customFormat="1" ht="31.5">
      <c r="C17" s="136"/>
      <c r="D17" s="178" t="s">
        <v>3495</v>
      </c>
      <c r="E17" s="2">
        <v>8</v>
      </c>
      <c r="F17" s="2" t="s">
        <v>716</v>
      </c>
      <c r="G17" s="79" t="s">
        <v>921</v>
      </c>
      <c r="H17" s="1" t="s">
        <v>3193</v>
      </c>
      <c r="I17" s="1" t="s">
        <v>3194</v>
      </c>
      <c r="J17" s="80">
        <v>814</v>
      </c>
      <c r="K17" s="2">
        <v>42.8</v>
      </c>
      <c r="L17" s="83"/>
    </row>
    <row r="18" spans="3:12" s="84" customFormat="1" ht="31.5">
      <c r="C18" s="136">
        <v>8</v>
      </c>
      <c r="D18" s="178" t="s">
        <v>389</v>
      </c>
      <c r="E18" s="2">
        <v>8</v>
      </c>
      <c r="F18" s="2" t="s">
        <v>716</v>
      </c>
      <c r="G18" s="79" t="s">
        <v>921</v>
      </c>
      <c r="H18" s="1" t="s">
        <v>3195</v>
      </c>
      <c r="I18" s="1" t="s">
        <v>388</v>
      </c>
      <c r="J18" s="80">
        <v>291</v>
      </c>
      <c r="K18" s="2">
        <v>7</v>
      </c>
      <c r="L18" s="83"/>
    </row>
    <row r="19" spans="3:12" s="84" customFormat="1" ht="31.5">
      <c r="C19" s="136">
        <v>9</v>
      </c>
      <c r="D19" s="178" t="s">
        <v>390</v>
      </c>
      <c r="E19" s="2">
        <v>8</v>
      </c>
      <c r="F19" s="2" t="s">
        <v>716</v>
      </c>
      <c r="G19" s="79" t="s">
        <v>921</v>
      </c>
      <c r="H19" s="1" t="s">
        <v>3196</v>
      </c>
      <c r="I19" s="1" t="s">
        <v>3193</v>
      </c>
      <c r="J19" s="80">
        <v>1540</v>
      </c>
      <c r="K19" s="2">
        <v>21.7</v>
      </c>
      <c r="L19" s="83"/>
    </row>
    <row r="20" spans="3:12" s="84" customFormat="1" ht="31.5">
      <c r="C20" s="136">
        <v>10</v>
      </c>
      <c r="D20" s="178" t="s">
        <v>391</v>
      </c>
      <c r="E20" s="2">
        <v>8</v>
      </c>
      <c r="F20" s="2" t="s">
        <v>716</v>
      </c>
      <c r="G20" s="79" t="s">
        <v>921</v>
      </c>
      <c r="H20" s="1" t="s">
        <v>363</v>
      </c>
      <c r="I20" s="1" t="s">
        <v>388</v>
      </c>
      <c r="J20" s="80">
        <v>421</v>
      </c>
      <c r="K20" s="2">
        <v>7.8</v>
      </c>
      <c r="L20" s="83"/>
    </row>
    <row r="21" spans="3:12" s="84" customFormat="1" ht="31.5">
      <c r="C21" s="136">
        <v>11</v>
      </c>
      <c r="D21" s="178" t="s">
        <v>392</v>
      </c>
      <c r="E21" s="2">
        <v>8</v>
      </c>
      <c r="F21" s="2" t="s">
        <v>716</v>
      </c>
      <c r="G21" s="79" t="s">
        <v>921</v>
      </c>
      <c r="H21" s="1" t="s">
        <v>3435</v>
      </c>
      <c r="I21" s="1" t="s">
        <v>3199</v>
      </c>
      <c r="J21" s="80">
        <v>730</v>
      </c>
      <c r="K21" s="2">
        <v>7.1</v>
      </c>
      <c r="L21" s="83"/>
    </row>
    <row r="22" spans="3:12" s="84" customFormat="1" ht="31.5">
      <c r="C22" s="136">
        <v>12</v>
      </c>
      <c r="D22" s="178" t="s">
        <v>3789</v>
      </c>
      <c r="E22" s="2">
        <v>8</v>
      </c>
      <c r="F22" s="2" t="s">
        <v>716</v>
      </c>
      <c r="G22" s="79" t="s">
        <v>921</v>
      </c>
      <c r="H22" s="1" t="s">
        <v>1119</v>
      </c>
      <c r="I22" s="1" t="s">
        <v>384</v>
      </c>
      <c r="J22" s="80">
        <v>400</v>
      </c>
      <c r="K22" s="2"/>
      <c r="L22" s="83"/>
    </row>
    <row r="23" spans="3:12" s="84" customFormat="1" ht="31.5">
      <c r="C23" s="136">
        <v>13</v>
      </c>
      <c r="D23" s="178" t="s">
        <v>393</v>
      </c>
      <c r="E23" s="2">
        <v>8</v>
      </c>
      <c r="F23" s="2" t="s">
        <v>716</v>
      </c>
      <c r="G23" s="79" t="s">
        <v>921</v>
      </c>
      <c r="H23" s="1" t="s">
        <v>1119</v>
      </c>
      <c r="I23" s="1" t="s">
        <v>384</v>
      </c>
      <c r="J23" s="80">
        <v>775</v>
      </c>
      <c r="K23" s="2">
        <v>11.6</v>
      </c>
      <c r="L23" s="83"/>
    </row>
    <row r="24" spans="3:12" s="84" customFormat="1" ht="31.5">
      <c r="C24" s="136">
        <v>14</v>
      </c>
      <c r="D24" s="178" t="s">
        <v>394</v>
      </c>
      <c r="E24" s="2">
        <v>8</v>
      </c>
      <c r="F24" s="2" t="s">
        <v>716</v>
      </c>
      <c r="G24" s="79" t="s">
        <v>921</v>
      </c>
      <c r="H24" s="1" t="s">
        <v>3197</v>
      </c>
      <c r="I24" s="1" t="s">
        <v>395</v>
      </c>
      <c r="J24" s="80">
        <v>231</v>
      </c>
      <c r="K24" s="2">
        <v>4.0999999999999996</v>
      </c>
      <c r="L24" s="83"/>
    </row>
    <row r="25" spans="3:12" s="84" customFormat="1" ht="31.5">
      <c r="C25" s="136">
        <v>15</v>
      </c>
      <c r="D25" s="178" t="s">
        <v>396</v>
      </c>
      <c r="E25" s="2">
        <v>8</v>
      </c>
      <c r="F25" s="2" t="s">
        <v>716</v>
      </c>
      <c r="G25" s="79" t="s">
        <v>921</v>
      </c>
      <c r="H25" s="1" t="s">
        <v>403</v>
      </c>
      <c r="I25" s="1" t="s">
        <v>100</v>
      </c>
      <c r="J25" s="80">
        <v>1960</v>
      </c>
      <c r="K25" s="2">
        <v>20</v>
      </c>
      <c r="L25" s="83"/>
    </row>
    <row r="26" spans="3:12" s="84" customFormat="1" ht="31.5">
      <c r="C26" s="136">
        <v>16</v>
      </c>
      <c r="D26" s="178" t="s">
        <v>397</v>
      </c>
      <c r="E26" s="2">
        <v>8</v>
      </c>
      <c r="F26" s="2" t="s">
        <v>716</v>
      </c>
      <c r="G26" s="79" t="s">
        <v>921</v>
      </c>
      <c r="H26" s="1" t="s">
        <v>3198</v>
      </c>
      <c r="I26" s="1" t="s">
        <v>396</v>
      </c>
      <c r="J26" s="80">
        <v>291</v>
      </c>
      <c r="K26" s="2">
        <v>5</v>
      </c>
      <c r="L26" s="83"/>
    </row>
    <row r="27" spans="3:12" s="84" customFormat="1" ht="31.5">
      <c r="C27" s="136">
        <v>17</v>
      </c>
      <c r="D27" s="178" t="s">
        <v>398</v>
      </c>
      <c r="E27" s="2">
        <v>8</v>
      </c>
      <c r="F27" s="2" t="s">
        <v>716</v>
      </c>
      <c r="G27" s="79" t="s">
        <v>921</v>
      </c>
      <c r="H27" s="1" t="s">
        <v>3198</v>
      </c>
      <c r="I27" s="1" t="s">
        <v>396</v>
      </c>
      <c r="J27" s="80">
        <v>236</v>
      </c>
      <c r="K27" s="2">
        <v>4.8</v>
      </c>
      <c r="L27" s="83"/>
    </row>
    <row r="28" spans="3:12" s="84" customFormat="1" ht="31.5">
      <c r="C28" s="136">
        <v>18</v>
      </c>
      <c r="D28" s="178" t="s">
        <v>399</v>
      </c>
      <c r="E28" s="2">
        <v>8</v>
      </c>
      <c r="F28" s="2" t="s">
        <v>716</v>
      </c>
      <c r="G28" s="79" t="s">
        <v>921</v>
      </c>
      <c r="H28" s="1" t="s">
        <v>3398</v>
      </c>
      <c r="I28" s="1" t="s">
        <v>396</v>
      </c>
      <c r="J28" s="80">
        <v>320</v>
      </c>
      <c r="K28" s="2">
        <v>6.5</v>
      </c>
      <c r="L28" s="83"/>
    </row>
    <row r="29" spans="3:12" s="84" customFormat="1" ht="31.5">
      <c r="C29" s="136">
        <v>19</v>
      </c>
      <c r="D29" s="178" t="s">
        <v>400</v>
      </c>
      <c r="E29" s="2">
        <v>8</v>
      </c>
      <c r="F29" s="2" t="s">
        <v>716</v>
      </c>
      <c r="G29" s="79" t="s">
        <v>921</v>
      </c>
      <c r="H29" s="1" t="s">
        <v>3551</v>
      </c>
      <c r="I29" s="1" t="s">
        <v>396</v>
      </c>
      <c r="J29" s="80">
        <v>292</v>
      </c>
      <c r="K29" s="2">
        <v>5.8</v>
      </c>
      <c r="L29" s="83"/>
    </row>
    <row r="30" spans="3:12" s="84" customFormat="1" ht="31.5">
      <c r="C30" s="136">
        <v>20</v>
      </c>
      <c r="D30" s="178" t="s">
        <v>401</v>
      </c>
      <c r="E30" s="2">
        <v>8</v>
      </c>
      <c r="F30" s="2" t="s">
        <v>716</v>
      </c>
      <c r="G30" s="79" t="s">
        <v>921</v>
      </c>
      <c r="H30" s="1" t="s">
        <v>3552</v>
      </c>
      <c r="I30" s="1" t="s">
        <v>396</v>
      </c>
      <c r="J30" s="80">
        <v>163</v>
      </c>
      <c r="K30" s="2">
        <v>8.3000000000000007</v>
      </c>
      <c r="L30" s="83"/>
    </row>
    <row r="31" spans="3:12" s="84" customFormat="1" ht="31.5">
      <c r="C31" s="136">
        <v>21</v>
      </c>
      <c r="D31" s="178" t="s">
        <v>402</v>
      </c>
      <c r="E31" s="2">
        <v>8</v>
      </c>
      <c r="F31" s="2" t="s">
        <v>716</v>
      </c>
      <c r="G31" s="79" t="s">
        <v>921</v>
      </c>
      <c r="H31" s="1" t="s">
        <v>3553</v>
      </c>
      <c r="I31" s="1" t="s">
        <v>396</v>
      </c>
      <c r="J31" s="80">
        <v>438</v>
      </c>
      <c r="K31" s="2">
        <v>6.2</v>
      </c>
      <c r="L31" s="83"/>
    </row>
    <row r="32" spans="3:12" s="84" customFormat="1" ht="31.5">
      <c r="C32" s="136">
        <v>22</v>
      </c>
      <c r="D32" s="178" t="s">
        <v>403</v>
      </c>
      <c r="E32" s="2">
        <v>8</v>
      </c>
      <c r="F32" s="2" t="s">
        <v>716</v>
      </c>
      <c r="G32" s="79" t="s">
        <v>921</v>
      </c>
      <c r="H32" s="1" t="s">
        <v>1119</v>
      </c>
      <c r="I32" s="1" t="s">
        <v>3587</v>
      </c>
      <c r="J32" s="80">
        <v>1240</v>
      </c>
      <c r="K32" s="2">
        <v>11</v>
      </c>
      <c r="L32" s="83"/>
    </row>
    <row r="33" spans="3:12" s="84" customFormat="1" ht="31.5">
      <c r="C33" s="136">
        <v>23</v>
      </c>
      <c r="D33" s="178" t="s">
        <v>404</v>
      </c>
      <c r="E33" s="2">
        <v>8</v>
      </c>
      <c r="F33" s="2" t="s">
        <v>716</v>
      </c>
      <c r="G33" s="79" t="s">
        <v>921</v>
      </c>
      <c r="H33" s="1" t="s">
        <v>399</v>
      </c>
      <c r="I33" s="1" t="s">
        <v>3399</v>
      </c>
      <c r="J33" s="80">
        <v>858</v>
      </c>
      <c r="K33" s="2">
        <v>2</v>
      </c>
      <c r="L33" s="83"/>
    </row>
    <row r="34" spans="3:12" s="84" customFormat="1" ht="31.5">
      <c r="C34" s="136">
        <v>24</v>
      </c>
      <c r="D34" s="178" t="s">
        <v>3200</v>
      </c>
      <c r="E34" s="2">
        <v>8</v>
      </c>
      <c r="F34" s="2" t="s">
        <v>716</v>
      </c>
      <c r="G34" s="79" t="s">
        <v>921</v>
      </c>
      <c r="H34" s="1" t="s">
        <v>3554</v>
      </c>
      <c r="I34" s="1" t="s">
        <v>3400</v>
      </c>
      <c r="J34" s="80">
        <v>443</v>
      </c>
      <c r="K34" s="2">
        <v>4.5</v>
      </c>
      <c r="L34" s="83"/>
    </row>
    <row r="35" spans="3:12" s="84" customFormat="1" ht="31.5">
      <c r="C35" s="136"/>
      <c r="D35" s="178" t="s">
        <v>3496</v>
      </c>
      <c r="E35" s="2">
        <v>8</v>
      </c>
      <c r="F35" s="2" t="s">
        <v>716</v>
      </c>
      <c r="G35" s="79" t="s">
        <v>921</v>
      </c>
      <c r="H35" s="1" t="s">
        <v>405</v>
      </c>
      <c r="I35" s="1" t="s">
        <v>388</v>
      </c>
      <c r="J35" s="80">
        <v>645</v>
      </c>
      <c r="K35" s="2">
        <v>6.7</v>
      </c>
      <c r="L35" s="83"/>
    </row>
    <row r="36" spans="3:12" s="84" customFormat="1" ht="31.5">
      <c r="C36" s="136">
        <v>25</v>
      </c>
      <c r="D36" s="178" t="s">
        <v>3438</v>
      </c>
      <c r="E36" s="2">
        <v>8</v>
      </c>
      <c r="F36" s="2" t="s">
        <v>716</v>
      </c>
      <c r="G36" s="79" t="s">
        <v>921</v>
      </c>
      <c r="H36" s="1" t="s">
        <v>3397</v>
      </c>
      <c r="I36" s="1" t="s">
        <v>406</v>
      </c>
      <c r="J36" s="80">
        <v>1256</v>
      </c>
      <c r="K36" s="2">
        <v>8</v>
      </c>
      <c r="L36" s="83"/>
    </row>
    <row r="37" spans="3:12" s="84" customFormat="1" ht="31.5">
      <c r="C37" s="136">
        <v>26</v>
      </c>
      <c r="D37" s="178" t="s">
        <v>3439</v>
      </c>
      <c r="E37" s="2">
        <v>8</v>
      </c>
      <c r="F37" s="2" t="s">
        <v>716</v>
      </c>
      <c r="G37" s="79" t="s">
        <v>921</v>
      </c>
      <c r="H37" s="1" t="s">
        <v>3397</v>
      </c>
      <c r="I37" s="1" t="s">
        <v>407</v>
      </c>
      <c r="J37" s="80">
        <v>2356</v>
      </c>
      <c r="K37" s="2">
        <v>38.299999999999997</v>
      </c>
      <c r="L37" s="83"/>
    </row>
    <row r="38" spans="3:12" s="84" customFormat="1" ht="31.5">
      <c r="C38" s="136">
        <v>27</v>
      </c>
      <c r="D38" s="178" t="s">
        <v>3440</v>
      </c>
      <c r="E38" s="2">
        <v>8</v>
      </c>
      <c r="F38" s="2" t="s">
        <v>716</v>
      </c>
      <c r="G38" s="79" t="s">
        <v>921</v>
      </c>
      <c r="H38" s="1" t="s">
        <v>3397</v>
      </c>
      <c r="I38" s="1" t="s">
        <v>407</v>
      </c>
      <c r="J38" s="80">
        <v>1650</v>
      </c>
      <c r="K38" s="2">
        <v>16.100000000000001</v>
      </c>
      <c r="L38" s="83"/>
    </row>
    <row r="39" spans="3:12" s="84" customFormat="1" ht="31.5">
      <c r="C39" s="136">
        <v>28</v>
      </c>
      <c r="D39" s="178" t="s">
        <v>3441</v>
      </c>
      <c r="E39" s="2">
        <v>8</v>
      </c>
      <c r="F39" s="2" t="s">
        <v>716</v>
      </c>
      <c r="G39" s="79" t="s">
        <v>921</v>
      </c>
      <c r="H39" s="1" t="s">
        <v>3397</v>
      </c>
      <c r="I39" s="1" t="s">
        <v>407</v>
      </c>
      <c r="J39" s="80">
        <v>400</v>
      </c>
      <c r="K39" s="2">
        <v>20</v>
      </c>
      <c r="L39" s="83"/>
    </row>
    <row r="40" spans="3:12" s="84" customFormat="1" ht="31.5">
      <c r="C40" s="136">
        <v>29</v>
      </c>
      <c r="D40" s="178" t="s">
        <v>408</v>
      </c>
      <c r="E40" s="2">
        <v>11</v>
      </c>
      <c r="F40" s="2" t="s">
        <v>716</v>
      </c>
      <c r="G40" s="79" t="s">
        <v>921</v>
      </c>
      <c r="H40" s="1" t="s">
        <v>409</v>
      </c>
      <c r="I40" s="1" t="s">
        <v>410</v>
      </c>
      <c r="J40" s="80">
        <v>713</v>
      </c>
      <c r="K40" s="2">
        <v>5.9</v>
      </c>
      <c r="L40" s="83"/>
    </row>
    <row r="41" spans="3:12" s="84" customFormat="1" ht="31.5">
      <c r="C41" s="136">
        <v>30</v>
      </c>
      <c r="D41" s="178" t="s">
        <v>1036</v>
      </c>
      <c r="E41" s="2" t="s">
        <v>411</v>
      </c>
      <c r="F41" s="2" t="s">
        <v>716</v>
      </c>
      <c r="G41" s="79" t="s">
        <v>921</v>
      </c>
      <c r="H41" s="1" t="s">
        <v>364</v>
      </c>
      <c r="I41" s="1" t="s">
        <v>1037</v>
      </c>
      <c r="J41" s="80">
        <v>430</v>
      </c>
      <c r="K41" s="81" t="s">
        <v>312</v>
      </c>
      <c r="L41" s="83"/>
    </row>
    <row r="42" spans="3:12" s="84" customFormat="1" ht="31.5">
      <c r="C42" s="136">
        <v>31</v>
      </c>
      <c r="D42" s="178" t="s">
        <v>412</v>
      </c>
      <c r="E42" s="2" t="s">
        <v>411</v>
      </c>
      <c r="F42" s="2" t="s">
        <v>716</v>
      </c>
      <c r="G42" s="79" t="s">
        <v>921</v>
      </c>
      <c r="H42" s="1" t="s">
        <v>3510</v>
      </c>
      <c r="I42" s="1" t="s">
        <v>3511</v>
      </c>
      <c r="J42" s="80">
        <v>544</v>
      </c>
      <c r="K42" s="2">
        <v>2.1</v>
      </c>
      <c r="L42" s="83"/>
    </row>
    <row r="43" spans="3:12" s="84" customFormat="1" ht="31.5">
      <c r="C43" s="136">
        <v>32</v>
      </c>
      <c r="D43" s="178" t="s">
        <v>413</v>
      </c>
      <c r="E43" s="2" t="s">
        <v>411</v>
      </c>
      <c r="F43" s="2" t="s">
        <v>716</v>
      </c>
      <c r="G43" s="79" t="s">
        <v>921</v>
      </c>
      <c r="H43" s="1" t="s">
        <v>3511</v>
      </c>
      <c r="I43" s="1" t="s">
        <v>3196</v>
      </c>
      <c r="J43" s="80">
        <v>540</v>
      </c>
      <c r="K43" s="2">
        <v>7.2</v>
      </c>
      <c r="L43" s="83"/>
    </row>
    <row r="44" spans="3:12" s="84" customFormat="1" ht="31.5">
      <c r="C44" s="136">
        <v>33</v>
      </c>
      <c r="D44" s="178" t="s">
        <v>416</v>
      </c>
      <c r="E44" s="2" t="s">
        <v>411</v>
      </c>
      <c r="F44" s="2" t="s">
        <v>716</v>
      </c>
      <c r="G44" s="79" t="s">
        <v>921</v>
      </c>
      <c r="H44" s="1" t="s">
        <v>3512</v>
      </c>
      <c r="I44" s="1" t="s">
        <v>3588</v>
      </c>
      <c r="J44" s="80">
        <v>1967</v>
      </c>
      <c r="K44" s="2">
        <v>3</v>
      </c>
      <c r="L44" s="83"/>
    </row>
    <row r="45" spans="3:12" s="84" customFormat="1" ht="31.5">
      <c r="C45" s="136">
        <v>34</v>
      </c>
      <c r="D45" s="178" t="s">
        <v>2852</v>
      </c>
      <c r="E45" s="2" t="s">
        <v>411</v>
      </c>
      <c r="F45" s="2" t="s">
        <v>716</v>
      </c>
      <c r="G45" s="79" t="s">
        <v>921</v>
      </c>
      <c r="H45" s="1" t="s">
        <v>418</v>
      </c>
      <c r="I45" s="1" t="s">
        <v>419</v>
      </c>
      <c r="J45" s="80">
        <v>580</v>
      </c>
      <c r="K45" s="2">
        <v>1</v>
      </c>
      <c r="L45" s="83"/>
    </row>
    <row r="46" spans="3:12" s="84" customFormat="1" ht="47.25">
      <c r="C46" s="136">
        <v>35</v>
      </c>
      <c r="D46" s="178" t="s">
        <v>421</v>
      </c>
      <c r="E46" s="2" t="s">
        <v>411</v>
      </c>
      <c r="F46" s="2" t="s">
        <v>716</v>
      </c>
      <c r="G46" s="79" t="s">
        <v>921</v>
      </c>
      <c r="H46" s="1" t="s">
        <v>3513</v>
      </c>
      <c r="I46" s="1" t="s">
        <v>422</v>
      </c>
      <c r="J46" s="80">
        <v>2133</v>
      </c>
      <c r="K46" s="2">
        <v>8.1</v>
      </c>
      <c r="L46" s="83"/>
    </row>
    <row r="47" spans="3:12" s="84" customFormat="1" ht="31.5">
      <c r="C47" s="136">
        <v>36</v>
      </c>
      <c r="D47" s="178" t="s">
        <v>1078</v>
      </c>
      <c r="E47" s="2" t="s">
        <v>411</v>
      </c>
      <c r="F47" s="2" t="s">
        <v>716</v>
      </c>
      <c r="G47" s="79" t="s">
        <v>921</v>
      </c>
      <c r="H47" s="1" t="s">
        <v>3555</v>
      </c>
      <c r="I47" s="1" t="s">
        <v>426</v>
      </c>
      <c r="J47" s="80">
        <v>600</v>
      </c>
      <c r="K47" s="2">
        <v>2.8</v>
      </c>
      <c r="L47" s="83"/>
    </row>
    <row r="48" spans="3:12" s="84" customFormat="1" ht="31.5">
      <c r="C48" s="136">
        <v>37</v>
      </c>
      <c r="D48" s="178" t="s">
        <v>1080</v>
      </c>
      <c r="E48" s="2" t="s">
        <v>411</v>
      </c>
      <c r="F48" s="2" t="s">
        <v>716</v>
      </c>
      <c r="G48" s="79" t="s">
        <v>921</v>
      </c>
      <c r="H48" s="1" t="s">
        <v>3556</v>
      </c>
      <c r="I48" s="1" t="s">
        <v>367</v>
      </c>
      <c r="J48" s="80">
        <v>700</v>
      </c>
      <c r="K48" s="2">
        <v>3</v>
      </c>
      <c r="L48" s="83"/>
    </row>
    <row r="49" spans="3:12" s="84" customFormat="1" ht="31.5">
      <c r="C49" s="136">
        <v>38</v>
      </c>
      <c r="D49" s="178" t="s">
        <v>427</v>
      </c>
      <c r="E49" s="2" t="s">
        <v>411</v>
      </c>
      <c r="F49" s="2" t="s">
        <v>716</v>
      </c>
      <c r="G49" s="79" t="s">
        <v>921</v>
      </c>
      <c r="H49" s="1" t="s">
        <v>428</v>
      </c>
      <c r="I49" s="1" t="s">
        <v>3196</v>
      </c>
      <c r="J49" s="80">
        <v>684</v>
      </c>
      <c r="K49" s="2">
        <v>25.2</v>
      </c>
      <c r="L49" s="83"/>
    </row>
    <row r="50" spans="3:12" s="84" customFormat="1" ht="63">
      <c r="C50" s="136">
        <v>39</v>
      </c>
      <c r="D50" s="178" t="s">
        <v>419</v>
      </c>
      <c r="E50" s="2" t="s">
        <v>411</v>
      </c>
      <c r="F50" s="2" t="s">
        <v>716</v>
      </c>
      <c r="G50" s="79" t="s">
        <v>921</v>
      </c>
      <c r="H50" s="1" t="s">
        <v>368</v>
      </c>
      <c r="I50" s="1" t="s">
        <v>422</v>
      </c>
      <c r="J50" s="80">
        <v>2000</v>
      </c>
      <c r="K50" s="2">
        <v>7</v>
      </c>
      <c r="L50" s="83"/>
    </row>
    <row r="51" spans="3:12" s="84" customFormat="1" ht="47.25" customHeight="1">
      <c r="C51" s="136">
        <v>40</v>
      </c>
      <c r="D51" s="178" t="s">
        <v>1045</v>
      </c>
      <c r="E51" s="2" t="s">
        <v>1087</v>
      </c>
      <c r="F51" s="2" t="s">
        <v>716</v>
      </c>
      <c r="G51" s="79" t="s">
        <v>921</v>
      </c>
      <c r="H51" s="1" t="s">
        <v>3396</v>
      </c>
      <c r="I51" s="1" t="s">
        <v>3401</v>
      </c>
      <c r="J51" s="80">
        <f>2294+2800</f>
        <v>5094</v>
      </c>
      <c r="K51" s="82" t="s">
        <v>225</v>
      </c>
      <c r="L51" s="83"/>
    </row>
    <row r="52" spans="3:12" s="84" customFormat="1" ht="47.25">
      <c r="C52" s="136">
        <v>41</v>
      </c>
      <c r="D52" s="178" t="s">
        <v>472</v>
      </c>
      <c r="E52" s="2" t="s">
        <v>1098</v>
      </c>
      <c r="F52" s="2" t="s">
        <v>716</v>
      </c>
      <c r="G52" s="79" t="s">
        <v>921</v>
      </c>
      <c r="H52" s="1" t="s">
        <v>3557</v>
      </c>
      <c r="I52" s="1" t="s">
        <v>1075</v>
      </c>
      <c r="J52" s="80">
        <v>3650</v>
      </c>
      <c r="K52" s="2">
        <v>10</v>
      </c>
      <c r="L52" s="83"/>
    </row>
    <row r="53" spans="3:12" s="84" customFormat="1" ht="31.5">
      <c r="C53" s="136">
        <v>42</v>
      </c>
      <c r="D53" s="178" t="s">
        <v>430</v>
      </c>
      <c r="E53" s="2" t="s">
        <v>431</v>
      </c>
      <c r="F53" s="2" t="s">
        <v>716</v>
      </c>
      <c r="G53" s="79" t="s">
        <v>921</v>
      </c>
      <c r="H53" s="1" t="s">
        <v>1088</v>
      </c>
      <c r="I53" s="1" t="s">
        <v>3402</v>
      </c>
      <c r="J53" s="80">
        <v>1191</v>
      </c>
      <c r="K53" s="2">
        <v>9</v>
      </c>
      <c r="L53" s="83"/>
    </row>
    <row r="54" spans="3:12" s="84" customFormat="1" ht="31.5">
      <c r="C54" s="136">
        <v>43</v>
      </c>
      <c r="D54" s="178" t="s">
        <v>432</v>
      </c>
      <c r="E54" s="2" t="s">
        <v>431</v>
      </c>
      <c r="F54" s="2" t="s">
        <v>716</v>
      </c>
      <c r="G54" s="79" t="s">
        <v>921</v>
      </c>
      <c r="H54" s="1" t="s">
        <v>3395</v>
      </c>
      <c r="I54" s="1" t="s">
        <v>433</v>
      </c>
      <c r="J54" s="80">
        <v>364</v>
      </c>
      <c r="K54" s="2">
        <v>37.9</v>
      </c>
      <c r="L54" s="83"/>
    </row>
    <row r="55" spans="3:12" s="84" customFormat="1" ht="31.5">
      <c r="C55" s="136">
        <v>44</v>
      </c>
      <c r="D55" s="178" t="s">
        <v>434</v>
      </c>
      <c r="E55" s="2" t="s">
        <v>431</v>
      </c>
      <c r="F55" s="2" t="s">
        <v>716</v>
      </c>
      <c r="G55" s="79" t="s">
        <v>921</v>
      </c>
      <c r="H55" s="1" t="s">
        <v>3395</v>
      </c>
      <c r="I55" s="1" t="s">
        <v>433</v>
      </c>
      <c r="J55" s="80">
        <v>745</v>
      </c>
      <c r="K55" s="2">
        <v>42.4</v>
      </c>
      <c r="L55" s="83"/>
    </row>
    <row r="56" spans="3:12" s="84" customFormat="1" ht="31.5">
      <c r="C56" s="136">
        <v>45</v>
      </c>
      <c r="D56" s="178" t="s">
        <v>435</v>
      </c>
      <c r="E56" s="2" t="s">
        <v>431</v>
      </c>
      <c r="F56" s="2" t="s">
        <v>716</v>
      </c>
      <c r="G56" s="79" t="s">
        <v>921</v>
      </c>
      <c r="H56" s="1" t="s">
        <v>3394</v>
      </c>
      <c r="I56" s="1" t="s">
        <v>3395</v>
      </c>
      <c r="J56" s="80">
        <v>522</v>
      </c>
      <c r="K56" s="2">
        <v>40.200000000000003</v>
      </c>
      <c r="L56" s="83"/>
    </row>
    <row r="57" spans="3:12" s="84" customFormat="1" ht="31.5">
      <c r="C57" s="136">
        <v>46</v>
      </c>
      <c r="D57" s="178" t="s">
        <v>3485</v>
      </c>
      <c r="E57" s="2" t="s">
        <v>431</v>
      </c>
      <c r="F57" s="2" t="s">
        <v>716</v>
      </c>
      <c r="G57" s="79" t="s">
        <v>921</v>
      </c>
      <c r="H57" s="1" t="s">
        <v>3393</v>
      </c>
      <c r="I57" s="1" t="s">
        <v>3403</v>
      </c>
      <c r="J57" s="80">
        <v>1023</v>
      </c>
      <c r="K57" s="2">
        <v>26.6</v>
      </c>
      <c r="L57" s="83"/>
    </row>
    <row r="58" spans="3:12" s="84" customFormat="1" ht="63">
      <c r="C58" s="136"/>
      <c r="D58" s="178" t="s">
        <v>3497</v>
      </c>
      <c r="E58" s="2" t="s">
        <v>431</v>
      </c>
      <c r="F58" s="2" t="s">
        <v>716</v>
      </c>
      <c r="G58" s="79" t="s">
        <v>921</v>
      </c>
      <c r="H58" s="1" t="s">
        <v>3392</v>
      </c>
      <c r="I58" s="1" t="s">
        <v>3404</v>
      </c>
      <c r="J58" s="80">
        <v>980</v>
      </c>
      <c r="K58" s="2">
        <v>8.6</v>
      </c>
      <c r="L58" s="83"/>
    </row>
    <row r="59" spans="3:12" s="84" customFormat="1" ht="31.5">
      <c r="C59" s="136">
        <v>47</v>
      </c>
      <c r="D59" s="178" t="s">
        <v>3498</v>
      </c>
      <c r="E59" s="2" t="s">
        <v>431</v>
      </c>
      <c r="F59" s="2" t="s">
        <v>716</v>
      </c>
      <c r="G59" s="79" t="s">
        <v>921</v>
      </c>
      <c r="H59" s="1" t="s">
        <v>3391</v>
      </c>
      <c r="I59" s="1" t="s">
        <v>3405</v>
      </c>
      <c r="J59" s="80">
        <v>347</v>
      </c>
      <c r="K59" s="2">
        <v>5.2</v>
      </c>
      <c r="L59" s="83"/>
    </row>
    <row r="60" spans="3:12" s="84" customFormat="1" ht="31.5">
      <c r="C60" s="136">
        <v>48</v>
      </c>
      <c r="D60" s="178" t="s">
        <v>3499</v>
      </c>
      <c r="E60" s="2" t="s">
        <v>431</v>
      </c>
      <c r="F60" s="2" t="s">
        <v>716</v>
      </c>
      <c r="G60" s="79" t="s">
        <v>921</v>
      </c>
      <c r="H60" s="1" t="s">
        <v>3514</v>
      </c>
      <c r="I60" s="1" t="s">
        <v>436</v>
      </c>
      <c r="J60" s="80">
        <v>140</v>
      </c>
      <c r="K60" s="2">
        <v>2.5</v>
      </c>
      <c r="L60" s="83"/>
    </row>
    <row r="61" spans="3:12" s="84" customFormat="1" ht="31.5">
      <c r="C61" s="136">
        <v>49</v>
      </c>
      <c r="D61" s="178" t="s">
        <v>3205</v>
      </c>
      <c r="E61" s="2" t="s">
        <v>431</v>
      </c>
      <c r="F61" s="2" t="s">
        <v>716</v>
      </c>
      <c r="G61" s="79" t="s">
        <v>921</v>
      </c>
      <c r="H61" s="1" t="s">
        <v>438</v>
      </c>
      <c r="I61" s="1" t="s">
        <v>3407</v>
      </c>
      <c r="J61" s="80">
        <v>631</v>
      </c>
      <c r="K61" s="2">
        <v>24</v>
      </c>
      <c r="L61" s="83"/>
    </row>
    <row r="62" spans="3:12" s="84" customFormat="1" ht="31.5">
      <c r="C62" s="136"/>
      <c r="D62" s="178" t="s">
        <v>3500</v>
      </c>
      <c r="E62" s="2" t="s">
        <v>431</v>
      </c>
      <c r="F62" s="2" t="s">
        <v>716</v>
      </c>
      <c r="G62" s="79" t="s">
        <v>921</v>
      </c>
      <c r="H62" s="1" t="s">
        <v>3390</v>
      </c>
      <c r="I62" s="1" t="s">
        <v>3406</v>
      </c>
      <c r="J62" s="80">
        <v>651</v>
      </c>
      <c r="K62" s="2">
        <v>28</v>
      </c>
      <c r="L62" s="83"/>
    </row>
    <row r="63" spans="3:12" s="84" customFormat="1" ht="31.5">
      <c r="C63" s="136"/>
      <c r="D63" s="178" t="s">
        <v>3501</v>
      </c>
      <c r="E63" s="2" t="s">
        <v>431</v>
      </c>
      <c r="F63" s="2" t="s">
        <v>716</v>
      </c>
      <c r="G63" s="79" t="s">
        <v>921</v>
      </c>
      <c r="H63" s="1" t="s">
        <v>369</v>
      </c>
      <c r="I63" s="1" t="s">
        <v>3201</v>
      </c>
      <c r="J63" s="80">
        <v>312</v>
      </c>
      <c r="K63" s="2">
        <v>10.8</v>
      </c>
      <c r="L63" s="83"/>
    </row>
    <row r="64" spans="3:12" s="84" customFormat="1" ht="31.5">
      <c r="C64" s="136"/>
      <c r="D64" s="178" t="s">
        <v>3502</v>
      </c>
      <c r="E64" s="2" t="s">
        <v>431</v>
      </c>
      <c r="F64" s="2" t="s">
        <v>716</v>
      </c>
      <c r="G64" s="79" t="s">
        <v>921</v>
      </c>
      <c r="H64" s="1" t="s">
        <v>3201</v>
      </c>
      <c r="I64" s="1" t="s">
        <v>3407</v>
      </c>
      <c r="J64" s="80">
        <v>640</v>
      </c>
      <c r="K64" s="2">
        <v>8.8000000000000007</v>
      </c>
      <c r="L64" s="83"/>
    </row>
    <row r="65" spans="3:12" s="84" customFormat="1" ht="31.5">
      <c r="C65" s="136">
        <v>50</v>
      </c>
      <c r="D65" s="178" t="s">
        <v>3503</v>
      </c>
      <c r="E65" s="2" t="s">
        <v>431</v>
      </c>
      <c r="F65" s="2" t="s">
        <v>716</v>
      </c>
      <c r="G65" s="79" t="s">
        <v>921</v>
      </c>
      <c r="H65" s="1" t="s">
        <v>387</v>
      </c>
      <c r="I65" s="1" t="s">
        <v>437</v>
      </c>
      <c r="J65" s="80">
        <v>143</v>
      </c>
      <c r="K65" s="2">
        <v>2.2999999999999998</v>
      </c>
      <c r="L65" s="83"/>
    </row>
    <row r="66" spans="3:12" s="84" customFormat="1" ht="63">
      <c r="C66" s="136">
        <v>51</v>
      </c>
      <c r="D66" s="178" t="s">
        <v>3206</v>
      </c>
      <c r="E66" s="2" t="s">
        <v>431</v>
      </c>
      <c r="F66" s="2" t="s">
        <v>716</v>
      </c>
      <c r="G66" s="79" t="s">
        <v>921</v>
      </c>
      <c r="H66" s="1" t="s">
        <v>3558</v>
      </c>
      <c r="I66" s="1" t="s">
        <v>439</v>
      </c>
      <c r="J66" s="80">
        <v>460</v>
      </c>
      <c r="K66" s="2">
        <v>3.5</v>
      </c>
      <c r="L66" s="83"/>
    </row>
    <row r="67" spans="3:12" s="84" customFormat="1" ht="31.5">
      <c r="C67" s="136"/>
      <c r="D67" s="178" t="s">
        <v>3504</v>
      </c>
      <c r="E67" s="2" t="s">
        <v>431</v>
      </c>
      <c r="F67" s="2" t="s">
        <v>716</v>
      </c>
      <c r="G67" s="79" t="s">
        <v>921</v>
      </c>
      <c r="H67" s="1" t="s">
        <v>387</v>
      </c>
      <c r="I67" s="1" t="s">
        <v>439</v>
      </c>
      <c r="J67" s="80">
        <v>410</v>
      </c>
      <c r="K67" s="2">
        <v>6.9</v>
      </c>
      <c r="L67" s="83"/>
    </row>
    <row r="68" spans="3:12" s="84" customFormat="1" ht="31.5">
      <c r="C68" s="136">
        <v>52</v>
      </c>
      <c r="D68" s="178" t="s">
        <v>353</v>
      </c>
      <c r="E68" s="2" t="s">
        <v>431</v>
      </c>
      <c r="F68" s="2" t="s">
        <v>716</v>
      </c>
      <c r="G68" s="79" t="s">
        <v>921</v>
      </c>
      <c r="H68" s="1" t="s">
        <v>3389</v>
      </c>
      <c r="I68" s="1" t="s">
        <v>433</v>
      </c>
      <c r="J68" s="80">
        <v>250</v>
      </c>
      <c r="K68" s="2">
        <v>2</v>
      </c>
      <c r="L68" s="83"/>
    </row>
    <row r="69" spans="3:12" s="84" customFormat="1" ht="31.5">
      <c r="C69" s="136">
        <v>53</v>
      </c>
      <c r="D69" s="178" t="s">
        <v>3207</v>
      </c>
      <c r="E69" s="2" t="s">
        <v>431</v>
      </c>
      <c r="F69" s="2" t="s">
        <v>716</v>
      </c>
      <c r="G69" s="79" t="s">
        <v>921</v>
      </c>
      <c r="H69" s="1" t="s">
        <v>3388</v>
      </c>
      <c r="I69" s="1" t="s">
        <v>3387</v>
      </c>
      <c r="J69" s="80">
        <v>445</v>
      </c>
      <c r="K69" s="2">
        <v>22.3</v>
      </c>
      <c r="L69" s="83"/>
    </row>
    <row r="70" spans="3:12" s="84" customFormat="1" ht="31.5">
      <c r="C70" s="136"/>
      <c r="D70" s="178" t="s">
        <v>3486</v>
      </c>
      <c r="E70" s="2" t="s">
        <v>431</v>
      </c>
      <c r="F70" s="2" t="s">
        <v>716</v>
      </c>
      <c r="G70" s="79" t="s">
        <v>921</v>
      </c>
      <c r="H70" s="1" t="s">
        <v>3387</v>
      </c>
      <c r="I70" s="1" t="s">
        <v>3382</v>
      </c>
      <c r="J70" s="80">
        <v>585</v>
      </c>
      <c r="K70" s="2">
        <v>33.200000000000003</v>
      </c>
      <c r="L70" s="83"/>
    </row>
    <row r="71" spans="3:12" s="84" customFormat="1" ht="31.5">
      <c r="C71" s="136"/>
      <c r="D71" s="178" t="s">
        <v>3487</v>
      </c>
      <c r="E71" s="2" t="s">
        <v>431</v>
      </c>
      <c r="F71" s="2" t="s">
        <v>716</v>
      </c>
      <c r="G71" s="79" t="s">
        <v>921</v>
      </c>
      <c r="H71" s="1" t="s">
        <v>3382</v>
      </c>
      <c r="I71" s="1" t="s">
        <v>3383</v>
      </c>
      <c r="J71" s="80">
        <v>512</v>
      </c>
      <c r="K71" s="2">
        <v>30.4</v>
      </c>
      <c r="L71" s="83"/>
    </row>
    <row r="72" spans="3:12" s="84" customFormat="1" ht="31.5">
      <c r="C72" s="136"/>
      <c r="D72" s="178" t="s">
        <v>3488</v>
      </c>
      <c r="E72" s="2" t="s">
        <v>431</v>
      </c>
      <c r="F72" s="2" t="s">
        <v>716</v>
      </c>
      <c r="G72" s="79" t="s">
        <v>921</v>
      </c>
      <c r="H72" s="1" t="s">
        <v>3383</v>
      </c>
      <c r="I72" s="1" t="s">
        <v>3408</v>
      </c>
      <c r="J72" s="80">
        <v>320</v>
      </c>
      <c r="K72" s="2">
        <v>34.9</v>
      </c>
      <c r="L72" s="83"/>
    </row>
    <row r="73" spans="3:12" s="84" customFormat="1" ht="31.5">
      <c r="C73" s="136">
        <v>54</v>
      </c>
      <c r="D73" s="178" t="s">
        <v>3489</v>
      </c>
      <c r="E73" s="2" t="s">
        <v>431</v>
      </c>
      <c r="F73" s="2" t="s">
        <v>716</v>
      </c>
      <c r="G73" s="79" t="s">
        <v>921</v>
      </c>
      <c r="H73" s="1" t="s">
        <v>3384</v>
      </c>
      <c r="I73" s="1" t="s">
        <v>3382</v>
      </c>
      <c r="J73" s="80">
        <v>316</v>
      </c>
      <c r="K73" s="2">
        <v>6</v>
      </c>
      <c r="L73" s="83"/>
    </row>
    <row r="74" spans="3:12" s="84" customFormat="1" ht="31.5">
      <c r="C74" s="136"/>
      <c r="D74" s="178" t="s">
        <v>3490</v>
      </c>
      <c r="E74" s="2" t="s">
        <v>431</v>
      </c>
      <c r="F74" s="2" t="s">
        <v>716</v>
      </c>
      <c r="G74" s="79" t="s">
        <v>921</v>
      </c>
      <c r="H74" s="1" t="s">
        <v>3385</v>
      </c>
      <c r="I74" s="1" t="s">
        <v>370</v>
      </c>
      <c r="J74" s="80">
        <v>232</v>
      </c>
      <c r="K74" s="2">
        <v>2.8</v>
      </c>
      <c r="L74" s="83"/>
    </row>
    <row r="75" spans="3:12" s="84" customFormat="1" ht="31.5">
      <c r="C75" s="136"/>
      <c r="D75" s="178" t="s">
        <v>3491</v>
      </c>
      <c r="E75" s="2" t="s">
        <v>431</v>
      </c>
      <c r="F75" s="2" t="s">
        <v>716</v>
      </c>
      <c r="G75" s="79" t="s">
        <v>921</v>
      </c>
      <c r="H75" s="1" t="s">
        <v>3386</v>
      </c>
      <c r="I75" s="1" t="s">
        <v>371</v>
      </c>
      <c r="J75" s="80">
        <v>138</v>
      </c>
      <c r="K75" s="2">
        <v>3</v>
      </c>
      <c r="L75" s="83"/>
    </row>
    <row r="76" spans="3:12" s="84" customFormat="1" ht="31.5">
      <c r="C76" s="136">
        <v>55</v>
      </c>
      <c r="D76" s="178" t="s">
        <v>441</v>
      </c>
      <c r="E76" s="2" t="s">
        <v>431</v>
      </c>
      <c r="F76" s="2" t="s">
        <v>716</v>
      </c>
      <c r="G76" s="79" t="s">
        <v>921</v>
      </c>
      <c r="H76" s="1" t="s">
        <v>442</v>
      </c>
      <c r="I76" s="1" t="s">
        <v>443</v>
      </c>
      <c r="J76" s="80">
        <v>554</v>
      </c>
      <c r="K76" s="2">
        <v>2.2000000000000002</v>
      </c>
      <c r="L76" s="83"/>
    </row>
    <row r="77" spans="3:12" s="84" customFormat="1" ht="31.5">
      <c r="C77" s="136">
        <v>56</v>
      </c>
      <c r="D77" s="178" t="s">
        <v>430</v>
      </c>
      <c r="E77" s="2" t="s">
        <v>431</v>
      </c>
      <c r="F77" s="2" t="s">
        <v>716</v>
      </c>
      <c r="G77" s="79" t="s">
        <v>921</v>
      </c>
      <c r="H77" s="1" t="s">
        <v>372</v>
      </c>
      <c r="I77" s="1" t="s">
        <v>443</v>
      </c>
      <c r="J77" s="80">
        <v>640</v>
      </c>
      <c r="K77" s="2">
        <v>9</v>
      </c>
      <c r="L77" s="83"/>
    </row>
    <row r="78" spans="3:12" s="84" customFormat="1" ht="31.5">
      <c r="C78" s="136">
        <v>57</v>
      </c>
      <c r="D78" s="178" t="s">
        <v>446</v>
      </c>
      <c r="E78" s="2" t="s">
        <v>445</v>
      </c>
      <c r="F78" s="2" t="s">
        <v>716</v>
      </c>
      <c r="G78" s="79" t="s">
        <v>921</v>
      </c>
      <c r="H78" s="1" t="s">
        <v>3559</v>
      </c>
      <c r="I78" s="1" t="s">
        <v>444</v>
      </c>
      <c r="J78" s="80">
        <v>112</v>
      </c>
      <c r="K78" s="2" t="s">
        <v>373</v>
      </c>
      <c r="L78" s="83"/>
    </row>
    <row r="79" spans="3:12" s="84" customFormat="1" ht="31.5">
      <c r="C79" s="136">
        <v>58</v>
      </c>
      <c r="D79" s="178" t="s">
        <v>447</v>
      </c>
      <c r="E79" s="2" t="s">
        <v>445</v>
      </c>
      <c r="F79" s="2" t="s">
        <v>716</v>
      </c>
      <c r="G79" s="79" t="s">
        <v>921</v>
      </c>
      <c r="H79" s="1" t="s">
        <v>3560</v>
      </c>
      <c r="I79" s="1" t="s">
        <v>3409</v>
      </c>
      <c r="J79" s="80">
        <v>350</v>
      </c>
      <c r="K79" s="2">
        <v>6.6</v>
      </c>
      <c r="L79" s="83"/>
    </row>
    <row r="80" spans="3:12" s="84" customFormat="1" ht="31.5">
      <c r="C80" s="136">
        <v>59</v>
      </c>
      <c r="D80" s="178" t="s">
        <v>448</v>
      </c>
      <c r="E80" s="2" t="s">
        <v>445</v>
      </c>
      <c r="F80" s="2" t="s">
        <v>716</v>
      </c>
      <c r="G80" s="79" t="s">
        <v>921</v>
      </c>
      <c r="H80" s="1" t="s">
        <v>3484</v>
      </c>
      <c r="I80" s="1" t="s">
        <v>447</v>
      </c>
      <c r="J80" s="80">
        <v>660</v>
      </c>
      <c r="K80" s="2">
        <v>4.5</v>
      </c>
      <c r="L80" s="83"/>
    </row>
    <row r="81" spans="3:12" s="84" customFormat="1" ht="47.25">
      <c r="C81" s="136">
        <v>60</v>
      </c>
      <c r="D81" s="178" t="s">
        <v>449</v>
      </c>
      <c r="E81" s="2" t="s">
        <v>445</v>
      </c>
      <c r="F81" s="2" t="s">
        <v>716</v>
      </c>
      <c r="G81" s="79" t="s">
        <v>921</v>
      </c>
      <c r="H81" s="1" t="s">
        <v>264</v>
      </c>
      <c r="I81" s="1" t="s">
        <v>450</v>
      </c>
      <c r="J81" s="80">
        <v>127</v>
      </c>
      <c r="K81" s="2">
        <v>1.5</v>
      </c>
      <c r="L81" s="83"/>
    </row>
    <row r="82" spans="3:12" s="84" customFormat="1" ht="47.25">
      <c r="C82" s="136">
        <v>61</v>
      </c>
      <c r="D82" s="178" t="s">
        <v>451</v>
      </c>
      <c r="E82" s="2" t="s">
        <v>445</v>
      </c>
      <c r="F82" s="2" t="s">
        <v>716</v>
      </c>
      <c r="G82" s="79" t="s">
        <v>921</v>
      </c>
      <c r="H82" s="1" t="s">
        <v>265</v>
      </c>
      <c r="I82" s="1" t="s">
        <v>463</v>
      </c>
      <c r="J82" s="80">
        <v>783</v>
      </c>
      <c r="K82" s="2">
        <v>10</v>
      </c>
      <c r="L82" s="83"/>
    </row>
    <row r="83" spans="3:12" s="84" customFormat="1" ht="31.5">
      <c r="C83" s="136">
        <v>62</v>
      </c>
      <c r="D83" s="178" t="s">
        <v>266</v>
      </c>
      <c r="E83" s="2" t="s">
        <v>445</v>
      </c>
      <c r="F83" s="2" t="s">
        <v>716</v>
      </c>
      <c r="G83" s="79" t="s">
        <v>921</v>
      </c>
      <c r="H83" s="1" t="s">
        <v>452</v>
      </c>
      <c r="I83" s="1" t="s">
        <v>597</v>
      </c>
      <c r="J83" s="80">
        <v>670</v>
      </c>
      <c r="K83" s="2">
        <v>17.5</v>
      </c>
      <c r="L83" s="83"/>
    </row>
    <row r="84" spans="3:12" s="84" customFormat="1" ht="47.25">
      <c r="C84" s="136">
        <v>63</v>
      </c>
      <c r="D84" s="178" t="s">
        <v>267</v>
      </c>
      <c r="E84" s="2" t="s">
        <v>445</v>
      </c>
      <c r="F84" s="2" t="s">
        <v>716</v>
      </c>
      <c r="G84" s="79" t="s">
        <v>921</v>
      </c>
      <c r="H84" s="1" t="s">
        <v>3561</v>
      </c>
      <c r="I84" s="1" t="s">
        <v>3589</v>
      </c>
      <c r="J84" s="80">
        <v>1220</v>
      </c>
      <c r="K84" s="2">
        <v>3</v>
      </c>
      <c r="L84" s="83"/>
    </row>
    <row r="85" spans="3:12" s="84" customFormat="1" ht="31.5">
      <c r="C85" s="136">
        <v>64</v>
      </c>
      <c r="D85" s="178" t="s">
        <v>268</v>
      </c>
      <c r="E85" s="2" t="s">
        <v>445</v>
      </c>
      <c r="F85" s="2" t="s">
        <v>716</v>
      </c>
      <c r="G85" s="79" t="s">
        <v>921</v>
      </c>
      <c r="H85" s="1" t="s">
        <v>3562</v>
      </c>
      <c r="I85" s="1" t="s">
        <v>597</v>
      </c>
      <c r="J85" s="80">
        <v>370</v>
      </c>
      <c r="K85" s="2">
        <v>13.6</v>
      </c>
      <c r="L85" s="83"/>
    </row>
    <row r="86" spans="3:12" s="84" customFormat="1" ht="31.5">
      <c r="C86" s="136">
        <v>65</v>
      </c>
      <c r="D86" s="178" t="s">
        <v>454</v>
      </c>
      <c r="E86" s="2" t="s">
        <v>445</v>
      </c>
      <c r="F86" s="2" t="s">
        <v>716</v>
      </c>
      <c r="G86" s="79" t="s">
        <v>921</v>
      </c>
      <c r="H86" s="1" t="s">
        <v>269</v>
      </c>
      <c r="I86" s="1" t="s">
        <v>453</v>
      </c>
      <c r="J86" s="80">
        <v>390</v>
      </c>
      <c r="K86" s="2">
        <v>2.4</v>
      </c>
      <c r="L86" s="83"/>
    </row>
    <row r="87" spans="3:12" s="84" customFormat="1" ht="31.5">
      <c r="C87" s="136">
        <v>66</v>
      </c>
      <c r="D87" s="178" t="s">
        <v>455</v>
      </c>
      <c r="E87" s="2" t="s">
        <v>445</v>
      </c>
      <c r="F87" s="2" t="s">
        <v>716</v>
      </c>
      <c r="G87" s="79" t="s">
        <v>921</v>
      </c>
      <c r="H87" s="1" t="s">
        <v>3563</v>
      </c>
      <c r="I87" s="1" t="s">
        <v>453</v>
      </c>
      <c r="J87" s="80">
        <v>260</v>
      </c>
      <c r="K87" s="2">
        <v>4.5999999999999996</v>
      </c>
      <c r="L87" s="83"/>
    </row>
    <row r="88" spans="3:12" s="84" customFormat="1" ht="47.25">
      <c r="C88" s="136">
        <v>67</v>
      </c>
      <c r="D88" s="178" t="s">
        <v>270</v>
      </c>
      <c r="E88" s="2" t="s">
        <v>445</v>
      </c>
      <c r="F88" s="2" t="s">
        <v>716</v>
      </c>
      <c r="G88" s="79" t="s">
        <v>921</v>
      </c>
      <c r="H88" s="1" t="s">
        <v>3564</v>
      </c>
      <c r="I88" s="1" t="s">
        <v>597</v>
      </c>
      <c r="J88" s="80">
        <v>481</v>
      </c>
      <c r="K88" s="2">
        <v>6.8</v>
      </c>
      <c r="L88" s="83"/>
    </row>
    <row r="89" spans="3:12" s="84" customFormat="1" ht="47.25">
      <c r="C89" s="136">
        <v>68</v>
      </c>
      <c r="D89" s="178" t="s">
        <v>271</v>
      </c>
      <c r="E89" s="2" t="s">
        <v>445</v>
      </c>
      <c r="F89" s="2" t="s">
        <v>716</v>
      </c>
      <c r="G89" s="79" t="s">
        <v>921</v>
      </c>
      <c r="H89" s="1" t="s">
        <v>3565</v>
      </c>
      <c r="I89" s="1" t="s">
        <v>3410</v>
      </c>
      <c r="J89" s="80">
        <v>127</v>
      </c>
      <c r="K89" s="2">
        <v>7</v>
      </c>
      <c r="L89" s="83"/>
    </row>
    <row r="90" spans="3:12" s="84" customFormat="1" ht="63">
      <c r="C90" s="136">
        <v>69</v>
      </c>
      <c r="D90" s="178" t="s">
        <v>457</v>
      </c>
      <c r="E90" s="2" t="s">
        <v>445</v>
      </c>
      <c r="F90" s="2" t="s">
        <v>716</v>
      </c>
      <c r="G90" s="79" t="s">
        <v>921</v>
      </c>
      <c r="H90" s="1" t="s">
        <v>3566</v>
      </c>
      <c r="I90" s="1" t="s">
        <v>597</v>
      </c>
      <c r="J90" s="80">
        <v>555</v>
      </c>
      <c r="K90" s="2">
        <v>20</v>
      </c>
      <c r="L90" s="83"/>
    </row>
    <row r="91" spans="3:12" s="84" customFormat="1" ht="63">
      <c r="C91" s="136">
        <v>70</v>
      </c>
      <c r="D91" s="178" t="s">
        <v>456</v>
      </c>
      <c r="E91" s="2" t="s">
        <v>445</v>
      </c>
      <c r="F91" s="2" t="s">
        <v>716</v>
      </c>
      <c r="G91" s="79" t="s">
        <v>921</v>
      </c>
      <c r="H91" s="1" t="s">
        <v>3567</v>
      </c>
      <c r="I91" s="1" t="s">
        <v>272</v>
      </c>
      <c r="J91" s="80">
        <v>288</v>
      </c>
      <c r="K91" s="2">
        <v>6.5</v>
      </c>
      <c r="L91" s="83"/>
    </row>
    <row r="92" spans="3:12" s="84" customFormat="1" ht="47.25">
      <c r="C92" s="136">
        <v>71</v>
      </c>
      <c r="D92" s="178" t="s">
        <v>458</v>
      </c>
      <c r="E92" s="2" t="s">
        <v>445</v>
      </c>
      <c r="F92" s="2" t="s">
        <v>716</v>
      </c>
      <c r="G92" s="79" t="s">
        <v>921</v>
      </c>
      <c r="H92" s="1" t="s">
        <v>273</v>
      </c>
      <c r="I92" s="1" t="s">
        <v>456</v>
      </c>
      <c r="J92" s="80">
        <v>58</v>
      </c>
      <c r="K92" s="2">
        <v>3.9</v>
      </c>
      <c r="L92" s="83"/>
    </row>
    <row r="93" spans="3:12" s="84" customFormat="1" ht="63">
      <c r="C93" s="136">
        <v>72</v>
      </c>
      <c r="D93" s="178" t="s">
        <v>459</v>
      </c>
      <c r="E93" s="2" t="s">
        <v>445</v>
      </c>
      <c r="F93" s="2" t="s">
        <v>716</v>
      </c>
      <c r="G93" s="79" t="s">
        <v>921</v>
      </c>
      <c r="H93" s="1" t="s">
        <v>3568</v>
      </c>
      <c r="I93" s="1" t="s">
        <v>274</v>
      </c>
      <c r="J93" s="80">
        <v>180</v>
      </c>
      <c r="K93" s="2">
        <v>6</v>
      </c>
      <c r="L93" s="83"/>
    </row>
    <row r="94" spans="3:12" s="84" customFormat="1" ht="47.25">
      <c r="C94" s="136">
        <v>73</v>
      </c>
      <c r="D94" s="178" t="s">
        <v>450</v>
      </c>
      <c r="E94" s="2" t="s">
        <v>445</v>
      </c>
      <c r="F94" s="2" t="s">
        <v>716</v>
      </c>
      <c r="G94" s="79" t="s">
        <v>921</v>
      </c>
      <c r="H94" s="1" t="s">
        <v>275</v>
      </c>
      <c r="I94" s="1" t="s">
        <v>3409</v>
      </c>
      <c r="J94" s="80">
        <v>846</v>
      </c>
      <c r="K94" s="2">
        <v>6</v>
      </c>
      <c r="L94" s="83"/>
    </row>
    <row r="95" spans="3:12" s="84" customFormat="1" ht="31.5">
      <c r="C95" s="136">
        <v>74</v>
      </c>
      <c r="D95" s="178" t="s">
        <v>460</v>
      </c>
      <c r="E95" s="2" t="s">
        <v>445</v>
      </c>
      <c r="F95" s="2" t="s">
        <v>716</v>
      </c>
      <c r="G95" s="79" t="s">
        <v>921</v>
      </c>
      <c r="H95" s="1" t="s">
        <v>276</v>
      </c>
      <c r="I95" s="1" t="s">
        <v>3411</v>
      </c>
      <c r="J95" s="80">
        <v>80</v>
      </c>
      <c r="K95" s="2">
        <v>2.5</v>
      </c>
      <c r="L95" s="83"/>
    </row>
    <row r="96" spans="3:12" s="84" customFormat="1" ht="31.5">
      <c r="C96" s="136">
        <v>75</v>
      </c>
      <c r="D96" s="178" t="s">
        <v>462</v>
      </c>
      <c r="E96" s="2" t="s">
        <v>445</v>
      </c>
      <c r="F96" s="2" t="s">
        <v>716</v>
      </c>
      <c r="G96" s="79" t="s">
        <v>921</v>
      </c>
      <c r="H96" s="1" t="s">
        <v>283</v>
      </c>
      <c r="I96" s="1" t="s">
        <v>597</v>
      </c>
      <c r="J96" s="80">
        <v>340</v>
      </c>
      <c r="K96" s="2">
        <v>3.7</v>
      </c>
      <c r="L96" s="83"/>
    </row>
    <row r="97" spans="3:12" s="84" customFormat="1" ht="31.5">
      <c r="C97" s="136">
        <v>76</v>
      </c>
      <c r="D97" s="178" t="s">
        <v>463</v>
      </c>
      <c r="E97" s="2" t="s">
        <v>445</v>
      </c>
      <c r="F97" s="2" t="s">
        <v>716</v>
      </c>
      <c r="G97" s="79" t="s">
        <v>921</v>
      </c>
      <c r="H97" s="1" t="s">
        <v>3569</v>
      </c>
      <c r="I97" s="1" t="s">
        <v>597</v>
      </c>
      <c r="J97" s="80">
        <v>360</v>
      </c>
      <c r="K97" s="2">
        <v>11</v>
      </c>
      <c r="L97" s="83"/>
    </row>
    <row r="98" spans="3:12" s="84" customFormat="1" ht="31.5">
      <c r="C98" s="136">
        <v>77</v>
      </c>
      <c r="D98" s="178" t="s">
        <v>3208</v>
      </c>
      <c r="E98" s="2" t="s">
        <v>464</v>
      </c>
      <c r="F98" s="2" t="s">
        <v>716</v>
      </c>
      <c r="G98" s="79" t="s">
        <v>921</v>
      </c>
      <c r="H98" s="1" t="s">
        <v>3380</v>
      </c>
      <c r="I98" s="1" t="s">
        <v>465</v>
      </c>
      <c r="J98" s="80">
        <v>400</v>
      </c>
      <c r="K98" s="2">
        <v>4</v>
      </c>
      <c r="L98" s="83"/>
    </row>
    <row r="99" spans="3:12" s="84" customFormat="1" ht="31.5">
      <c r="C99" s="136">
        <v>78</v>
      </c>
      <c r="D99" s="178" t="s">
        <v>3209</v>
      </c>
      <c r="E99" s="2" t="s">
        <v>464</v>
      </c>
      <c r="F99" s="2" t="s">
        <v>716</v>
      </c>
      <c r="G99" s="79" t="s">
        <v>921</v>
      </c>
      <c r="H99" s="1" t="s">
        <v>3379</v>
      </c>
      <c r="I99" s="1" t="s">
        <v>1076</v>
      </c>
      <c r="J99" s="80">
        <v>250</v>
      </c>
      <c r="K99" s="2">
        <v>3</v>
      </c>
      <c r="L99" s="83"/>
    </row>
    <row r="100" spans="3:12" s="84" customFormat="1" ht="31.5">
      <c r="C100" s="136">
        <v>79</v>
      </c>
      <c r="D100" s="178" t="s">
        <v>466</v>
      </c>
      <c r="E100" s="2" t="s">
        <v>464</v>
      </c>
      <c r="F100" s="2" t="s">
        <v>716</v>
      </c>
      <c r="G100" s="79" t="s">
        <v>921</v>
      </c>
      <c r="H100" s="1" t="s">
        <v>467</v>
      </c>
      <c r="I100" s="1" t="s">
        <v>597</v>
      </c>
      <c r="J100" s="80">
        <v>1236</v>
      </c>
      <c r="K100" s="2">
        <v>6.7</v>
      </c>
      <c r="L100" s="83"/>
    </row>
    <row r="101" spans="3:12" s="84" customFormat="1" ht="31.5">
      <c r="C101" s="136">
        <v>80</v>
      </c>
      <c r="D101" s="178" t="s">
        <v>468</v>
      </c>
      <c r="E101" s="2" t="s">
        <v>464</v>
      </c>
      <c r="F101" s="2" t="s">
        <v>716</v>
      </c>
      <c r="G101" s="79" t="s">
        <v>921</v>
      </c>
      <c r="H101" s="1" t="s">
        <v>374</v>
      </c>
      <c r="I101" s="1" t="s">
        <v>466</v>
      </c>
      <c r="J101" s="80">
        <v>1150</v>
      </c>
      <c r="K101" s="2">
        <v>4.2</v>
      </c>
      <c r="L101" s="83"/>
    </row>
    <row r="102" spans="3:12" s="157" customFormat="1" ht="31.5">
      <c r="C102" s="152">
        <v>81</v>
      </c>
      <c r="D102" s="178" t="s">
        <v>469</v>
      </c>
      <c r="E102" s="153" t="s">
        <v>470</v>
      </c>
      <c r="F102" s="153" t="s">
        <v>716</v>
      </c>
      <c r="G102" s="154" t="s">
        <v>921</v>
      </c>
      <c r="H102" s="155" t="s">
        <v>471</v>
      </c>
      <c r="I102" s="155" t="s">
        <v>472</v>
      </c>
      <c r="J102" s="156">
        <v>910</v>
      </c>
      <c r="K102" s="153">
        <v>3</v>
      </c>
      <c r="L102" s="158" t="s">
        <v>3779</v>
      </c>
    </row>
    <row r="103" spans="3:12" s="84" customFormat="1" ht="31.5">
      <c r="C103" s="136">
        <v>82</v>
      </c>
      <c r="D103" s="178" t="s">
        <v>473</v>
      </c>
      <c r="E103" s="2" t="s">
        <v>470</v>
      </c>
      <c r="F103" s="2" t="s">
        <v>716</v>
      </c>
      <c r="G103" s="79" t="s">
        <v>921</v>
      </c>
      <c r="H103" s="1" t="s">
        <v>3570</v>
      </c>
      <c r="I103" s="1" t="s">
        <v>385</v>
      </c>
      <c r="J103" s="80">
        <v>1064</v>
      </c>
      <c r="K103" s="2">
        <v>4</v>
      </c>
      <c r="L103" s="83"/>
    </row>
    <row r="104" spans="3:12" s="84" customFormat="1" ht="31.5">
      <c r="C104" s="136">
        <v>83</v>
      </c>
      <c r="D104" s="178" t="s">
        <v>475</v>
      </c>
      <c r="E104" s="2">
        <v>2</v>
      </c>
      <c r="F104" s="2" t="s">
        <v>716</v>
      </c>
      <c r="G104" s="79" t="s">
        <v>921</v>
      </c>
      <c r="H104" s="1" t="s">
        <v>375</v>
      </c>
      <c r="I104" s="1" t="s">
        <v>433</v>
      </c>
      <c r="J104" s="80">
        <v>999</v>
      </c>
      <c r="K104" s="2" t="s">
        <v>149</v>
      </c>
      <c r="L104" s="83"/>
    </row>
    <row r="105" spans="3:12" s="84" customFormat="1" ht="31.5">
      <c r="C105" s="136">
        <v>84</v>
      </c>
      <c r="D105" s="178" t="s">
        <v>476</v>
      </c>
      <c r="E105" s="2">
        <v>2</v>
      </c>
      <c r="F105" s="2" t="s">
        <v>716</v>
      </c>
      <c r="G105" s="79" t="s">
        <v>921</v>
      </c>
      <c r="H105" s="1" t="s">
        <v>477</v>
      </c>
      <c r="I105" s="1" t="s">
        <v>478</v>
      </c>
      <c r="J105" s="80">
        <v>1100</v>
      </c>
      <c r="K105" s="2" t="s">
        <v>150</v>
      </c>
      <c r="L105" s="83"/>
    </row>
    <row r="106" spans="3:12" s="84" customFormat="1" ht="31.5">
      <c r="C106" s="136">
        <v>85</v>
      </c>
      <c r="D106" s="178" t="s">
        <v>479</v>
      </c>
      <c r="E106" s="2">
        <v>2</v>
      </c>
      <c r="F106" s="2" t="s">
        <v>716</v>
      </c>
      <c r="G106" s="79" t="s">
        <v>921</v>
      </c>
      <c r="H106" s="1" t="s">
        <v>3608</v>
      </c>
      <c r="I106" s="1" t="s">
        <v>433</v>
      </c>
      <c r="J106" s="80">
        <v>1500</v>
      </c>
      <c r="K106" s="2" t="s">
        <v>151</v>
      </c>
      <c r="L106" s="83"/>
    </row>
    <row r="107" spans="3:12" s="84" customFormat="1" ht="31.5">
      <c r="C107" s="136">
        <v>86</v>
      </c>
      <c r="D107" s="178" t="s">
        <v>3210</v>
      </c>
      <c r="E107" s="2">
        <v>2</v>
      </c>
      <c r="F107" s="2" t="s">
        <v>716</v>
      </c>
      <c r="G107" s="79" t="s">
        <v>921</v>
      </c>
      <c r="H107" s="1" t="s">
        <v>484</v>
      </c>
      <c r="I107" s="1" t="s">
        <v>433</v>
      </c>
      <c r="J107" s="80">
        <v>140</v>
      </c>
      <c r="K107" s="2" t="s">
        <v>152</v>
      </c>
      <c r="L107" s="83"/>
    </row>
    <row r="108" spans="3:12" s="84" customFormat="1" ht="31.5">
      <c r="C108" s="136">
        <v>87</v>
      </c>
      <c r="D108" s="178" t="s">
        <v>3211</v>
      </c>
      <c r="E108" s="2">
        <v>2</v>
      </c>
      <c r="F108" s="2" t="s">
        <v>716</v>
      </c>
      <c r="G108" s="79" t="s">
        <v>921</v>
      </c>
      <c r="H108" s="1" t="s">
        <v>484</v>
      </c>
      <c r="I108" s="1" t="s">
        <v>433</v>
      </c>
      <c r="J108" s="80">
        <v>150</v>
      </c>
      <c r="K108" s="2" t="s">
        <v>152</v>
      </c>
      <c r="L108" s="83"/>
    </row>
    <row r="109" spans="3:12" s="84" customFormat="1" ht="31.5">
      <c r="C109" s="136">
        <v>88</v>
      </c>
      <c r="D109" s="178" t="s">
        <v>3212</v>
      </c>
      <c r="E109" s="2">
        <v>2</v>
      </c>
      <c r="F109" s="2" t="s">
        <v>716</v>
      </c>
      <c r="G109" s="79" t="s">
        <v>921</v>
      </c>
      <c r="H109" s="1" t="s">
        <v>484</v>
      </c>
      <c r="I109" s="1" t="s">
        <v>433</v>
      </c>
      <c r="J109" s="80">
        <v>200</v>
      </c>
      <c r="K109" s="2" t="s">
        <v>153</v>
      </c>
      <c r="L109" s="83"/>
    </row>
    <row r="110" spans="3:12" s="84" customFormat="1" ht="31.5">
      <c r="C110" s="136">
        <v>89</v>
      </c>
      <c r="D110" s="178" t="s">
        <v>3213</v>
      </c>
      <c r="E110" s="2">
        <v>2</v>
      </c>
      <c r="F110" s="2" t="s">
        <v>716</v>
      </c>
      <c r="G110" s="79" t="s">
        <v>921</v>
      </c>
      <c r="H110" s="1" t="s">
        <v>484</v>
      </c>
      <c r="I110" s="1" t="s">
        <v>433</v>
      </c>
      <c r="J110" s="80">
        <v>150</v>
      </c>
      <c r="K110" s="2" t="s">
        <v>154</v>
      </c>
      <c r="L110" s="83"/>
    </row>
    <row r="111" spans="3:12" s="84" customFormat="1" ht="31.5">
      <c r="C111" s="136">
        <v>90</v>
      </c>
      <c r="D111" s="178" t="s">
        <v>475</v>
      </c>
      <c r="E111" s="2">
        <v>2</v>
      </c>
      <c r="F111" s="2" t="s">
        <v>716</v>
      </c>
      <c r="G111" s="79" t="s">
        <v>921</v>
      </c>
      <c r="H111" s="1" t="s">
        <v>376</v>
      </c>
      <c r="I111" s="1" t="s">
        <v>433</v>
      </c>
      <c r="J111" s="80">
        <v>1000</v>
      </c>
      <c r="K111" s="2" t="s">
        <v>155</v>
      </c>
      <c r="L111" s="83"/>
    </row>
    <row r="112" spans="3:12" s="84" customFormat="1" ht="31.5">
      <c r="C112" s="136">
        <v>91</v>
      </c>
      <c r="D112" s="178" t="s">
        <v>480</v>
      </c>
      <c r="E112" s="2">
        <v>2</v>
      </c>
      <c r="F112" s="2" t="s">
        <v>716</v>
      </c>
      <c r="G112" s="79" t="s">
        <v>921</v>
      </c>
      <c r="H112" s="1" t="s">
        <v>3607</v>
      </c>
      <c r="I112" s="1" t="s">
        <v>576</v>
      </c>
      <c r="J112" s="80">
        <v>2200</v>
      </c>
      <c r="K112" s="2" t="s">
        <v>150</v>
      </c>
      <c r="L112" s="83"/>
    </row>
    <row r="113" spans="3:12" s="84" customFormat="1" ht="31.5">
      <c r="C113" s="136">
        <v>92</v>
      </c>
      <c r="D113" s="178" t="s">
        <v>3214</v>
      </c>
      <c r="E113" s="2">
        <v>2</v>
      </c>
      <c r="F113" s="2" t="s">
        <v>716</v>
      </c>
      <c r="G113" s="79" t="s">
        <v>921</v>
      </c>
      <c r="H113" s="1" t="s">
        <v>576</v>
      </c>
      <c r="I113" s="1" t="s">
        <v>3590</v>
      </c>
      <c r="J113" s="80">
        <v>1600</v>
      </c>
      <c r="K113" s="2" t="s">
        <v>156</v>
      </c>
      <c r="L113" s="83"/>
    </row>
    <row r="114" spans="3:12" s="84" customFormat="1" ht="31.5">
      <c r="C114" s="136">
        <v>93</v>
      </c>
      <c r="D114" s="178" t="s">
        <v>520</v>
      </c>
      <c r="E114" s="2">
        <v>2</v>
      </c>
      <c r="F114" s="2" t="s">
        <v>716</v>
      </c>
      <c r="G114" s="79" t="s">
        <v>921</v>
      </c>
      <c r="H114" s="1" t="s">
        <v>481</v>
      </c>
      <c r="I114" s="1" t="s">
        <v>482</v>
      </c>
      <c r="J114" s="80">
        <v>3800</v>
      </c>
      <c r="K114" s="2" t="s">
        <v>156</v>
      </c>
      <c r="L114" s="83"/>
    </row>
    <row r="115" spans="3:12" s="84" customFormat="1" ht="31.5">
      <c r="C115" s="136">
        <v>94</v>
      </c>
      <c r="D115" s="178" t="s">
        <v>3442</v>
      </c>
      <c r="E115" s="2">
        <v>2</v>
      </c>
      <c r="F115" s="2" t="s">
        <v>716</v>
      </c>
      <c r="G115" s="79" t="s">
        <v>921</v>
      </c>
      <c r="H115" s="1" t="s">
        <v>520</v>
      </c>
      <c r="I115" s="1" t="s">
        <v>407</v>
      </c>
      <c r="J115" s="80">
        <v>1800</v>
      </c>
      <c r="K115" s="2" t="s">
        <v>150</v>
      </c>
      <c r="L115" s="83"/>
    </row>
    <row r="116" spans="3:12" s="84" customFormat="1" ht="31.5">
      <c r="C116" s="136">
        <v>95</v>
      </c>
      <c r="D116" s="178" t="s">
        <v>3443</v>
      </c>
      <c r="E116" s="2">
        <v>2</v>
      </c>
      <c r="F116" s="2" t="s">
        <v>716</v>
      </c>
      <c r="G116" s="79" t="s">
        <v>921</v>
      </c>
      <c r="H116" s="1" t="s">
        <v>520</v>
      </c>
      <c r="I116" s="1" t="s">
        <v>407</v>
      </c>
      <c r="J116" s="80">
        <v>3500</v>
      </c>
      <c r="K116" s="2" t="s">
        <v>150</v>
      </c>
      <c r="L116" s="83"/>
    </row>
    <row r="117" spans="3:12" s="84" customFormat="1" ht="31.5">
      <c r="C117" s="136">
        <v>96</v>
      </c>
      <c r="D117" s="178" t="s">
        <v>3444</v>
      </c>
      <c r="E117" s="2">
        <v>2</v>
      </c>
      <c r="F117" s="2" t="s">
        <v>716</v>
      </c>
      <c r="G117" s="79" t="s">
        <v>921</v>
      </c>
      <c r="H117" s="1" t="s">
        <v>520</v>
      </c>
      <c r="I117" s="1" t="s">
        <v>407</v>
      </c>
      <c r="J117" s="80">
        <v>1300</v>
      </c>
      <c r="K117" s="2" t="s">
        <v>157</v>
      </c>
      <c r="L117" s="83"/>
    </row>
    <row r="118" spans="3:12" s="84" customFormat="1" ht="31.5">
      <c r="C118" s="136">
        <v>97</v>
      </c>
      <c r="D118" s="178" t="s">
        <v>377</v>
      </c>
      <c r="E118" s="2">
        <v>2</v>
      </c>
      <c r="F118" s="2" t="s">
        <v>716</v>
      </c>
      <c r="G118" s="79" t="s">
        <v>921</v>
      </c>
      <c r="H118" s="1" t="s">
        <v>3609</v>
      </c>
      <c r="I118" s="1" t="s">
        <v>433</v>
      </c>
      <c r="J118" s="80">
        <v>1100</v>
      </c>
      <c r="K118" s="2" t="s">
        <v>156</v>
      </c>
      <c r="L118" s="83"/>
    </row>
    <row r="119" spans="3:12" s="84" customFormat="1" ht="31.5">
      <c r="C119" s="136">
        <v>98</v>
      </c>
      <c r="D119" s="178" t="s">
        <v>3636</v>
      </c>
      <c r="E119" s="2">
        <v>2</v>
      </c>
      <c r="F119" s="2" t="s">
        <v>716</v>
      </c>
      <c r="G119" s="79" t="s">
        <v>921</v>
      </c>
      <c r="H119" s="1" t="s">
        <v>375</v>
      </c>
      <c r="I119" s="1" t="s">
        <v>378</v>
      </c>
      <c r="J119" s="80">
        <v>1200</v>
      </c>
      <c r="K119" s="2" t="s">
        <v>158</v>
      </c>
      <c r="L119" s="83"/>
    </row>
    <row r="120" spans="3:12" s="84" customFormat="1" ht="31.5">
      <c r="C120" s="136">
        <v>99</v>
      </c>
      <c r="D120" s="178" t="s">
        <v>3637</v>
      </c>
      <c r="E120" s="2">
        <v>2</v>
      </c>
      <c r="F120" s="2" t="s">
        <v>716</v>
      </c>
      <c r="G120" s="79" t="s">
        <v>921</v>
      </c>
      <c r="H120" s="1" t="s">
        <v>3610</v>
      </c>
      <c r="I120" s="1" t="s">
        <v>433</v>
      </c>
      <c r="J120" s="80">
        <v>700</v>
      </c>
      <c r="K120" s="2" t="s">
        <v>154</v>
      </c>
      <c r="L120" s="83"/>
    </row>
    <row r="121" spans="3:12" s="84" customFormat="1" ht="31.5">
      <c r="C121" s="136">
        <v>100</v>
      </c>
      <c r="D121" s="178" t="s">
        <v>483</v>
      </c>
      <c r="E121" s="2">
        <v>2</v>
      </c>
      <c r="F121" s="2" t="s">
        <v>716</v>
      </c>
      <c r="G121" s="79" t="s">
        <v>921</v>
      </c>
      <c r="H121" s="1" t="s">
        <v>3611</v>
      </c>
      <c r="I121" s="1" t="s">
        <v>484</v>
      </c>
      <c r="J121" s="80">
        <v>600</v>
      </c>
      <c r="K121" s="2" t="s">
        <v>154</v>
      </c>
      <c r="L121" s="83"/>
    </row>
    <row r="122" spans="3:12" s="84" customFormat="1" ht="31.5">
      <c r="C122" s="136">
        <v>101</v>
      </c>
      <c r="D122" s="178" t="s">
        <v>3215</v>
      </c>
      <c r="E122" s="2">
        <v>2</v>
      </c>
      <c r="F122" s="2" t="s">
        <v>716</v>
      </c>
      <c r="G122" s="79" t="s">
        <v>921</v>
      </c>
      <c r="H122" s="1" t="s">
        <v>3612</v>
      </c>
      <c r="I122" s="1" t="s">
        <v>482</v>
      </c>
      <c r="J122" s="80">
        <v>1300</v>
      </c>
      <c r="K122" s="2" t="s">
        <v>159</v>
      </c>
      <c r="L122" s="83"/>
    </row>
    <row r="123" spans="3:12" s="84" customFormat="1" ht="31.5">
      <c r="C123" s="136">
        <v>102</v>
      </c>
      <c r="D123" s="178" t="s">
        <v>3216</v>
      </c>
      <c r="E123" s="2">
        <v>2</v>
      </c>
      <c r="F123" s="2" t="s">
        <v>716</v>
      </c>
      <c r="G123" s="79" t="s">
        <v>921</v>
      </c>
      <c r="H123" s="1" t="s">
        <v>3613</v>
      </c>
      <c r="I123" s="1" t="s">
        <v>3614</v>
      </c>
      <c r="J123" s="80">
        <v>4500</v>
      </c>
      <c r="K123" s="2" t="s">
        <v>160</v>
      </c>
      <c r="L123" s="83"/>
    </row>
    <row r="124" spans="3:12" s="84" customFormat="1" ht="31.5">
      <c r="C124" s="136">
        <v>103</v>
      </c>
      <c r="D124" s="178" t="s">
        <v>3217</v>
      </c>
      <c r="E124" s="2">
        <v>2</v>
      </c>
      <c r="F124" s="2" t="s">
        <v>716</v>
      </c>
      <c r="G124" s="79" t="s">
        <v>921</v>
      </c>
      <c r="H124" s="1" t="s">
        <v>485</v>
      </c>
      <c r="I124" s="1" t="s">
        <v>3516</v>
      </c>
      <c r="J124" s="80">
        <v>1700</v>
      </c>
      <c r="K124" s="2" t="s">
        <v>158</v>
      </c>
      <c r="L124" s="83"/>
    </row>
    <row r="125" spans="3:12" s="84" customFormat="1" ht="31.5">
      <c r="C125" s="136">
        <v>104</v>
      </c>
      <c r="D125" s="178" t="s">
        <v>3218</v>
      </c>
      <c r="E125" s="2">
        <v>2</v>
      </c>
      <c r="F125" s="2" t="s">
        <v>716</v>
      </c>
      <c r="G125" s="79" t="s">
        <v>921</v>
      </c>
      <c r="H125" s="1" t="s">
        <v>3381</v>
      </c>
      <c r="I125" s="1" t="s">
        <v>433</v>
      </c>
      <c r="J125" s="80">
        <v>150</v>
      </c>
      <c r="K125" s="2" t="s">
        <v>156</v>
      </c>
      <c r="L125" s="83"/>
    </row>
    <row r="126" spans="3:12" s="84" customFormat="1" ht="31.5">
      <c r="C126" s="136">
        <v>105</v>
      </c>
      <c r="D126" s="178" t="s">
        <v>391</v>
      </c>
      <c r="E126" s="2">
        <v>2</v>
      </c>
      <c r="F126" s="2" t="s">
        <v>716</v>
      </c>
      <c r="G126" s="79" t="s">
        <v>921</v>
      </c>
      <c r="H126" s="1" t="s">
        <v>3378</v>
      </c>
      <c r="I126" s="1" t="s">
        <v>3608</v>
      </c>
      <c r="J126" s="80">
        <v>1000</v>
      </c>
      <c r="K126" s="2" t="s">
        <v>161</v>
      </c>
      <c r="L126" s="83"/>
    </row>
    <row r="127" spans="3:12" s="84" customFormat="1" ht="31.5">
      <c r="C127" s="136">
        <v>106</v>
      </c>
      <c r="D127" s="178" t="s">
        <v>3219</v>
      </c>
      <c r="E127" s="2">
        <v>2</v>
      </c>
      <c r="F127" s="2" t="s">
        <v>716</v>
      </c>
      <c r="G127" s="79" t="s">
        <v>921</v>
      </c>
      <c r="H127" s="1" t="s">
        <v>387</v>
      </c>
      <c r="I127" s="1" t="s">
        <v>520</v>
      </c>
      <c r="J127" s="80">
        <v>950</v>
      </c>
      <c r="K127" s="2" t="s">
        <v>156</v>
      </c>
      <c r="L127" s="83"/>
    </row>
    <row r="128" spans="3:12" s="84" customFormat="1" ht="31.5">
      <c r="C128" s="136">
        <v>107</v>
      </c>
      <c r="D128" s="178" t="s">
        <v>3638</v>
      </c>
      <c r="E128" s="2">
        <v>2</v>
      </c>
      <c r="F128" s="2" t="s">
        <v>716</v>
      </c>
      <c r="G128" s="79" t="s">
        <v>921</v>
      </c>
      <c r="H128" s="1" t="s">
        <v>485</v>
      </c>
      <c r="I128" s="1" t="s">
        <v>3615</v>
      </c>
      <c r="J128" s="80">
        <v>1800</v>
      </c>
      <c r="K128" s="2" t="s">
        <v>156</v>
      </c>
      <c r="L128" s="83"/>
    </row>
    <row r="129" spans="3:12" s="84" customFormat="1" ht="31.5">
      <c r="C129" s="136">
        <v>108</v>
      </c>
      <c r="D129" s="178" t="s">
        <v>3615</v>
      </c>
      <c r="E129" s="2">
        <v>2</v>
      </c>
      <c r="F129" s="2" t="s">
        <v>716</v>
      </c>
      <c r="G129" s="79" t="s">
        <v>921</v>
      </c>
      <c r="H129" s="1" t="s">
        <v>485</v>
      </c>
      <c r="I129" s="1" t="s">
        <v>486</v>
      </c>
      <c r="J129" s="80">
        <v>2000</v>
      </c>
      <c r="K129" s="2" t="s">
        <v>156</v>
      </c>
      <c r="L129" s="83"/>
    </row>
    <row r="130" spans="3:12" s="84" customFormat="1" ht="31.5">
      <c r="C130" s="136">
        <v>109</v>
      </c>
      <c r="D130" s="178" t="s">
        <v>487</v>
      </c>
      <c r="E130" s="2">
        <v>2</v>
      </c>
      <c r="F130" s="2" t="s">
        <v>716</v>
      </c>
      <c r="G130" s="79" t="s">
        <v>921</v>
      </c>
      <c r="H130" s="1" t="s">
        <v>488</v>
      </c>
      <c r="I130" s="1" t="s">
        <v>433</v>
      </c>
      <c r="J130" s="80">
        <v>1100</v>
      </c>
      <c r="K130" s="2" t="s">
        <v>162</v>
      </c>
      <c r="L130" s="83"/>
    </row>
    <row r="131" spans="3:12" s="84" customFormat="1" ht="31.5">
      <c r="C131" s="136">
        <v>110</v>
      </c>
      <c r="D131" s="178" t="s">
        <v>489</v>
      </c>
      <c r="E131" s="2">
        <v>2</v>
      </c>
      <c r="F131" s="2" t="s">
        <v>716</v>
      </c>
      <c r="G131" s="79" t="s">
        <v>921</v>
      </c>
      <c r="H131" s="1" t="s">
        <v>490</v>
      </c>
      <c r="I131" s="1" t="s">
        <v>485</v>
      </c>
      <c r="J131" s="80">
        <v>1100</v>
      </c>
      <c r="K131" s="2" t="s">
        <v>162</v>
      </c>
      <c r="L131" s="83"/>
    </row>
    <row r="132" spans="3:12" s="84" customFormat="1" ht="31.5">
      <c r="C132" s="136">
        <v>111</v>
      </c>
      <c r="D132" s="178" t="s">
        <v>491</v>
      </c>
      <c r="E132" s="2">
        <v>2</v>
      </c>
      <c r="F132" s="2" t="s">
        <v>716</v>
      </c>
      <c r="G132" s="79" t="s">
        <v>921</v>
      </c>
      <c r="H132" s="1" t="s">
        <v>492</v>
      </c>
      <c r="I132" s="1" t="s">
        <v>433</v>
      </c>
      <c r="J132" s="80">
        <v>2100</v>
      </c>
      <c r="K132" s="2" t="s">
        <v>150</v>
      </c>
      <c r="L132" s="83"/>
    </row>
    <row r="133" spans="3:12" s="84" customFormat="1" ht="31.5">
      <c r="C133" s="136">
        <v>112</v>
      </c>
      <c r="D133" s="178" t="s">
        <v>493</v>
      </c>
      <c r="E133" s="2">
        <v>2</v>
      </c>
      <c r="F133" s="2" t="s">
        <v>716</v>
      </c>
      <c r="G133" s="79" t="s">
        <v>921</v>
      </c>
      <c r="H133" s="1" t="s">
        <v>494</v>
      </c>
      <c r="I133" s="1" t="s">
        <v>433</v>
      </c>
      <c r="J133" s="80">
        <v>1360</v>
      </c>
      <c r="K133" s="2" t="s">
        <v>153</v>
      </c>
      <c r="L133" s="83"/>
    </row>
    <row r="134" spans="3:12" s="84" customFormat="1" ht="31.5">
      <c r="C134" s="136">
        <v>113</v>
      </c>
      <c r="D134" s="178" t="s">
        <v>478</v>
      </c>
      <c r="E134" s="2">
        <v>2</v>
      </c>
      <c r="F134" s="2" t="s">
        <v>716</v>
      </c>
      <c r="G134" s="79" t="s">
        <v>921</v>
      </c>
      <c r="H134" s="1" t="s">
        <v>476</v>
      </c>
      <c r="I134" s="1" t="s">
        <v>433</v>
      </c>
      <c r="J134" s="80">
        <v>1000</v>
      </c>
      <c r="K134" s="2" t="s">
        <v>155</v>
      </c>
      <c r="L134" s="83"/>
    </row>
    <row r="135" spans="3:12" s="84" customFormat="1" ht="31.5">
      <c r="C135" s="136">
        <v>114</v>
      </c>
      <c r="D135" s="178" t="s">
        <v>495</v>
      </c>
      <c r="E135" s="2">
        <v>2</v>
      </c>
      <c r="F135" s="2" t="s">
        <v>716</v>
      </c>
      <c r="G135" s="79" t="s">
        <v>921</v>
      </c>
      <c r="H135" s="1" t="s">
        <v>496</v>
      </c>
      <c r="I135" s="1" t="s">
        <v>433</v>
      </c>
      <c r="J135" s="80">
        <v>1000</v>
      </c>
      <c r="K135" s="2" t="s">
        <v>150</v>
      </c>
      <c r="L135" s="83"/>
    </row>
    <row r="136" spans="3:12" s="84" customFormat="1" ht="31.5">
      <c r="C136" s="136">
        <v>115</v>
      </c>
      <c r="D136" s="178" t="s">
        <v>497</v>
      </c>
      <c r="E136" s="2">
        <v>2</v>
      </c>
      <c r="F136" s="2" t="s">
        <v>716</v>
      </c>
      <c r="G136" s="79" t="s">
        <v>921</v>
      </c>
      <c r="H136" s="1" t="s">
        <v>433</v>
      </c>
      <c r="I136" s="1" t="s">
        <v>407</v>
      </c>
      <c r="J136" s="80">
        <v>1200</v>
      </c>
      <c r="K136" s="2" t="s">
        <v>156</v>
      </c>
      <c r="L136" s="83"/>
    </row>
    <row r="137" spans="3:12" s="84" customFormat="1" ht="31.5">
      <c r="C137" s="136">
        <v>116</v>
      </c>
      <c r="D137" s="178" t="s">
        <v>498</v>
      </c>
      <c r="E137" s="2">
        <v>2</v>
      </c>
      <c r="F137" s="2" t="s">
        <v>716</v>
      </c>
      <c r="G137" s="79" t="s">
        <v>921</v>
      </c>
      <c r="H137" s="1" t="s">
        <v>433</v>
      </c>
      <c r="I137" s="1" t="s">
        <v>407</v>
      </c>
      <c r="J137" s="80">
        <v>1500</v>
      </c>
      <c r="K137" s="2" t="s">
        <v>150</v>
      </c>
      <c r="L137" s="83"/>
    </row>
    <row r="138" spans="3:12" s="84" customFormat="1" ht="31.5">
      <c r="C138" s="136">
        <v>117</v>
      </c>
      <c r="D138" s="178" t="s">
        <v>499</v>
      </c>
      <c r="E138" s="2">
        <v>2</v>
      </c>
      <c r="F138" s="2" t="s">
        <v>716</v>
      </c>
      <c r="G138" s="79" t="s">
        <v>921</v>
      </c>
      <c r="H138" s="1" t="s">
        <v>433</v>
      </c>
      <c r="I138" s="1" t="s">
        <v>407</v>
      </c>
      <c r="J138" s="80">
        <v>1500</v>
      </c>
      <c r="K138" s="2" t="s">
        <v>150</v>
      </c>
      <c r="L138" s="83"/>
    </row>
    <row r="139" spans="3:12" s="84" customFormat="1" ht="31.5">
      <c r="C139" s="136">
        <v>118</v>
      </c>
      <c r="D139" s="178" t="s">
        <v>500</v>
      </c>
      <c r="E139" s="2">
        <v>2</v>
      </c>
      <c r="F139" s="2" t="s">
        <v>716</v>
      </c>
      <c r="G139" s="79" t="s">
        <v>921</v>
      </c>
      <c r="H139" s="1" t="s">
        <v>433</v>
      </c>
      <c r="I139" s="1" t="s">
        <v>407</v>
      </c>
      <c r="J139" s="80">
        <v>400</v>
      </c>
      <c r="K139" s="2" t="s">
        <v>156</v>
      </c>
      <c r="L139" s="83"/>
    </row>
    <row r="140" spans="3:12" s="84" customFormat="1" ht="31.5">
      <c r="C140" s="136">
        <v>119</v>
      </c>
      <c r="D140" s="178" t="s">
        <v>501</v>
      </c>
      <c r="E140" s="2">
        <v>2</v>
      </c>
      <c r="F140" s="2" t="s">
        <v>716</v>
      </c>
      <c r="G140" s="79" t="s">
        <v>921</v>
      </c>
      <c r="H140" s="1" t="s">
        <v>433</v>
      </c>
      <c r="I140" s="1" t="s">
        <v>407</v>
      </c>
      <c r="J140" s="80">
        <v>400</v>
      </c>
      <c r="K140" s="2" t="s">
        <v>163</v>
      </c>
      <c r="L140" s="83"/>
    </row>
    <row r="141" spans="3:12" s="84" customFormat="1" ht="31.5">
      <c r="C141" s="136">
        <v>120</v>
      </c>
      <c r="D141" s="178" t="s">
        <v>502</v>
      </c>
      <c r="E141" s="2">
        <v>2</v>
      </c>
      <c r="F141" s="2" t="s">
        <v>716</v>
      </c>
      <c r="G141" s="79" t="s">
        <v>921</v>
      </c>
      <c r="H141" s="1" t="s">
        <v>433</v>
      </c>
      <c r="I141" s="1" t="s">
        <v>407</v>
      </c>
      <c r="J141" s="80">
        <v>500</v>
      </c>
      <c r="K141" s="2" t="s">
        <v>150</v>
      </c>
      <c r="L141" s="83"/>
    </row>
    <row r="142" spans="3:12" s="84" customFormat="1" ht="31.5">
      <c r="C142" s="136">
        <v>121</v>
      </c>
      <c r="D142" s="178" t="s">
        <v>503</v>
      </c>
      <c r="E142" s="2">
        <v>2</v>
      </c>
      <c r="F142" s="2" t="s">
        <v>716</v>
      </c>
      <c r="G142" s="79" t="s">
        <v>921</v>
      </c>
      <c r="H142" s="1" t="s">
        <v>433</v>
      </c>
      <c r="I142" s="1" t="s">
        <v>433</v>
      </c>
      <c r="J142" s="80">
        <v>900</v>
      </c>
      <c r="K142" s="2" t="s">
        <v>150</v>
      </c>
      <c r="L142" s="83"/>
    </row>
    <row r="143" spans="3:12" s="84" customFormat="1" ht="31.5">
      <c r="C143" s="136">
        <v>122</v>
      </c>
      <c r="D143" s="178" t="s">
        <v>3222</v>
      </c>
      <c r="E143" s="2">
        <v>2</v>
      </c>
      <c r="F143" s="2" t="s">
        <v>716</v>
      </c>
      <c r="G143" s="79" t="s">
        <v>921</v>
      </c>
      <c r="H143" s="1" t="s">
        <v>433</v>
      </c>
      <c r="I143" s="1" t="s">
        <v>504</v>
      </c>
      <c r="J143" s="80">
        <v>800</v>
      </c>
      <c r="K143" s="2" t="s">
        <v>163</v>
      </c>
      <c r="L143" s="83"/>
    </row>
    <row r="144" spans="3:12" s="84" customFormat="1" ht="31.5">
      <c r="C144" s="136">
        <v>123</v>
      </c>
      <c r="D144" s="178" t="s">
        <v>505</v>
      </c>
      <c r="E144" s="2">
        <v>2</v>
      </c>
      <c r="F144" s="2" t="s">
        <v>716</v>
      </c>
      <c r="G144" s="79" t="s">
        <v>921</v>
      </c>
      <c r="H144" s="1" t="s">
        <v>433</v>
      </c>
      <c r="I144" s="1" t="s">
        <v>504</v>
      </c>
      <c r="J144" s="80">
        <v>1000</v>
      </c>
      <c r="K144" s="2" t="s">
        <v>157</v>
      </c>
      <c r="L144" s="83"/>
    </row>
    <row r="145" spans="3:12" s="84" customFormat="1" ht="31.5">
      <c r="C145" s="136">
        <v>124</v>
      </c>
      <c r="D145" s="178" t="s">
        <v>506</v>
      </c>
      <c r="E145" s="2">
        <v>2</v>
      </c>
      <c r="F145" s="2" t="s">
        <v>716</v>
      </c>
      <c r="G145" s="79" t="s">
        <v>921</v>
      </c>
      <c r="H145" s="1" t="s">
        <v>433</v>
      </c>
      <c r="I145" s="1" t="s">
        <v>407</v>
      </c>
      <c r="J145" s="80">
        <v>2000</v>
      </c>
      <c r="K145" s="2" t="s">
        <v>153</v>
      </c>
      <c r="L145" s="83"/>
    </row>
    <row r="146" spans="3:12" s="84" customFormat="1" ht="31.5">
      <c r="C146" s="136">
        <v>125</v>
      </c>
      <c r="D146" s="178" t="s">
        <v>507</v>
      </c>
      <c r="E146" s="2">
        <v>2</v>
      </c>
      <c r="F146" s="2" t="s">
        <v>716</v>
      </c>
      <c r="G146" s="79" t="s">
        <v>921</v>
      </c>
      <c r="H146" s="1" t="s">
        <v>433</v>
      </c>
      <c r="I146" s="1" t="s">
        <v>407</v>
      </c>
      <c r="J146" s="80">
        <v>1000</v>
      </c>
      <c r="K146" s="2" t="s">
        <v>156</v>
      </c>
      <c r="L146" s="83"/>
    </row>
    <row r="147" spans="3:12" s="84" customFormat="1" ht="31.5">
      <c r="C147" s="136">
        <v>126</v>
      </c>
      <c r="D147" s="178" t="s">
        <v>3445</v>
      </c>
      <c r="E147" s="2">
        <v>2</v>
      </c>
      <c r="F147" s="2" t="s">
        <v>716</v>
      </c>
      <c r="G147" s="79" t="s">
        <v>921</v>
      </c>
      <c r="H147" s="1" t="s">
        <v>508</v>
      </c>
      <c r="I147" s="1" t="s">
        <v>1123</v>
      </c>
      <c r="J147" s="80">
        <v>1000</v>
      </c>
      <c r="K147" s="2" t="s">
        <v>150</v>
      </c>
      <c r="L147" s="83"/>
    </row>
    <row r="148" spans="3:12" s="84" customFormat="1" ht="31.5">
      <c r="C148" s="136">
        <v>127</v>
      </c>
      <c r="D148" s="178" t="s">
        <v>509</v>
      </c>
      <c r="E148" s="2">
        <v>2</v>
      </c>
      <c r="F148" s="2" t="s">
        <v>716</v>
      </c>
      <c r="G148" s="79" t="s">
        <v>921</v>
      </c>
      <c r="H148" s="1" t="s">
        <v>508</v>
      </c>
      <c r="I148" s="1" t="s">
        <v>407</v>
      </c>
      <c r="J148" s="80">
        <v>1000</v>
      </c>
      <c r="K148" s="2" t="s">
        <v>150</v>
      </c>
      <c r="L148" s="83"/>
    </row>
    <row r="149" spans="3:12" s="84" customFormat="1" ht="31.5">
      <c r="C149" s="136">
        <v>128</v>
      </c>
      <c r="D149" s="178" t="s">
        <v>510</v>
      </c>
      <c r="E149" s="2">
        <v>2</v>
      </c>
      <c r="F149" s="2" t="s">
        <v>716</v>
      </c>
      <c r="G149" s="79" t="s">
        <v>921</v>
      </c>
      <c r="H149" s="1" t="s">
        <v>508</v>
      </c>
      <c r="I149" s="1" t="s">
        <v>508</v>
      </c>
      <c r="J149" s="80">
        <v>1000</v>
      </c>
      <c r="K149" s="2" t="s">
        <v>150</v>
      </c>
      <c r="L149" s="83"/>
    </row>
    <row r="150" spans="3:12" s="84" customFormat="1" ht="31.5">
      <c r="C150" s="136">
        <v>129</v>
      </c>
      <c r="D150" s="178" t="s">
        <v>511</v>
      </c>
      <c r="E150" s="2">
        <v>2</v>
      </c>
      <c r="F150" s="2" t="s">
        <v>716</v>
      </c>
      <c r="G150" s="79" t="s">
        <v>921</v>
      </c>
      <c r="H150" s="1" t="s">
        <v>508</v>
      </c>
      <c r="I150" s="1" t="s">
        <v>407</v>
      </c>
      <c r="J150" s="80">
        <v>900</v>
      </c>
      <c r="K150" s="2" t="s">
        <v>150</v>
      </c>
      <c r="L150" s="83"/>
    </row>
    <row r="151" spans="3:12" s="84" customFormat="1" ht="31.5">
      <c r="C151" s="136">
        <v>130</v>
      </c>
      <c r="D151" s="178" t="s">
        <v>512</v>
      </c>
      <c r="E151" s="2">
        <v>2</v>
      </c>
      <c r="F151" s="2" t="s">
        <v>716</v>
      </c>
      <c r="G151" s="79" t="s">
        <v>921</v>
      </c>
      <c r="H151" s="1" t="s">
        <v>508</v>
      </c>
      <c r="I151" s="1" t="s">
        <v>407</v>
      </c>
      <c r="J151" s="80">
        <v>1200</v>
      </c>
      <c r="K151" s="2" t="s">
        <v>150</v>
      </c>
      <c r="L151" s="83"/>
    </row>
    <row r="152" spans="3:12" s="84" customFormat="1" ht="31.5">
      <c r="C152" s="136">
        <v>131</v>
      </c>
      <c r="D152" s="178" t="s">
        <v>3223</v>
      </c>
      <c r="E152" s="2">
        <v>2</v>
      </c>
      <c r="F152" s="2" t="s">
        <v>716</v>
      </c>
      <c r="G152" s="79" t="s">
        <v>921</v>
      </c>
      <c r="H152" s="1" t="s">
        <v>508</v>
      </c>
      <c r="I152" s="1" t="s">
        <v>407</v>
      </c>
      <c r="J152" s="80">
        <v>700</v>
      </c>
      <c r="K152" s="2" t="s">
        <v>153</v>
      </c>
      <c r="L152" s="83"/>
    </row>
    <row r="153" spans="3:12" s="84" customFormat="1" ht="31.5">
      <c r="C153" s="136">
        <v>132</v>
      </c>
      <c r="D153" s="178" t="s">
        <v>3224</v>
      </c>
      <c r="E153" s="2">
        <v>2</v>
      </c>
      <c r="F153" s="2" t="s">
        <v>716</v>
      </c>
      <c r="G153" s="79" t="s">
        <v>921</v>
      </c>
      <c r="H153" s="1" t="s">
        <v>1123</v>
      </c>
      <c r="I153" s="1" t="s">
        <v>407</v>
      </c>
      <c r="J153" s="80">
        <v>1200</v>
      </c>
      <c r="K153" s="2" t="s">
        <v>153</v>
      </c>
      <c r="L153" s="83"/>
    </row>
    <row r="154" spans="3:12" s="84" customFormat="1" ht="31.5">
      <c r="C154" s="136">
        <v>133</v>
      </c>
      <c r="D154" s="178" t="s">
        <v>3446</v>
      </c>
      <c r="E154" s="2">
        <v>2</v>
      </c>
      <c r="F154" s="2" t="s">
        <v>716</v>
      </c>
      <c r="G154" s="79" t="s">
        <v>921</v>
      </c>
      <c r="H154" s="1" t="s">
        <v>1123</v>
      </c>
      <c r="I154" s="1" t="s">
        <v>407</v>
      </c>
      <c r="J154" s="80">
        <v>1000</v>
      </c>
      <c r="K154" s="2" t="s">
        <v>150</v>
      </c>
      <c r="L154" s="83"/>
    </row>
    <row r="155" spans="3:12" s="84" customFormat="1" ht="31.5">
      <c r="C155" s="136">
        <v>134</v>
      </c>
      <c r="D155" s="178" t="s">
        <v>3447</v>
      </c>
      <c r="E155" s="2">
        <v>2</v>
      </c>
      <c r="F155" s="2" t="s">
        <v>716</v>
      </c>
      <c r="G155" s="79" t="s">
        <v>921</v>
      </c>
      <c r="H155" s="1" t="s">
        <v>1123</v>
      </c>
      <c r="I155" s="1" t="s">
        <v>407</v>
      </c>
      <c r="J155" s="80">
        <v>700</v>
      </c>
      <c r="K155" s="2" t="s">
        <v>150</v>
      </c>
      <c r="L155" s="83"/>
    </row>
    <row r="156" spans="3:12" s="84" customFormat="1" ht="31.5">
      <c r="C156" s="136">
        <v>135</v>
      </c>
      <c r="D156" s="178" t="s">
        <v>3225</v>
      </c>
      <c r="E156" s="2">
        <v>2</v>
      </c>
      <c r="F156" s="2" t="s">
        <v>716</v>
      </c>
      <c r="G156" s="79" t="s">
        <v>921</v>
      </c>
      <c r="H156" s="1" t="s">
        <v>1123</v>
      </c>
      <c r="I156" s="1" t="s">
        <v>407</v>
      </c>
      <c r="J156" s="80">
        <v>900</v>
      </c>
      <c r="K156" s="2" t="s">
        <v>153</v>
      </c>
      <c r="L156" s="83"/>
    </row>
    <row r="157" spans="3:12" s="84" customFormat="1" ht="31.5">
      <c r="C157" s="136">
        <v>136</v>
      </c>
      <c r="D157" s="178" t="s">
        <v>3448</v>
      </c>
      <c r="E157" s="2">
        <v>2</v>
      </c>
      <c r="F157" s="2" t="s">
        <v>716</v>
      </c>
      <c r="G157" s="79" t="s">
        <v>921</v>
      </c>
      <c r="H157" s="1" t="s">
        <v>1123</v>
      </c>
      <c r="I157" s="1" t="s">
        <v>3412</v>
      </c>
      <c r="J157" s="80">
        <v>800</v>
      </c>
      <c r="K157" s="2" t="s">
        <v>156</v>
      </c>
      <c r="L157" s="83"/>
    </row>
    <row r="158" spans="3:12" s="84" customFormat="1" ht="31.5">
      <c r="C158" s="136">
        <v>137</v>
      </c>
      <c r="D158" s="178" t="s">
        <v>513</v>
      </c>
      <c r="E158" s="2">
        <v>9</v>
      </c>
      <c r="F158" s="2" t="s">
        <v>716</v>
      </c>
      <c r="G158" s="79" t="s">
        <v>921</v>
      </c>
      <c r="H158" s="1" t="s">
        <v>3625</v>
      </c>
      <c r="I158" s="1" t="s">
        <v>3627</v>
      </c>
      <c r="J158" s="80">
        <v>200</v>
      </c>
      <c r="K158" s="2" t="s">
        <v>164</v>
      </c>
      <c r="L158" s="83"/>
    </row>
    <row r="159" spans="3:12" s="84" customFormat="1" ht="31.5">
      <c r="C159" s="136">
        <v>138</v>
      </c>
      <c r="D159" s="178" t="s">
        <v>3618</v>
      </c>
      <c r="E159" s="2">
        <v>9</v>
      </c>
      <c r="F159" s="2" t="s">
        <v>716</v>
      </c>
      <c r="G159" s="79" t="s">
        <v>921</v>
      </c>
      <c r="H159" s="1" t="s">
        <v>3626</v>
      </c>
      <c r="I159" s="1" t="s">
        <v>3628</v>
      </c>
      <c r="J159" s="80">
        <v>1100</v>
      </c>
      <c r="K159" s="2" t="s">
        <v>165</v>
      </c>
      <c r="L159" s="83"/>
    </row>
    <row r="160" spans="3:12" s="84" customFormat="1" ht="31.5">
      <c r="C160" s="136">
        <v>139</v>
      </c>
      <c r="D160" s="178" t="s">
        <v>3616</v>
      </c>
      <c r="E160" s="2">
        <v>9</v>
      </c>
      <c r="F160" s="2" t="s">
        <v>716</v>
      </c>
      <c r="G160" s="79" t="s">
        <v>921</v>
      </c>
      <c r="H160" s="1" t="s">
        <v>514</v>
      </c>
      <c r="I160" s="1" t="s">
        <v>482</v>
      </c>
      <c r="J160" s="80">
        <v>1500</v>
      </c>
      <c r="K160" s="2" t="s">
        <v>167</v>
      </c>
      <c r="L160" s="83"/>
    </row>
    <row r="161" spans="3:12" s="84" customFormat="1" ht="31.5">
      <c r="C161" s="136">
        <v>140</v>
      </c>
      <c r="D161" s="178" t="s">
        <v>3617</v>
      </c>
      <c r="E161" s="2">
        <v>9</v>
      </c>
      <c r="F161" s="2" t="s">
        <v>716</v>
      </c>
      <c r="G161" s="79" t="s">
        <v>921</v>
      </c>
      <c r="H161" s="1" t="s">
        <v>387</v>
      </c>
      <c r="I161" s="1" t="s">
        <v>482</v>
      </c>
      <c r="J161" s="80">
        <v>1300</v>
      </c>
      <c r="K161" s="2" t="s">
        <v>165</v>
      </c>
      <c r="L161" s="83"/>
    </row>
    <row r="162" spans="3:12" s="84" customFormat="1" ht="31.5">
      <c r="C162" s="136">
        <v>141</v>
      </c>
      <c r="D162" s="178" t="s">
        <v>515</v>
      </c>
      <c r="E162" s="2">
        <v>9</v>
      </c>
      <c r="F162" s="2" t="s">
        <v>716</v>
      </c>
      <c r="G162" s="79" t="s">
        <v>921</v>
      </c>
      <c r="H162" s="1" t="s">
        <v>387</v>
      </c>
      <c r="I162" s="1" t="s">
        <v>508</v>
      </c>
      <c r="J162" s="80">
        <v>1000</v>
      </c>
      <c r="K162" s="2" t="s">
        <v>168</v>
      </c>
      <c r="L162" s="83"/>
    </row>
    <row r="163" spans="3:12" s="84" customFormat="1" ht="31.5">
      <c r="C163" s="136">
        <v>142</v>
      </c>
      <c r="D163" s="178" t="s">
        <v>516</v>
      </c>
      <c r="E163" s="2">
        <v>9</v>
      </c>
      <c r="F163" s="2" t="s">
        <v>716</v>
      </c>
      <c r="G163" s="79" t="s">
        <v>921</v>
      </c>
      <c r="H163" s="1" t="s">
        <v>387</v>
      </c>
      <c r="I163" s="1" t="s">
        <v>508</v>
      </c>
      <c r="J163" s="80">
        <v>1100</v>
      </c>
      <c r="K163" s="2" t="s">
        <v>168</v>
      </c>
      <c r="L163" s="83"/>
    </row>
    <row r="164" spans="3:12" s="84" customFormat="1" ht="31.5">
      <c r="C164" s="136">
        <v>143</v>
      </c>
      <c r="D164" s="178" t="s">
        <v>3619</v>
      </c>
      <c r="E164" s="2">
        <v>9</v>
      </c>
      <c r="F164" s="2" t="s">
        <v>716</v>
      </c>
      <c r="G164" s="79" t="s">
        <v>921</v>
      </c>
      <c r="H164" s="1" t="s">
        <v>387</v>
      </c>
      <c r="I164" s="1" t="s">
        <v>508</v>
      </c>
      <c r="J164" s="80">
        <v>660</v>
      </c>
      <c r="K164" s="2" t="s">
        <v>168</v>
      </c>
      <c r="L164" s="83"/>
    </row>
    <row r="165" spans="3:12" s="84" customFormat="1" ht="31.5">
      <c r="C165" s="136">
        <v>144</v>
      </c>
      <c r="D165" s="178" t="s">
        <v>3226</v>
      </c>
      <c r="E165" s="2">
        <v>9</v>
      </c>
      <c r="F165" s="2" t="s">
        <v>716</v>
      </c>
      <c r="G165" s="79" t="s">
        <v>921</v>
      </c>
      <c r="H165" s="1" t="s">
        <v>3733</v>
      </c>
      <c r="I165" s="1" t="s">
        <v>508</v>
      </c>
      <c r="J165" s="80">
        <v>3100</v>
      </c>
      <c r="K165" s="2" t="s">
        <v>517</v>
      </c>
      <c r="L165" s="83"/>
    </row>
    <row r="166" spans="3:12" s="84" customFormat="1" ht="31.5">
      <c r="C166" s="136">
        <v>145</v>
      </c>
      <c r="D166" s="178" t="s">
        <v>3620</v>
      </c>
      <c r="E166" s="2">
        <v>9</v>
      </c>
      <c r="F166" s="2" t="s">
        <v>716</v>
      </c>
      <c r="G166" s="79" t="s">
        <v>921</v>
      </c>
      <c r="H166" s="1" t="s">
        <v>387</v>
      </c>
      <c r="I166" s="1" t="s">
        <v>508</v>
      </c>
      <c r="J166" s="80">
        <v>2000</v>
      </c>
      <c r="K166" s="2" t="s">
        <v>518</v>
      </c>
      <c r="L166" s="83"/>
    </row>
    <row r="167" spans="3:12" s="84" customFormat="1" ht="31.5">
      <c r="C167" s="136">
        <v>146</v>
      </c>
      <c r="D167" s="178" t="s">
        <v>3621</v>
      </c>
      <c r="E167" s="2">
        <v>9</v>
      </c>
      <c r="F167" s="2" t="s">
        <v>716</v>
      </c>
      <c r="G167" s="79" t="s">
        <v>921</v>
      </c>
      <c r="H167" s="1" t="s">
        <v>481</v>
      </c>
      <c r="I167" s="1" t="s">
        <v>508</v>
      </c>
      <c r="J167" s="80">
        <v>1200</v>
      </c>
      <c r="K167" s="2" t="s">
        <v>169</v>
      </c>
      <c r="L167" s="83"/>
    </row>
    <row r="168" spans="3:12" s="84" customFormat="1" ht="31.5">
      <c r="C168" s="136">
        <v>147</v>
      </c>
      <c r="D168" s="178" t="s">
        <v>3622</v>
      </c>
      <c r="E168" s="2">
        <v>9</v>
      </c>
      <c r="F168" s="2" t="s">
        <v>716</v>
      </c>
      <c r="G168" s="79" t="s">
        <v>921</v>
      </c>
      <c r="H168" s="1" t="s">
        <v>3625</v>
      </c>
      <c r="I168" s="1" t="s">
        <v>3629</v>
      </c>
      <c r="J168" s="80">
        <v>2000</v>
      </c>
      <c r="K168" s="2" t="s">
        <v>170</v>
      </c>
      <c r="L168" s="83"/>
    </row>
    <row r="169" spans="3:12" s="84" customFormat="1" ht="31.5">
      <c r="C169" s="136">
        <v>148</v>
      </c>
      <c r="D169" s="178" t="s">
        <v>3623</v>
      </c>
      <c r="E169" s="2">
        <v>9</v>
      </c>
      <c r="F169" s="2" t="s">
        <v>716</v>
      </c>
      <c r="G169" s="79" t="s">
        <v>921</v>
      </c>
      <c r="H169" s="1" t="s">
        <v>519</v>
      </c>
      <c r="I169" s="1" t="s">
        <v>520</v>
      </c>
      <c r="J169" s="80">
        <v>1200</v>
      </c>
      <c r="K169" s="2" t="s">
        <v>521</v>
      </c>
      <c r="L169" s="83"/>
    </row>
    <row r="170" spans="3:12" s="84" customFormat="1" ht="31.5">
      <c r="C170" s="136">
        <v>149</v>
      </c>
      <c r="D170" s="178" t="s">
        <v>3624</v>
      </c>
      <c r="E170" s="2">
        <v>9</v>
      </c>
      <c r="F170" s="2" t="s">
        <v>716</v>
      </c>
      <c r="G170" s="79" t="s">
        <v>921</v>
      </c>
      <c r="H170" s="1" t="s">
        <v>481</v>
      </c>
      <c r="I170" s="1" t="s">
        <v>520</v>
      </c>
      <c r="J170" s="80">
        <v>1800</v>
      </c>
      <c r="K170" s="2" t="s">
        <v>522</v>
      </c>
      <c r="L170" s="83"/>
    </row>
    <row r="171" spans="3:12" s="84" customFormat="1" ht="31.5">
      <c r="C171" s="136">
        <v>150</v>
      </c>
      <c r="D171" s="178" t="s">
        <v>3449</v>
      </c>
      <c r="E171" s="2">
        <v>9</v>
      </c>
      <c r="F171" s="2" t="s">
        <v>716</v>
      </c>
      <c r="G171" s="79" t="s">
        <v>921</v>
      </c>
      <c r="H171" s="1" t="s">
        <v>481</v>
      </c>
      <c r="I171" s="1" t="s">
        <v>520</v>
      </c>
      <c r="J171" s="80">
        <v>1450</v>
      </c>
      <c r="K171" s="2" t="s">
        <v>522</v>
      </c>
      <c r="L171" s="83"/>
    </row>
    <row r="172" spans="3:12" s="84" customFormat="1" ht="31.5">
      <c r="C172" s="136">
        <v>151</v>
      </c>
      <c r="D172" s="178" t="s">
        <v>3227</v>
      </c>
      <c r="E172" s="2">
        <v>9</v>
      </c>
      <c r="F172" s="2" t="s">
        <v>716</v>
      </c>
      <c r="G172" s="79" t="s">
        <v>921</v>
      </c>
      <c r="H172" s="1" t="s">
        <v>481</v>
      </c>
      <c r="I172" s="1" t="s">
        <v>520</v>
      </c>
      <c r="J172" s="80">
        <v>1400</v>
      </c>
      <c r="K172" s="2" t="s">
        <v>522</v>
      </c>
      <c r="L172" s="83"/>
    </row>
    <row r="173" spans="3:12" s="84" customFormat="1" ht="31.5">
      <c r="C173" s="136">
        <v>152</v>
      </c>
      <c r="D173" s="178" t="s">
        <v>3228</v>
      </c>
      <c r="E173" s="2">
        <v>9</v>
      </c>
      <c r="F173" s="2" t="s">
        <v>716</v>
      </c>
      <c r="G173" s="79" t="s">
        <v>921</v>
      </c>
      <c r="H173" s="1" t="s">
        <v>520</v>
      </c>
      <c r="I173" s="1" t="s">
        <v>407</v>
      </c>
      <c r="J173" s="80">
        <v>800</v>
      </c>
      <c r="K173" s="2" t="s">
        <v>153</v>
      </c>
      <c r="L173" s="83"/>
    </row>
    <row r="174" spans="3:12" s="84" customFormat="1" ht="31.5">
      <c r="C174" s="136">
        <v>153</v>
      </c>
      <c r="D174" s="178" t="s">
        <v>3229</v>
      </c>
      <c r="E174" s="2">
        <v>9</v>
      </c>
      <c r="F174" s="2" t="s">
        <v>716</v>
      </c>
      <c r="G174" s="79" t="s">
        <v>921</v>
      </c>
      <c r="H174" s="1" t="s">
        <v>523</v>
      </c>
      <c r="I174" s="1" t="s">
        <v>520</v>
      </c>
      <c r="J174" s="80">
        <v>1440</v>
      </c>
      <c r="K174" s="2" t="s">
        <v>150</v>
      </c>
      <c r="L174" s="83"/>
    </row>
    <row r="175" spans="3:12" s="84" customFormat="1" ht="31.5">
      <c r="C175" s="136">
        <v>154</v>
      </c>
      <c r="D175" s="178" t="s">
        <v>3230</v>
      </c>
      <c r="E175" s="2">
        <v>9</v>
      </c>
      <c r="F175" s="2" t="s">
        <v>716</v>
      </c>
      <c r="G175" s="79" t="s">
        <v>921</v>
      </c>
      <c r="H175" s="1" t="s">
        <v>524</v>
      </c>
      <c r="I175" s="1" t="s">
        <v>524</v>
      </c>
      <c r="J175" s="80">
        <v>1500</v>
      </c>
      <c r="K175" s="2" t="s">
        <v>167</v>
      </c>
      <c r="L175" s="83"/>
    </row>
    <row r="176" spans="3:12" s="84" customFormat="1" ht="31.5">
      <c r="C176" s="136">
        <v>155</v>
      </c>
      <c r="D176" s="178" t="s">
        <v>3450</v>
      </c>
      <c r="E176" s="2">
        <v>9</v>
      </c>
      <c r="F176" s="2" t="s">
        <v>716</v>
      </c>
      <c r="G176" s="79" t="s">
        <v>921</v>
      </c>
      <c r="H176" s="1" t="s">
        <v>387</v>
      </c>
      <c r="I176" s="1" t="s">
        <v>3591</v>
      </c>
      <c r="J176" s="80">
        <v>1300</v>
      </c>
      <c r="K176" s="2" t="s">
        <v>168</v>
      </c>
      <c r="L176" s="83"/>
    </row>
    <row r="177" spans="3:12" s="84" customFormat="1" ht="31.5">
      <c r="C177" s="136">
        <v>156</v>
      </c>
      <c r="D177" s="178" t="s">
        <v>3231</v>
      </c>
      <c r="E177" s="2">
        <v>9</v>
      </c>
      <c r="F177" s="2" t="s">
        <v>716</v>
      </c>
      <c r="G177" s="79" t="s">
        <v>921</v>
      </c>
      <c r="H177" s="1" t="s">
        <v>387</v>
      </c>
      <c r="I177" s="1" t="s">
        <v>3591</v>
      </c>
      <c r="J177" s="80">
        <v>1600</v>
      </c>
      <c r="K177" s="2" t="s">
        <v>168</v>
      </c>
      <c r="L177" s="83"/>
    </row>
    <row r="178" spans="3:12" s="84" customFormat="1" ht="31.5">
      <c r="C178" s="136">
        <v>157</v>
      </c>
      <c r="D178" s="178" t="s">
        <v>3232</v>
      </c>
      <c r="E178" s="2">
        <v>9</v>
      </c>
      <c r="F178" s="2" t="s">
        <v>716</v>
      </c>
      <c r="G178" s="79" t="s">
        <v>921</v>
      </c>
      <c r="H178" s="1" t="s">
        <v>523</v>
      </c>
      <c r="I178" s="1" t="s">
        <v>524</v>
      </c>
      <c r="J178" s="80">
        <v>2000</v>
      </c>
      <c r="K178" s="2" t="s">
        <v>163</v>
      </c>
      <c r="L178" s="83"/>
    </row>
    <row r="179" spans="3:12" s="84" customFormat="1" ht="31.5">
      <c r="C179" s="136">
        <v>158</v>
      </c>
      <c r="D179" s="178" t="s">
        <v>3451</v>
      </c>
      <c r="E179" s="2">
        <v>9</v>
      </c>
      <c r="F179" s="2" t="s">
        <v>716</v>
      </c>
      <c r="G179" s="79" t="s">
        <v>921</v>
      </c>
      <c r="H179" s="1" t="s">
        <v>387</v>
      </c>
      <c r="I179" s="1" t="s">
        <v>3591</v>
      </c>
      <c r="J179" s="80">
        <v>2000</v>
      </c>
      <c r="K179" s="2" t="s">
        <v>518</v>
      </c>
      <c r="L179" s="83"/>
    </row>
    <row r="180" spans="3:12" s="84" customFormat="1" ht="31.5">
      <c r="C180" s="136">
        <v>159</v>
      </c>
      <c r="D180" s="178" t="s">
        <v>525</v>
      </c>
      <c r="E180" s="2">
        <v>9</v>
      </c>
      <c r="F180" s="2" t="s">
        <v>716</v>
      </c>
      <c r="G180" s="79" t="s">
        <v>921</v>
      </c>
      <c r="H180" s="1" t="s">
        <v>526</v>
      </c>
      <c r="I180" s="1" t="s">
        <v>524</v>
      </c>
      <c r="J180" s="80">
        <v>800</v>
      </c>
      <c r="K180" s="2" t="s">
        <v>518</v>
      </c>
      <c r="L180" s="83"/>
    </row>
    <row r="181" spans="3:12" s="84" customFormat="1" ht="31.5">
      <c r="C181" s="136">
        <v>160</v>
      </c>
      <c r="D181" s="178" t="s">
        <v>527</v>
      </c>
      <c r="E181" s="2">
        <v>9</v>
      </c>
      <c r="F181" s="2" t="s">
        <v>716</v>
      </c>
      <c r="G181" s="79" t="s">
        <v>921</v>
      </c>
      <c r="H181" s="1" t="s">
        <v>387</v>
      </c>
      <c r="I181" s="1" t="s">
        <v>526</v>
      </c>
      <c r="J181" s="80">
        <v>600</v>
      </c>
      <c r="K181" s="2" t="s">
        <v>166</v>
      </c>
      <c r="L181" s="83"/>
    </row>
    <row r="182" spans="3:12" s="84" customFormat="1" ht="31.5">
      <c r="C182" s="136">
        <v>161</v>
      </c>
      <c r="D182" s="178" t="s">
        <v>528</v>
      </c>
      <c r="E182" s="2">
        <v>9</v>
      </c>
      <c r="F182" s="2" t="s">
        <v>716</v>
      </c>
      <c r="G182" s="79" t="s">
        <v>921</v>
      </c>
      <c r="H182" s="1" t="s">
        <v>529</v>
      </c>
      <c r="I182" s="1" t="s">
        <v>526</v>
      </c>
      <c r="J182" s="80">
        <v>2000</v>
      </c>
      <c r="K182" s="2" t="s">
        <v>517</v>
      </c>
      <c r="L182" s="83"/>
    </row>
    <row r="183" spans="3:12" s="84" customFormat="1" ht="31.5">
      <c r="C183" s="136">
        <v>162</v>
      </c>
      <c r="D183" s="178" t="s">
        <v>530</v>
      </c>
      <c r="E183" s="2">
        <v>9</v>
      </c>
      <c r="F183" s="2" t="s">
        <v>716</v>
      </c>
      <c r="G183" s="79" t="s">
        <v>921</v>
      </c>
      <c r="H183" s="1" t="s">
        <v>526</v>
      </c>
      <c r="I183" s="1" t="s">
        <v>531</v>
      </c>
      <c r="J183" s="80">
        <v>2000</v>
      </c>
      <c r="K183" s="2" t="s">
        <v>168</v>
      </c>
      <c r="L183" s="83"/>
    </row>
    <row r="184" spans="3:12" s="84" customFormat="1" ht="31.5">
      <c r="C184" s="136">
        <v>163</v>
      </c>
      <c r="D184" s="178" t="s">
        <v>532</v>
      </c>
      <c r="E184" s="2">
        <v>9</v>
      </c>
      <c r="F184" s="2" t="s">
        <v>716</v>
      </c>
      <c r="G184" s="79" t="s">
        <v>921</v>
      </c>
      <c r="H184" s="1" t="s">
        <v>387</v>
      </c>
      <c r="I184" s="1" t="s">
        <v>531</v>
      </c>
      <c r="J184" s="80">
        <v>800</v>
      </c>
      <c r="K184" s="2" t="s">
        <v>168</v>
      </c>
      <c r="L184" s="83"/>
    </row>
    <row r="185" spans="3:12" s="84" customFormat="1" ht="31.5">
      <c r="C185" s="136">
        <v>164</v>
      </c>
      <c r="D185" s="178" t="s">
        <v>514</v>
      </c>
      <c r="E185" s="2">
        <v>9</v>
      </c>
      <c r="F185" s="2" t="s">
        <v>716</v>
      </c>
      <c r="G185" s="79" t="s">
        <v>921</v>
      </c>
      <c r="H185" s="1" t="s">
        <v>531</v>
      </c>
      <c r="I185" s="1" t="s">
        <v>482</v>
      </c>
      <c r="J185" s="80">
        <v>1600</v>
      </c>
      <c r="K185" s="2" t="s">
        <v>156</v>
      </c>
      <c r="L185" s="83"/>
    </row>
    <row r="186" spans="3:12" s="84" customFormat="1" ht="31.5">
      <c r="C186" s="136">
        <v>165</v>
      </c>
      <c r="D186" s="178" t="s">
        <v>3233</v>
      </c>
      <c r="E186" s="2">
        <v>9</v>
      </c>
      <c r="F186" s="2" t="s">
        <v>716</v>
      </c>
      <c r="G186" s="79" t="s">
        <v>921</v>
      </c>
      <c r="H186" s="1" t="s">
        <v>526</v>
      </c>
      <c r="I186" s="1" t="s">
        <v>531</v>
      </c>
      <c r="J186" s="80">
        <v>1400</v>
      </c>
      <c r="K186" s="2" t="s">
        <v>517</v>
      </c>
      <c r="L186" s="83"/>
    </row>
    <row r="187" spans="3:12" s="84" customFormat="1" ht="31.5">
      <c r="C187" s="136">
        <v>166</v>
      </c>
      <c r="D187" s="178" t="s">
        <v>533</v>
      </c>
      <c r="E187" s="2">
        <v>9</v>
      </c>
      <c r="F187" s="2" t="s">
        <v>716</v>
      </c>
      <c r="G187" s="79" t="s">
        <v>921</v>
      </c>
      <c r="H187" s="1" t="s">
        <v>387</v>
      </c>
      <c r="I187" s="1" t="s">
        <v>531</v>
      </c>
      <c r="J187" s="80">
        <v>1700</v>
      </c>
      <c r="K187" s="2" t="s">
        <v>156</v>
      </c>
      <c r="L187" s="83"/>
    </row>
    <row r="188" spans="3:12" s="84" customFormat="1" ht="31.5">
      <c r="C188" s="136">
        <v>167</v>
      </c>
      <c r="D188" s="178" t="s">
        <v>3234</v>
      </c>
      <c r="E188" s="2">
        <v>9</v>
      </c>
      <c r="F188" s="2" t="s">
        <v>716</v>
      </c>
      <c r="G188" s="79" t="s">
        <v>921</v>
      </c>
      <c r="H188" s="1" t="s">
        <v>573</v>
      </c>
      <c r="I188" s="1" t="s">
        <v>531</v>
      </c>
      <c r="J188" s="80">
        <v>2300</v>
      </c>
      <c r="K188" s="2" t="s">
        <v>163</v>
      </c>
      <c r="L188" s="83"/>
    </row>
    <row r="189" spans="3:12" s="84" customFormat="1" ht="31.5">
      <c r="C189" s="136">
        <v>168</v>
      </c>
      <c r="D189" s="178" t="s">
        <v>3235</v>
      </c>
      <c r="E189" s="2">
        <v>9</v>
      </c>
      <c r="F189" s="2" t="s">
        <v>716</v>
      </c>
      <c r="G189" s="79" t="s">
        <v>921</v>
      </c>
      <c r="H189" s="1" t="s">
        <v>534</v>
      </c>
      <c r="I189" s="1" t="s">
        <v>531</v>
      </c>
      <c r="J189" s="80">
        <v>3400</v>
      </c>
      <c r="K189" s="2" t="s">
        <v>535</v>
      </c>
      <c r="L189" s="83"/>
    </row>
    <row r="190" spans="3:12" s="84" customFormat="1" ht="31.5">
      <c r="C190" s="136">
        <v>169</v>
      </c>
      <c r="D190" s="178" t="s">
        <v>536</v>
      </c>
      <c r="E190" s="2">
        <v>9</v>
      </c>
      <c r="F190" s="2" t="s">
        <v>716</v>
      </c>
      <c r="G190" s="79" t="s">
        <v>921</v>
      </c>
      <c r="H190" s="1" t="s">
        <v>387</v>
      </c>
      <c r="I190" s="1" t="s">
        <v>531</v>
      </c>
      <c r="J190" s="80">
        <v>1250</v>
      </c>
      <c r="K190" s="2" t="s">
        <v>156</v>
      </c>
      <c r="L190" s="83"/>
    </row>
    <row r="191" spans="3:12" s="84" customFormat="1" ht="31.5">
      <c r="C191" s="136">
        <v>170</v>
      </c>
      <c r="D191" s="178" t="s">
        <v>537</v>
      </c>
      <c r="E191" s="2">
        <v>9</v>
      </c>
      <c r="F191" s="2" t="s">
        <v>716</v>
      </c>
      <c r="G191" s="79" t="s">
        <v>921</v>
      </c>
      <c r="H191" s="1" t="s">
        <v>531</v>
      </c>
      <c r="I191" s="1" t="s">
        <v>407</v>
      </c>
      <c r="J191" s="80">
        <v>1500</v>
      </c>
      <c r="K191" s="2" t="s">
        <v>153</v>
      </c>
      <c r="L191" s="83"/>
    </row>
    <row r="192" spans="3:12" s="84" customFormat="1" ht="31.5">
      <c r="C192" s="136">
        <v>171</v>
      </c>
      <c r="D192" s="178" t="s">
        <v>3236</v>
      </c>
      <c r="E192" s="2">
        <v>9</v>
      </c>
      <c r="F192" s="2" t="s">
        <v>716</v>
      </c>
      <c r="G192" s="79" t="s">
        <v>921</v>
      </c>
      <c r="H192" s="1" t="s">
        <v>387</v>
      </c>
      <c r="I192" s="1" t="s">
        <v>538</v>
      </c>
      <c r="J192" s="80">
        <v>440</v>
      </c>
      <c r="K192" s="2" t="s">
        <v>167</v>
      </c>
      <c r="L192" s="83"/>
    </row>
    <row r="193" spans="3:12" s="84" customFormat="1" ht="31.5">
      <c r="C193" s="136">
        <v>172</v>
      </c>
      <c r="D193" s="178" t="s">
        <v>3237</v>
      </c>
      <c r="E193" s="2">
        <v>9</v>
      </c>
      <c r="F193" s="2" t="s">
        <v>716</v>
      </c>
      <c r="G193" s="79" t="s">
        <v>921</v>
      </c>
      <c r="H193" s="1" t="s">
        <v>387</v>
      </c>
      <c r="I193" s="1" t="s">
        <v>538</v>
      </c>
      <c r="J193" s="80">
        <v>1780</v>
      </c>
      <c r="K193" s="2" t="s">
        <v>156</v>
      </c>
      <c r="L193" s="83"/>
    </row>
    <row r="194" spans="3:12" s="84" customFormat="1" ht="31.5">
      <c r="C194" s="136">
        <v>173</v>
      </c>
      <c r="D194" s="178" t="s">
        <v>3238</v>
      </c>
      <c r="E194" s="2">
        <v>9</v>
      </c>
      <c r="F194" s="2" t="s">
        <v>716</v>
      </c>
      <c r="G194" s="79" t="s">
        <v>921</v>
      </c>
      <c r="H194" s="1" t="s">
        <v>387</v>
      </c>
      <c r="I194" s="1" t="s">
        <v>538</v>
      </c>
      <c r="J194" s="80">
        <v>880</v>
      </c>
      <c r="K194" s="2" t="s">
        <v>171</v>
      </c>
      <c r="L194" s="83"/>
    </row>
    <row r="195" spans="3:12" s="84" customFormat="1" ht="31.5">
      <c r="C195" s="136">
        <v>174</v>
      </c>
      <c r="D195" s="178" t="s">
        <v>3239</v>
      </c>
      <c r="E195" s="2">
        <v>9</v>
      </c>
      <c r="F195" s="2" t="s">
        <v>716</v>
      </c>
      <c r="G195" s="79" t="s">
        <v>921</v>
      </c>
      <c r="H195" s="1" t="s">
        <v>573</v>
      </c>
      <c r="I195" s="1" t="s">
        <v>531</v>
      </c>
      <c r="J195" s="80">
        <v>2000</v>
      </c>
      <c r="K195" s="2" t="s">
        <v>156</v>
      </c>
      <c r="L195" s="83"/>
    </row>
    <row r="196" spans="3:12" s="84" customFormat="1" ht="31.5">
      <c r="C196" s="136">
        <v>175</v>
      </c>
      <c r="D196" s="178" t="s">
        <v>3240</v>
      </c>
      <c r="E196" s="2">
        <v>9</v>
      </c>
      <c r="F196" s="2" t="s">
        <v>716</v>
      </c>
      <c r="G196" s="79" t="s">
        <v>921</v>
      </c>
      <c r="H196" s="1" t="s">
        <v>387</v>
      </c>
      <c r="I196" s="1" t="s">
        <v>3630</v>
      </c>
      <c r="J196" s="80">
        <v>1600</v>
      </c>
      <c r="K196" s="2" t="s">
        <v>522</v>
      </c>
      <c r="L196" s="83"/>
    </row>
    <row r="197" spans="3:12" s="84" customFormat="1" ht="31.5">
      <c r="C197" s="136">
        <v>176</v>
      </c>
      <c r="D197" s="178" t="s">
        <v>3220</v>
      </c>
      <c r="E197" s="2">
        <v>9</v>
      </c>
      <c r="F197" s="2" t="s">
        <v>716</v>
      </c>
      <c r="G197" s="79" t="s">
        <v>921</v>
      </c>
      <c r="H197" s="1" t="s">
        <v>387</v>
      </c>
      <c r="I197" s="1" t="s">
        <v>482</v>
      </c>
      <c r="J197" s="80">
        <v>1300</v>
      </c>
      <c r="K197" s="2" t="s">
        <v>159</v>
      </c>
      <c r="L197" s="83"/>
    </row>
    <row r="198" spans="3:12" s="84" customFormat="1" ht="31.5">
      <c r="C198" s="136">
        <v>177</v>
      </c>
      <c r="D198" s="178" t="s">
        <v>3221</v>
      </c>
      <c r="E198" s="2">
        <v>9</v>
      </c>
      <c r="F198" s="2" t="s">
        <v>716</v>
      </c>
      <c r="G198" s="79" t="s">
        <v>921</v>
      </c>
      <c r="H198" s="1" t="s">
        <v>387</v>
      </c>
      <c r="I198" s="1" t="s">
        <v>482</v>
      </c>
      <c r="J198" s="80">
        <v>2000</v>
      </c>
      <c r="K198" s="2" t="s">
        <v>535</v>
      </c>
      <c r="L198" s="83"/>
    </row>
    <row r="199" spans="3:12" s="84" customFormat="1" ht="31.5">
      <c r="C199" s="136">
        <v>178</v>
      </c>
      <c r="D199" s="178" t="s">
        <v>3790</v>
      </c>
      <c r="E199" s="2">
        <v>9</v>
      </c>
      <c r="F199" s="2" t="s">
        <v>716</v>
      </c>
      <c r="G199" s="79" t="s">
        <v>921</v>
      </c>
      <c r="H199" s="1" t="s">
        <v>387</v>
      </c>
      <c r="I199" s="1" t="s">
        <v>482</v>
      </c>
      <c r="J199" s="80">
        <v>1200</v>
      </c>
      <c r="K199" s="2" t="s">
        <v>168</v>
      </c>
      <c r="L199" s="83"/>
    </row>
    <row r="200" spans="3:12" s="84" customFormat="1" ht="31.5">
      <c r="C200" s="136">
        <v>179</v>
      </c>
      <c r="D200" s="178" t="s">
        <v>3639</v>
      </c>
      <c r="E200" s="2">
        <v>9</v>
      </c>
      <c r="F200" s="2" t="s">
        <v>716</v>
      </c>
      <c r="G200" s="79" t="s">
        <v>921</v>
      </c>
      <c r="H200" s="1" t="s">
        <v>387</v>
      </c>
      <c r="I200" s="1" t="s">
        <v>482</v>
      </c>
      <c r="J200" s="80">
        <v>1400</v>
      </c>
      <c r="K200" s="2" t="s">
        <v>168</v>
      </c>
      <c r="L200" s="83"/>
    </row>
    <row r="201" spans="3:12" s="84" customFormat="1" ht="33" customHeight="1">
      <c r="C201" s="136">
        <v>180</v>
      </c>
      <c r="D201" s="178" t="s">
        <v>3241</v>
      </c>
      <c r="E201" s="2">
        <v>9</v>
      </c>
      <c r="F201" s="2" t="s">
        <v>716</v>
      </c>
      <c r="G201" s="79" t="s">
        <v>921</v>
      </c>
      <c r="H201" s="1" t="s">
        <v>1124</v>
      </c>
      <c r="I201" s="1" t="s">
        <v>543</v>
      </c>
      <c r="J201" s="80">
        <v>3000</v>
      </c>
      <c r="K201" s="2" t="s">
        <v>155</v>
      </c>
      <c r="L201" s="83"/>
    </row>
    <row r="202" spans="3:12" s="84" customFormat="1" ht="31.5">
      <c r="C202" s="136">
        <v>181</v>
      </c>
      <c r="D202" s="178" t="s">
        <v>3452</v>
      </c>
      <c r="E202" s="2">
        <v>9</v>
      </c>
      <c r="F202" s="2" t="s">
        <v>716</v>
      </c>
      <c r="G202" s="79" t="s">
        <v>921</v>
      </c>
      <c r="H202" s="1" t="s">
        <v>387</v>
      </c>
      <c r="I202" s="1" t="s">
        <v>1124</v>
      </c>
      <c r="J202" s="80">
        <v>2000</v>
      </c>
      <c r="K202" s="2" t="s">
        <v>168</v>
      </c>
      <c r="L202" s="83"/>
    </row>
    <row r="203" spans="3:12" s="84" customFormat="1" ht="31.5">
      <c r="C203" s="136">
        <v>182</v>
      </c>
      <c r="D203" s="178" t="s">
        <v>539</v>
      </c>
      <c r="E203" s="2">
        <v>9</v>
      </c>
      <c r="F203" s="2" t="s">
        <v>716</v>
      </c>
      <c r="G203" s="79" t="s">
        <v>921</v>
      </c>
      <c r="H203" s="1" t="s">
        <v>387</v>
      </c>
      <c r="I203" s="1" t="s">
        <v>531</v>
      </c>
      <c r="J203" s="80">
        <v>3100</v>
      </c>
      <c r="K203" s="2" t="s">
        <v>522</v>
      </c>
      <c r="L203" s="83"/>
    </row>
    <row r="204" spans="3:12" s="84" customFormat="1" ht="31.5">
      <c r="C204" s="136">
        <v>183</v>
      </c>
      <c r="D204" s="178" t="s">
        <v>540</v>
      </c>
      <c r="E204" s="2">
        <v>9</v>
      </c>
      <c r="F204" s="2" t="s">
        <v>716</v>
      </c>
      <c r="G204" s="79" t="s">
        <v>921</v>
      </c>
      <c r="H204" s="1" t="s">
        <v>387</v>
      </c>
      <c r="I204" s="1" t="s">
        <v>531</v>
      </c>
      <c r="J204" s="80">
        <v>2500</v>
      </c>
      <c r="K204" s="2" t="s">
        <v>521</v>
      </c>
      <c r="L204" s="83"/>
    </row>
    <row r="205" spans="3:12" s="84" customFormat="1" ht="31.5">
      <c r="C205" s="136">
        <v>184</v>
      </c>
      <c r="D205" s="178" t="s">
        <v>3640</v>
      </c>
      <c r="E205" s="2">
        <v>9</v>
      </c>
      <c r="F205" s="2" t="s">
        <v>716</v>
      </c>
      <c r="G205" s="79" t="s">
        <v>921</v>
      </c>
      <c r="H205" s="1" t="s">
        <v>3632</v>
      </c>
      <c r="I205" s="1" t="s">
        <v>3633</v>
      </c>
      <c r="J205" s="80">
        <v>1100</v>
      </c>
      <c r="K205" s="2" t="s">
        <v>168</v>
      </c>
      <c r="L205" s="83"/>
    </row>
    <row r="206" spans="3:12" s="84" customFormat="1" ht="31.5">
      <c r="C206" s="136">
        <v>185</v>
      </c>
      <c r="D206" s="178" t="s">
        <v>3641</v>
      </c>
      <c r="E206" s="2">
        <v>9</v>
      </c>
      <c r="F206" s="2" t="s">
        <v>716</v>
      </c>
      <c r="G206" s="79" t="s">
        <v>921</v>
      </c>
      <c r="H206" s="1" t="s">
        <v>3632</v>
      </c>
      <c r="I206" s="1" t="s">
        <v>3634</v>
      </c>
      <c r="J206" s="80">
        <v>1200</v>
      </c>
      <c r="K206" s="2" t="s">
        <v>172</v>
      </c>
      <c r="L206" s="83"/>
    </row>
    <row r="207" spans="3:12" s="84" customFormat="1" ht="31.5">
      <c r="C207" s="136">
        <v>186</v>
      </c>
      <c r="D207" s="178" t="s">
        <v>3642</v>
      </c>
      <c r="E207" s="2">
        <v>9</v>
      </c>
      <c r="F207" s="2" t="s">
        <v>716</v>
      </c>
      <c r="G207" s="79" t="s">
        <v>921</v>
      </c>
      <c r="H207" s="1" t="s">
        <v>387</v>
      </c>
      <c r="I207" s="1" t="s">
        <v>3632</v>
      </c>
      <c r="J207" s="80">
        <v>1000</v>
      </c>
      <c r="K207" s="2" t="s">
        <v>172</v>
      </c>
      <c r="L207" s="83"/>
    </row>
    <row r="208" spans="3:12" s="84" customFormat="1" ht="31.5">
      <c r="C208" s="136">
        <v>187</v>
      </c>
      <c r="D208" s="178" t="s">
        <v>3643</v>
      </c>
      <c r="E208" s="2">
        <v>9</v>
      </c>
      <c r="F208" s="2" t="s">
        <v>716</v>
      </c>
      <c r="G208" s="79" t="s">
        <v>921</v>
      </c>
      <c r="H208" s="1" t="s">
        <v>387</v>
      </c>
      <c r="I208" s="1" t="s">
        <v>3635</v>
      </c>
      <c r="J208" s="80">
        <v>250</v>
      </c>
      <c r="K208" s="2" t="s">
        <v>172</v>
      </c>
      <c r="L208" s="83"/>
    </row>
    <row r="209" spans="3:12" s="84" customFormat="1" ht="31.5">
      <c r="C209" s="136">
        <v>188</v>
      </c>
      <c r="D209" s="178" t="s">
        <v>3644</v>
      </c>
      <c r="E209" s="2">
        <v>9</v>
      </c>
      <c r="F209" s="2" t="s">
        <v>716</v>
      </c>
      <c r="G209" s="79" t="s">
        <v>921</v>
      </c>
      <c r="H209" s="1" t="s">
        <v>1153</v>
      </c>
      <c r="I209" s="1" t="s">
        <v>3592</v>
      </c>
      <c r="J209" s="80">
        <v>1100</v>
      </c>
      <c r="K209" s="2" t="s">
        <v>172</v>
      </c>
      <c r="L209" s="83"/>
    </row>
    <row r="210" spans="3:12" s="84" customFormat="1" ht="31.5">
      <c r="C210" s="136">
        <v>189</v>
      </c>
      <c r="D210" s="178" t="s">
        <v>3645</v>
      </c>
      <c r="E210" s="2">
        <v>9</v>
      </c>
      <c r="F210" s="2" t="s">
        <v>716</v>
      </c>
      <c r="G210" s="79" t="s">
        <v>921</v>
      </c>
      <c r="H210" s="1" t="s">
        <v>387</v>
      </c>
      <c r="I210" s="1" t="s">
        <v>508</v>
      </c>
      <c r="J210" s="80">
        <v>285</v>
      </c>
      <c r="K210" s="2" t="s">
        <v>167</v>
      </c>
      <c r="L210" s="83"/>
    </row>
    <row r="211" spans="3:12" s="84" customFormat="1" ht="31.5">
      <c r="C211" s="136">
        <v>190</v>
      </c>
      <c r="D211" s="178" t="s">
        <v>3646</v>
      </c>
      <c r="E211" s="2">
        <v>9</v>
      </c>
      <c r="F211" s="2" t="s">
        <v>716</v>
      </c>
      <c r="G211" s="79" t="s">
        <v>921</v>
      </c>
      <c r="H211" s="1" t="s">
        <v>387</v>
      </c>
      <c r="I211" s="1" t="s">
        <v>508</v>
      </c>
      <c r="J211" s="80">
        <v>710</v>
      </c>
      <c r="K211" s="2" t="s">
        <v>521</v>
      </c>
      <c r="L211" s="83"/>
    </row>
    <row r="212" spans="3:12" s="84" customFormat="1" ht="31.5">
      <c r="C212" s="136">
        <v>191</v>
      </c>
      <c r="D212" s="178" t="s">
        <v>388</v>
      </c>
      <c r="E212" s="2">
        <v>9</v>
      </c>
      <c r="F212" s="2" t="s">
        <v>716</v>
      </c>
      <c r="G212" s="79" t="s">
        <v>921</v>
      </c>
      <c r="H212" s="1" t="s">
        <v>387</v>
      </c>
      <c r="I212" s="1" t="s">
        <v>508</v>
      </c>
      <c r="J212" s="80">
        <v>1800</v>
      </c>
      <c r="K212" s="2" t="s">
        <v>167</v>
      </c>
      <c r="L212" s="83"/>
    </row>
    <row r="213" spans="3:12" s="84" customFormat="1" ht="31.5">
      <c r="C213" s="136">
        <v>192</v>
      </c>
      <c r="D213" s="178" t="s">
        <v>3647</v>
      </c>
      <c r="E213" s="2">
        <v>9</v>
      </c>
      <c r="F213" s="2" t="s">
        <v>716</v>
      </c>
      <c r="G213" s="79" t="s">
        <v>921</v>
      </c>
      <c r="H213" s="1" t="s">
        <v>3734</v>
      </c>
      <c r="I213" s="1" t="s">
        <v>3631</v>
      </c>
      <c r="J213" s="80">
        <v>440</v>
      </c>
      <c r="K213" s="2" t="s">
        <v>172</v>
      </c>
      <c r="L213" s="83"/>
    </row>
    <row r="214" spans="3:12" s="84" customFormat="1" ht="31.5">
      <c r="C214" s="136">
        <v>193</v>
      </c>
      <c r="D214" s="178" t="s">
        <v>3648</v>
      </c>
      <c r="E214" s="2">
        <v>9</v>
      </c>
      <c r="F214" s="2" t="s">
        <v>716</v>
      </c>
      <c r="G214" s="79" t="s">
        <v>921</v>
      </c>
      <c r="H214" s="1" t="s">
        <v>387</v>
      </c>
      <c r="I214" s="1" t="s">
        <v>508</v>
      </c>
      <c r="J214" s="80">
        <v>1025</v>
      </c>
      <c r="K214" s="2" t="s">
        <v>173</v>
      </c>
      <c r="L214" s="83"/>
    </row>
    <row r="215" spans="3:12" s="84" customFormat="1" ht="31.5">
      <c r="C215" s="136">
        <v>194</v>
      </c>
      <c r="D215" s="178" t="s">
        <v>3649</v>
      </c>
      <c r="E215" s="2">
        <v>9</v>
      </c>
      <c r="F215" s="2" t="s">
        <v>716</v>
      </c>
      <c r="G215" s="79" t="s">
        <v>921</v>
      </c>
      <c r="H215" s="1" t="s">
        <v>387</v>
      </c>
      <c r="I215" s="1" t="s">
        <v>3632</v>
      </c>
      <c r="J215" s="80">
        <v>510</v>
      </c>
      <c r="K215" s="2" t="s">
        <v>168</v>
      </c>
      <c r="L215" s="83"/>
    </row>
    <row r="216" spans="3:12" s="84" customFormat="1" ht="31.5">
      <c r="C216" s="136">
        <v>195</v>
      </c>
      <c r="D216" s="178" t="s">
        <v>3650</v>
      </c>
      <c r="E216" s="2">
        <v>9</v>
      </c>
      <c r="F216" s="2" t="s">
        <v>716</v>
      </c>
      <c r="G216" s="79" t="s">
        <v>921</v>
      </c>
      <c r="H216" s="1" t="s">
        <v>387</v>
      </c>
      <c r="I216" s="1" t="s">
        <v>3632</v>
      </c>
      <c r="J216" s="80">
        <v>465</v>
      </c>
      <c r="K216" s="2" t="s">
        <v>174</v>
      </c>
      <c r="L216" s="83"/>
    </row>
    <row r="217" spans="3:12" s="84" customFormat="1" ht="31.5">
      <c r="C217" s="136">
        <v>196</v>
      </c>
      <c r="D217" s="178" t="s">
        <v>3651</v>
      </c>
      <c r="E217" s="2">
        <v>9</v>
      </c>
      <c r="F217" s="2" t="s">
        <v>716</v>
      </c>
      <c r="G217" s="79" t="s">
        <v>921</v>
      </c>
      <c r="H217" s="1" t="s">
        <v>387</v>
      </c>
      <c r="I217" s="1" t="s">
        <v>1153</v>
      </c>
      <c r="J217" s="80">
        <v>410</v>
      </c>
      <c r="K217" s="2" t="s">
        <v>175</v>
      </c>
      <c r="L217" s="83"/>
    </row>
    <row r="218" spans="3:12" s="84" customFormat="1" ht="31.5">
      <c r="C218" s="136">
        <v>197</v>
      </c>
      <c r="D218" s="178" t="s">
        <v>354</v>
      </c>
      <c r="E218" s="2">
        <v>9</v>
      </c>
      <c r="F218" s="2" t="s">
        <v>716</v>
      </c>
      <c r="G218" s="79" t="s">
        <v>921</v>
      </c>
      <c r="H218" s="1" t="s">
        <v>387</v>
      </c>
      <c r="I218" s="1" t="s">
        <v>569</v>
      </c>
      <c r="J218" s="80">
        <v>1020</v>
      </c>
      <c r="K218" s="2" t="s">
        <v>167</v>
      </c>
      <c r="L218" s="83"/>
    </row>
    <row r="219" spans="3:12" s="84" customFormat="1" ht="31.5">
      <c r="C219" s="136">
        <v>198</v>
      </c>
      <c r="D219" s="178" t="s">
        <v>355</v>
      </c>
      <c r="E219" s="2">
        <v>9</v>
      </c>
      <c r="F219" s="2" t="s">
        <v>716</v>
      </c>
      <c r="G219" s="79" t="s">
        <v>921</v>
      </c>
      <c r="H219" s="1" t="s">
        <v>387</v>
      </c>
      <c r="I219" s="1" t="s">
        <v>569</v>
      </c>
      <c r="J219" s="80">
        <v>820</v>
      </c>
      <c r="K219" s="2" t="s">
        <v>167</v>
      </c>
      <c r="L219" s="83"/>
    </row>
    <row r="220" spans="3:12" s="84" customFormat="1" ht="31.5">
      <c r="C220" s="136">
        <v>199</v>
      </c>
      <c r="D220" s="178" t="s">
        <v>356</v>
      </c>
      <c r="E220" s="2">
        <v>9</v>
      </c>
      <c r="F220" s="2" t="s">
        <v>716</v>
      </c>
      <c r="G220" s="79" t="s">
        <v>921</v>
      </c>
      <c r="H220" s="1" t="s">
        <v>387</v>
      </c>
      <c r="I220" s="1" t="s">
        <v>524</v>
      </c>
      <c r="J220" s="80">
        <v>360</v>
      </c>
      <c r="K220" s="2" t="s">
        <v>156</v>
      </c>
      <c r="L220" s="83"/>
    </row>
    <row r="221" spans="3:12" s="84" customFormat="1" ht="31.5">
      <c r="C221" s="136">
        <v>200</v>
      </c>
      <c r="D221" s="178" t="s">
        <v>357</v>
      </c>
      <c r="E221" s="2">
        <v>9</v>
      </c>
      <c r="F221" s="2" t="s">
        <v>716</v>
      </c>
      <c r="G221" s="79" t="s">
        <v>921</v>
      </c>
      <c r="H221" s="1" t="s">
        <v>387</v>
      </c>
      <c r="I221" s="1" t="s">
        <v>524</v>
      </c>
      <c r="J221" s="80">
        <v>2200</v>
      </c>
      <c r="K221" s="2" t="s">
        <v>541</v>
      </c>
      <c r="L221" s="83"/>
    </row>
    <row r="222" spans="3:12" s="84" customFormat="1" ht="31.5">
      <c r="C222" s="136">
        <v>201</v>
      </c>
      <c r="D222" s="178" t="s">
        <v>3652</v>
      </c>
      <c r="E222" s="2">
        <v>9</v>
      </c>
      <c r="F222" s="2" t="s">
        <v>716</v>
      </c>
      <c r="G222" s="79" t="s">
        <v>921</v>
      </c>
      <c r="H222" s="1" t="s">
        <v>387</v>
      </c>
      <c r="I222" s="1" t="s">
        <v>481</v>
      </c>
      <c r="J222" s="80">
        <v>1500</v>
      </c>
      <c r="K222" s="2" t="s">
        <v>156</v>
      </c>
      <c r="L222" s="83"/>
    </row>
    <row r="223" spans="3:12" s="84" customFormat="1" ht="31.5">
      <c r="C223" s="136">
        <v>202</v>
      </c>
      <c r="D223" s="178" t="s">
        <v>3505</v>
      </c>
      <c r="E223" s="2">
        <v>9</v>
      </c>
      <c r="F223" s="2" t="s">
        <v>716</v>
      </c>
      <c r="G223" s="79" t="s">
        <v>921</v>
      </c>
      <c r="H223" s="1" t="s">
        <v>387</v>
      </c>
      <c r="I223" s="1" t="s">
        <v>993</v>
      </c>
      <c r="J223" s="80">
        <v>1000</v>
      </c>
      <c r="K223" s="2" t="s">
        <v>172</v>
      </c>
      <c r="L223" s="83"/>
    </row>
    <row r="224" spans="3:12" s="84" customFormat="1" ht="31.5">
      <c r="C224" s="136">
        <v>203</v>
      </c>
      <c r="D224" s="178" t="s">
        <v>3653</v>
      </c>
      <c r="E224" s="2">
        <v>9</v>
      </c>
      <c r="F224" s="2" t="s">
        <v>716</v>
      </c>
      <c r="G224" s="79" t="s">
        <v>921</v>
      </c>
      <c r="H224" s="1" t="s">
        <v>387</v>
      </c>
      <c r="I224" s="1" t="s">
        <v>3735</v>
      </c>
      <c r="J224" s="80">
        <v>1000</v>
      </c>
      <c r="K224" s="2" t="s">
        <v>172</v>
      </c>
      <c r="L224" s="83"/>
    </row>
    <row r="225" spans="3:12" s="84" customFormat="1" ht="31.5">
      <c r="C225" s="136">
        <v>204</v>
      </c>
      <c r="D225" s="178" t="s">
        <v>3654</v>
      </c>
      <c r="E225" s="2">
        <v>9</v>
      </c>
      <c r="F225" s="2" t="s">
        <v>716</v>
      </c>
      <c r="G225" s="79" t="s">
        <v>921</v>
      </c>
      <c r="H225" s="1" t="s">
        <v>387</v>
      </c>
      <c r="I225" s="1" t="s">
        <v>3735</v>
      </c>
      <c r="J225" s="80">
        <v>1100</v>
      </c>
      <c r="K225" s="2" t="s">
        <v>172</v>
      </c>
      <c r="L225" s="83"/>
    </row>
    <row r="226" spans="3:12" s="84" customFormat="1" ht="31.5">
      <c r="C226" s="136">
        <v>205</v>
      </c>
      <c r="D226" s="178" t="s">
        <v>3655</v>
      </c>
      <c r="E226" s="2">
        <v>9</v>
      </c>
      <c r="F226" s="2" t="s">
        <v>716</v>
      </c>
      <c r="G226" s="79" t="s">
        <v>921</v>
      </c>
      <c r="H226" s="1" t="s">
        <v>387</v>
      </c>
      <c r="I226" s="1" t="s">
        <v>482</v>
      </c>
      <c r="J226" s="80">
        <v>2800</v>
      </c>
      <c r="K226" s="2" t="s">
        <v>167</v>
      </c>
      <c r="L226" s="83"/>
    </row>
    <row r="227" spans="3:12" s="84" customFormat="1" ht="31.5">
      <c r="C227" s="136">
        <v>206</v>
      </c>
      <c r="D227" s="178" t="s">
        <v>3656</v>
      </c>
      <c r="E227" s="2">
        <v>9</v>
      </c>
      <c r="F227" s="2" t="s">
        <v>716</v>
      </c>
      <c r="G227" s="79" t="s">
        <v>921</v>
      </c>
      <c r="H227" s="1" t="s">
        <v>387</v>
      </c>
      <c r="I227" s="1" t="s">
        <v>482</v>
      </c>
      <c r="J227" s="80">
        <v>1700</v>
      </c>
      <c r="K227" s="2" t="s">
        <v>517</v>
      </c>
      <c r="L227" s="83"/>
    </row>
    <row r="228" spans="3:12" s="84" customFormat="1" ht="31.5">
      <c r="C228" s="136">
        <v>207</v>
      </c>
      <c r="D228" s="178" t="s">
        <v>3657</v>
      </c>
      <c r="E228" s="2">
        <v>9</v>
      </c>
      <c r="F228" s="2" t="s">
        <v>716</v>
      </c>
      <c r="G228" s="79" t="s">
        <v>921</v>
      </c>
      <c r="H228" s="1" t="s">
        <v>387</v>
      </c>
      <c r="I228" s="1" t="s">
        <v>3655</v>
      </c>
      <c r="J228" s="80">
        <v>1100</v>
      </c>
      <c r="K228" s="2" t="s">
        <v>518</v>
      </c>
      <c r="L228" s="83"/>
    </row>
    <row r="229" spans="3:12" s="84" customFormat="1" ht="31.5">
      <c r="C229" s="136">
        <v>208</v>
      </c>
      <c r="D229" s="178" t="s">
        <v>3242</v>
      </c>
      <c r="E229" s="2">
        <v>9</v>
      </c>
      <c r="F229" s="2" t="s">
        <v>716</v>
      </c>
      <c r="G229" s="79" t="s">
        <v>921</v>
      </c>
      <c r="H229" s="1" t="s">
        <v>387</v>
      </c>
      <c r="I229" s="1" t="s">
        <v>482</v>
      </c>
      <c r="J229" s="80">
        <v>1200</v>
      </c>
      <c r="K229" s="2" t="s">
        <v>521</v>
      </c>
      <c r="L229" s="83"/>
    </row>
    <row r="230" spans="3:12" s="84" customFormat="1" ht="31.5">
      <c r="C230" s="136">
        <v>209</v>
      </c>
      <c r="D230" s="178" t="s">
        <v>3658</v>
      </c>
      <c r="E230" s="2">
        <v>9</v>
      </c>
      <c r="F230" s="2" t="s">
        <v>716</v>
      </c>
      <c r="G230" s="79" t="s">
        <v>921</v>
      </c>
      <c r="H230" s="1" t="s">
        <v>387</v>
      </c>
      <c r="I230" s="1" t="s">
        <v>482</v>
      </c>
      <c r="J230" s="80">
        <v>350</v>
      </c>
      <c r="K230" s="2" t="s">
        <v>172</v>
      </c>
      <c r="L230" s="83"/>
    </row>
    <row r="231" spans="3:12" s="84" customFormat="1" ht="31.5">
      <c r="C231" s="136">
        <v>210</v>
      </c>
      <c r="D231" s="178" t="s">
        <v>3243</v>
      </c>
      <c r="E231" s="2">
        <v>9</v>
      </c>
      <c r="F231" s="2" t="s">
        <v>716</v>
      </c>
      <c r="G231" s="79" t="s">
        <v>921</v>
      </c>
      <c r="H231" s="1" t="s">
        <v>387</v>
      </c>
      <c r="I231" s="1" t="s">
        <v>482</v>
      </c>
      <c r="J231" s="80">
        <v>1300</v>
      </c>
      <c r="K231" s="2" t="s">
        <v>541</v>
      </c>
      <c r="L231" s="83"/>
    </row>
    <row r="232" spans="3:12" s="84" customFormat="1" ht="31.5">
      <c r="C232" s="136">
        <v>211</v>
      </c>
      <c r="D232" s="178" t="s">
        <v>3661</v>
      </c>
      <c r="E232" s="2">
        <v>9</v>
      </c>
      <c r="F232" s="2" t="s">
        <v>716</v>
      </c>
      <c r="G232" s="79" t="s">
        <v>921</v>
      </c>
      <c r="H232" s="1" t="s">
        <v>387</v>
      </c>
      <c r="I232" s="1" t="s">
        <v>524</v>
      </c>
      <c r="J232" s="80">
        <v>650</v>
      </c>
      <c r="K232" s="2" t="s">
        <v>155</v>
      </c>
      <c r="L232" s="83"/>
    </row>
    <row r="233" spans="3:12" s="84" customFormat="1" ht="31.5">
      <c r="C233" s="136">
        <v>212</v>
      </c>
      <c r="D233" s="178" t="s">
        <v>3662</v>
      </c>
      <c r="E233" s="2">
        <v>9</v>
      </c>
      <c r="F233" s="2" t="s">
        <v>716</v>
      </c>
      <c r="G233" s="79" t="s">
        <v>921</v>
      </c>
      <c r="H233" s="1" t="s">
        <v>387</v>
      </c>
      <c r="I233" s="1" t="s">
        <v>524</v>
      </c>
      <c r="J233" s="80">
        <v>430</v>
      </c>
      <c r="K233" s="2" t="s">
        <v>541</v>
      </c>
      <c r="L233" s="83"/>
    </row>
    <row r="234" spans="3:12" s="84" customFormat="1" ht="31.5">
      <c r="C234" s="136">
        <v>213</v>
      </c>
      <c r="D234" s="178" t="s">
        <v>3663</v>
      </c>
      <c r="E234" s="2">
        <v>9</v>
      </c>
      <c r="F234" s="2" t="s">
        <v>716</v>
      </c>
      <c r="G234" s="79" t="s">
        <v>921</v>
      </c>
      <c r="H234" s="1" t="s">
        <v>387</v>
      </c>
      <c r="I234" s="1" t="s">
        <v>524</v>
      </c>
      <c r="J234" s="80">
        <v>620</v>
      </c>
      <c r="K234" s="2" t="s">
        <v>518</v>
      </c>
      <c r="L234" s="83"/>
    </row>
    <row r="235" spans="3:12" s="84" customFormat="1" ht="31.5">
      <c r="C235" s="136">
        <v>214</v>
      </c>
      <c r="D235" s="178" t="s">
        <v>3659</v>
      </c>
      <c r="E235" s="2">
        <v>9</v>
      </c>
      <c r="F235" s="2" t="s">
        <v>716</v>
      </c>
      <c r="G235" s="79" t="s">
        <v>921</v>
      </c>
      <c r="H235" s="1" t="s">
        <v>387</v>
      </c>
      <c r="I235" s="1" t="s">
        <v>3221</v>
      </c>
      <c r="J235" s="80">
        <v>1100</v>
      </c>
      <c r="K235" s="2" t="s">
        <v>535</v>
      </c>
      <c r="L235" s="83"/>
    </row>
    <row r="236" spans="3:12" s="84" customFormat="1" ht="31.5">
      <c r="C236" s="136">
        <v>215</v>
      </c>
      <c r="D236" s="178" t="s">
        <v>3660</v>
      </c>
      <c r="E236" s="2">
        <v>9</v>
      </c>
      <c r="F236" s="2" t="s">
        <v>716</v>
      </c>
      <c r="G236" s="79" t="s">
        <v>921</v>
      </c>
      <c r="H236" s="1" t="s">
        <v>542</v>
      </c>
      <c r="I236" s="1" t="s">
        <v>531</v>
      </c>
      <c r="J236" s="80">
        <v>2000</v>
      </c>
      <c r="K236" s="2" t="s">
        <v>156</v>
      </c>
      <c r="L236" s="83"/>
    </row>
    <row r="237" spans="3:12" s="84" customFormat="1" ht="31.5">
      <c r="C237" s="136">
        <v>216</v>
      </c>
      <c r="D237" s="178" t="s">
        <v>543</v>
      </c>
      <c r="E237" s="2">
        <v>9</v>
      </c>
      <c r="F237" s="2" t="s">
        <v>716</v>
      </c>
      <c r="G237" s="79" t="s">
        <v>921</v>
      </c>
      <c r="H237" s="1" t="s">
        <v>544</v>
      </c>
      <c r="I237" s="1" t="s">
        <v>531</v>
      </c>
      <c r="J237" s="80">
        <v>4100</v>
      </c>
      <c r="K237" s="2" t="s">
        <v>176</v>
      </c>
      <c r="L237" s="83"/>
    </row>
    <row r="238" spans="3:12" s="84" customFormat="1" ht="31.5">
      <c r="C238" s="136">
        <v>217</v>
      </c>
      <c r="D238" s="178" t="s">
        <v>545</v>
      </c>
      <c r="E238" s="2">
        <v>9</v>
      </c>
      <c r="F238" s="2" t="s">
        <v>716</v>
      </c>
      <c r="G238" s="79" t="s">
        <v>921</v>
      </c>
      <c r="H238" s="1" t="s">
        <v>546</v>
      </c>
      <c r="I238" s="1" t="s">
        <v>407</v>
      </c>
      <c r="J238" s="80">
        <v>10500</v>
      </c>
      <c r="K238" s="2" t="s">
        <v>154</v>
      </c>
      <c r="L238" s="83"/>
    </row>
    <row r="239" spans="3:12" s="84" customFormat="1" ht="31.5">
      <c r="C239" s="136">
        <v>218</v>
      </c>
      <c r="D239" s="178" t="s">
        <v>547</v>
      </c>
      <c r="E239" s="2">
        <v>9</v>
      </c>
      <c r="F239" s="2" t="s">
        <v>716</v>
      </c>
      <c r="G239" s="79" t="s">
        <v>921</v>
      </c>
      <c r="H239" s="1" t="s">
        <v>433</v>
      </c>
      <c r="I239" s="1" t="s">
        <v>407</v>
      </c>
      <c r="J239" s="80">
        <v>800</v>
      </c>
      <c r="K239" s="2" t="s">
        <v>154</v>
      </c>
      <c r="L239" s="83"/>
    </row>
    <row r="240" spans="3:12" s="84" customFormat="1" ht="31.5">
      <c r="C240" s="136">
        <v>219</v>
      </c>
      <c r="D240" s="178" t="s">
        <v>548</v>
      </c>
      <c r="E240" s="2">
        <v>9</v>
      </c>
      <c r="F240" s="2" t="s">
        <v>716</v>
      </c>
      <c r="G240" s="79" t="s">
        <v>921</v>
      </c>
      <c r="H240" s="1" t="s">
        <v>433</v>
      </c>
      <c r="I240" s="1" t="s">
        <v>407</v>
      </c>
      <c r="J240" s="80">
        <v>2600</v>
      </c>
      <c r="K240" s="2" t="s">
        <v>150</v>
      </c>
      <c r="L240" s="83"/>
    </row>
    <row r="241" spans="3:12" s="84" customFormat="1" ht="31.5">
      <c r="C241" s="136">
        <v>220</v>
      </c>
      <c r="D241" s="178" t="s">
        <v>549</v>
      </c>
      <c r="E241" s="2">
        <v>9</v>
      </c>
      <c r="F241" s="2" t="s">
        <v>716</v>
      </c>
      <c r="G241" s="79" t="s">
        <v>921</v>
      </c>
      <c r="H241" s="1" t="s">
        <v>433</v>
      </c>
      <c r="I241" s="1" t="s">
        <v>407</v>
      </c>
      <c r="J241" s="80">
        <v>1000</v>
      </c>
      <c r="K241" s="2" t="s">
        <v>157</v>
      </c>
      <c r="L241" s="83"/>
    </row>
    <row r="242" spans="3:12" s="84" customFormat="1" ht="31.5">
      <c r="C242" s="136">
        <v>221</v>
      </c>
      <c r="D242" s="178" t="s">
        <v>348</v>
      </c>
      <c r="E242" s="2" t="s">
        <v>575</v>
      </c>
      <c r="F242" s="2" t="s">
        <v>716</v>
      </c>
      <c r="G242" s="79" t="s">
        <v>921</v>
      </c>
      <c r="H242" s="1" t="s">
        <v>349</v>
      </c>
      <c r="I242" s="1" t="s">
        <v>350</v>
      </c>
      <c r="J242" s="80">
        <v>1800</v>
      </c>
      <c r="K242" s="2"/>
      <c r="L242" s="83"/>
    </row>
    <row r="243" spans="3:12" s="84" customFormat="1" ht="47.25">
      <c r="C243" s="136">
        <v>222</v>
      </c>
      <c r="D243" s="178" t="s">
        <v>256</v>
      </c>
      <c r="E243" s="2" t="s">
        <v>575</v>
      </c>
      <c r="F243" s="2" t="s">
        <v>716</v>
      </c>
      <c r="G243" s="79" t="s">
        <v>921</v>
      </c>
      <c r="H243" s="1" t="s">
        <v>259</v>
      </c>
      <c r="I243" s="1" t="s">
        <v>258</v>
      </c>
      <c r="J243" s="80">
        <v>1350</v>
      </c>
      <c r="K243" s="2">
        <v>30</v>
      </c>
      <c r="L243" s="83"/>
    </row>
    <row r="244" spans="3:12" s="84" customFormat="1" ht="31.5">
      <c r="C244" s="136">
        <v>223</v>
      </c>
      <c r="D244" s="178" t="s">
        <v>3664</v>
      </c>
      <c r="E244" s="2" t="s">
        <v>575</v>
      </c>
      <c r="F244" s="2" t="s">
        <v>716</v>
      </c>
      <c r="G244" s="79" t="s">
        <v>921</v>
      </c>
      <c r="H244" s="1" t="s">
        <v>3377</v>
      </c>
      <c r="I244" s="1" t="s">
        <v>569</v>
      </c>
      <c r="J244" s="80">
        <v>1100</v>
      </c>
      <c r="K244" s="2" t="s">
        <v>156</v>
      </c>
      <c r="L244" s="83"/>
    </row>
    <row r="245" spans="3:12" s="84" customFormat="1" ht="31.5">
      <c r="C245" s="136">
        <v>224</v>
      </c>
      <c r="D245" s="178" t="s">
        <v>255</v>
      </c>
      <c r="E245" s="2" t="s">
        <v>575</v>
      </c>
      <c r="F245" s="2" t="s">
        <v>716</v>
      </c>
      <c r="G245" s="79" t="s">
        <v>921</v>
      </c>
      <c r="H245" s="1" t="s">
        <v>3376</v>
      </c>
      <c r="I245" s="1" t="s">
        <v>257</v>
      </c>
      <c r="J245" s="80">
        <v>320</v>
      </c>
      <c r="K245" s="2"/>
      <c r="L245" s="83"/>
    </row>
    <row r="246" spans="3:12" s="84" customFormat="1" ht="31.5">
      <c r="C246" s="136">
        <v>225</v>
      </c>
      <c r="D246" s="178" t="s">
        <v>3665</v>
      </c>
      <c r="E246" s="2" t="s">
        <v>575</v>
      </c>
      <c r="F246" s="2" t="s">
        <v>716</v>
      </c>
      <c r="G246" s="79" t="s">
        <v>921</v>
      </c>
      <c r="H246" s="1" t="s">
        <v>387</v>
      </c>
      <c r="I246" s="1" t="s">
        <v>256</v>
      </c>
      <c r="J246" s="80">
        <v>500</v>
      </c>
      <c r="K246" s="2" t="s">
        <v>154</v>
      </c>
      <c r="L246" s="83"/>
    </row>
    <row r="247" spans="3:12" s="84" customFormat="1" ht="31.5">
      <c r="C247" s="136">
        <v>226</v>
      </c>
      <c r="D247" s="178" t="s">
        <v>952</v>
      </c>
      <c r="E247" s="2" t="s">
        <v>575</v>
      </c>
      <c r="F247" s="2" t="s">
        <v>716</v>
      </c>
      <c r="G247" s="79" t="s">
        <v>921</v>
      </c>
      <c r="H247" s="1" t="s">
        <v>3376</v>
      </c>
      <c r="I247" s="1" t="s">
        <v>433</v>
      </c>
      <c r="J247" s="80">
        <v>1000</v>
      </c>
      <c r="K247" s="2" t="s">
        <v>156</v>
      </c>
      <c r="L247" s="83"/>
    </row>
    <row r="248" spans="3:12" s="84" customFormat="1" ht="31.5">
      <c r="C248" s="136">
        <v>227</v>
      </c>
      <c r="D248" s="178" t="s">
        <v>564</v>
      </c>
      <c r="E248" s="2" t="s">
        <v>575</v>
      </c>
      <c r="F248" s="2" t="s">
        <v>716</v>
      </c>
      <c r="G248" s="79" t="s">
        <v>921</v>
      </c>
      <c r="H248" s="1" t="s">
        <v>3736</v>
      </c>
      <c r="I248" s="1" t="s">
        <v>576</v>
      </c>
      <c r="J248" s="80">
        <v>3700</v>
      </c>
      <c r="K248" s="2" t="s">
        <v>153</v>
      </c>
      <c r="L248" s="83"/>
    </row>
    <row r="249" spans="3:12" s="84" customFormat="1" ht="31.5">
      <c r="C249" s="136">
        <v>228</v>
      </c>
      <c r="D249" s="178" t="s">
        <v>3666</v>
      </c>
      <c r="E249" s="2" t="s">
        <v>575</v>
      </c>
      <c r="F249" s="2" t="s">
        <v>716</v>
      </c>
      <c r="G249" s="79" t="s">
        <v>921</v>
      </c>
      <c r="H249" s="1" t="s">
        <v>3737</v>
      </c>
      <c r="I249" s="1" t="s">
        <v>3738</v>
      </c>
      <c r="J249" s="80">
        <v>105</v>
      </c>
      <c r="K249" s="2" t="s">
        <v>177</v>
      </c>
      <c r="L249" s="83"/>
    </row>
    <row r="250" spans="3:12" s="84" customFormat="1" ht="31.5">
      <c r="C250" s="136">
        <v>229</v>
      </c>
      <c r="D250" s="178" t="s">
        <v>580</v>
      </c>
      <c r="E250" s="2" t="s">
        <v>575</v>
      </c>
      <c r="F250" s="2" t="s">
        <v>716</v>
      </c>
      <c r="G250" s="79" t="s">
        <v>921</v>
      </c>
      <c r="H250" s="1" t="s">
        <v>581</v>
      </c>
      <c r="I250" s="1" t="s">
        <v>582</v>
      </c>
      <c r="J250" s="80">
        <v>250</v>
      </c>
      <c r="K250" s="2" t="s">
        <v>178</v>
      </c>
      <c r="L250" s="83"/>
    </row>
    <row r="251" spans="3:12" s="84" customFormat="1" ht="31.5">
      <c r="C251" s="136">
        <v>230</v>
      </c>
      <c r="D251" s="178" t="s">
        <v>550</v>
      </c>
      <c r="E251" s="2" t="s">
        <v>575</v>
      </c>
      <c r="F251" s="2" t="s">
        <v>716</v>
      </c>
      <c r="G251" s="79" t="s">
        <v>921</v>
      </c>
      <c r="H251" s="1" t="s">
        <v>3739</v>
      </c>
      <c r="I251" s="1" t="s">
        <v>3740</v>
      </c>
      <c r="J251" s="80">
        <v>650</v>
      </c>
      <c r="K251" s="2" t="s">
        <v>179</v>
      </c>
      <c r="L251" s="83"/>
    </row>
    <row r="252" spans="3:12" s="84" customFormat="1" ht="47.25">
      <c r="C252" s="136">
        <v>231</v>
      </c>
      <c r="D252" s="178" t="s">
        <v>551</v>
      </c>
      <c r="E252" s="2" t="s">
        <v>575</v>
      </c>
      <c r="F252" s="2" t="s">
        <v>716</v>
      </c>
      <c r="G252" s="79" t="s">
        <v>921</v>
      </c>
      <c r="H252" s="1" t="s">
        <v>3741</v>
      </c>
      <c r="I252" s="1" t="s">
        <v>569</v>
      </c>
      <c r="J252" s="80">
        <v>1500</v>
      </c>
      <c r="K252" s="2" t="s">
        <v>162</v>
      </c>
      <c r="L252" s="83"/>
    </row>
    <row r="253" spans="3:12" s="84" customFormat="1" ht="31.5">
      <c r="C253" s="136">
        <v>232</v>
      </c>
      <c r="D253" s="178" t="s">
        <v>552</v>
      </c>
      <c r="E253" s="2" t="s">
        <v>575</v>
      </c>
      <c r="F253" s="2" t="s">
        <v>716</v>
      </c>
      <c r="G253" s="79" t="s">
        <v>921</v>
      </c>
      <c r="H253" s="1" t="s">
        <v>3742</v>
      </c>
      <c r="I253" s="1" t="s">
        <v>433</v>
      </c>
      <c r="J253" s="80">
        <v>555</v>
      </c>
      <c r="K253" s="2" t="s">
        <v>180</v>
      </c>
      <c r="L253" s="83"/>
    </row>
    <row r="254" spans="3:12" s="84" customFormat="1" ht="31.5">
      <c r="C254" s="136">
        <v>233</v>
      </c>
      <c r="D254" s="178" t="s">
        <v>3244</v>
      </c>
      <c r="E254" s="2" t="s">
        <v>575</v>
      </c>
      <c r="F254" s="2" t="s">
        <v>716</v>
      </c>
      <c r="G254" s="79" t="s">
        <v>921</v>
      </c>
      <c r="H254" s="1" t="s">
        <v>3743</v>
      </c>
      <c r="I254" s="1" t="s">
        <v>433</v>
      </c>
      <c r="J254" s="80">
        <v>350</v>
      </c>
      <c r="K254" s="2" t="s">
        <v>154</v>
      </c>
      <c r="L254" s="83"/>
    </row>
    <row r="255" spans="3:12" s="84" customFormat="1" ht="47.25">
      <c r="C255" s="136">
        <v>234</v>
      </c>
      <c r="D255" s="178" t="s">
        <v>352</v>
      </c>
      <c r="E255" s="2" t="s">
        <v>575</v>
      </c>
      <c r="F255" s="2" t="s">
        <v>716</v>
      </c>
      <c r="G255" s="79" t="s">
        <v>921</v>
      </c>
      <c r="H255" s="1" t="s">
        <v>254</v>
      </c>
      <c r="I255" s="1" t="s">
        <v>351</v>
      </c>
      <c r="J255" s="80">
        <v>2400</v>
      </c>
      <c r="K255" s="2"/>
      <c r="L255" s="83"/>
    </row>
    <row r="256" spans="3:12" s="84" customFormat="1" ht="31.5">
      <c r="C256" s="136">
        <v>235</v>
      </c>
      <c r="D256" s="178" t="s">
        <v>553</v>
      </c>
      <c r="E256" s="2" t="s">
        <v>575</v>
      </c>
      <c r="F256" s="2" t="s">
        <v>716</v>
      </c>
      <c r="G256" s="79" t="s">
        <v>921</v>
      </c>
      <c r="H256" s="1" t="s">
        <v>3744</v>
      </c>
      <c r="I256" s="1" t="s">
        <v>554</v>
      </c>
      <c r="J256" s="80">
        <v>2600</v>
      </c>
      <c r="K256" s="2" t="s">
        <v>181</v>
      </c>
      <c r="L256" s="83"/>
    </row>
    <row r="257" spans="3:12" s="84" customFormat="1" ht="31.5">
      <c r="C257" s="136">
        <v>236</v>
      </c>
      <c r="D257" s="178" t="s">
        <v>347</v>
      </c>
      <c r="E257" s="2" t="s">
        <v>575</v>
      </c>
      <c r="F257" s="2" t="s">
        <v>716</v>
      </c>
      <c r="G257" s="79" t="s">
        <v>921</v>
      </c>
      <c r="H257" s="1" t="s">
        <v>3745</v>
      </c>
      <c r="I257" s="1" t="s">
        <v>562</v>
      </c>
      <c r="J257" s="80">
        <v>528</v>
      </c>
      <c r="K257" s="2" t="s">
        <v>164</v>
      </c>
      <c r="L257" s="83"/>
    </row>
    <row r="258" spans="3:12" s="84" customFormat="1" ht="31.5">
      <c r="C258" s="136">
        <v>237</v>
      </c>
      <c r="D258" s="178" t="s">
        <v>555</v>
      </c>
      <c r="E258" s="2" t="s">
        <v>575</v>
      </c>
      <c r="F258" s="2" t="s">
        <v>716</v>
      </c>
      <c r="G258" s="79" t="s">
        <v>921</v>
      </c>
      <c r="H258" s="1" t="s">
        <v>3746</v>
      </c>
      <c r="I258" s="1" t="s">
        <v>554</v>
      </c>
      <c r="J258" s="80">
        <v>1700</v>
      </c>
      <c r="K258" s="2" t="s">
        <v>182</v>
      </c>
      <c r="L258" s="83"/>
    </row>
    <row r="259" spans="3:12" s="84" customFormat="1" ht="31.5">
      <c r="C259" s="136">
        <v>238</v>
      </c>
      <c r="D259" s="178" t="s">
        <v>556</v>
      </c>
      <c r="E259" s="2" t="s">
        <v>575</v>
      </c>
      <c r="F259" s="2" t="s">
        <v>716</v>
      </c>
      <c r="G259" s="79" t="s">
        <v>921</v>
      </c>
      <c r="H259" s="1" t="s">
        <v>3747</v>
      </c>
      <c r="I259" s="1" t="s">
        <v>433</v>
      </c>
      <c r="J259" s="80">
        <v>500</v>
      </c>
      <c r="K259" s="2" t="s">
        <v>164</v>
      </c>
      <c r="L259" s="83"/>
    </row>
    <row r="260" spans="3:12" s="84" customFormat="1" ht="31.5">
      <c r="C260" s="136">
        <v>239</v>
      </c>
      <c r="D260" s="178" t="s">
        <v>557</v>
      </c>
      <c r="E260" s="2" t="s">
        <v>575</v>
      </c>
      <c r="F260" s="2" t="s">
        <v>716</v>
      </c>
      <c r="G260" s="79" t="s">
        <v>921</v>
      </c>
      <c r="H260" s="1" t="s">
        <v>3748</v>
      </c>
      <c r="I260" s="1" t="s">
        <v>433</v>
      </c>
      <c r="J260" s="80">
        <v>400</v>
      </c>
      <c r="K260" s="2" t="s">
        <v>183</v>
      </c>
      <c r="L260" s="83"/>
    </row>
    <row r="261" spans="3:12" s="84" customFormat="1" ht="31.5">
      <c r="C261" s="136">
        <v>240</v>
      </c>
      <c r="D261" s="178" t="s">
        <v>558</v>
      </c>
      <c r="E261" s="2" t="s">
        <v>575</v>
      </c>
      <c r="F261" s="2" t="s">
        <v>716</v>
      </c>
      <c r="G261" s="79" t="s">
        <v>921</v>
      </c>
      <c r="H261" s="1" t="s">
        <v>331</v>
      </c>
      <c r="I261" s="1" t="s">
        <v>433</v>
      </c>
      <c r="J261" s="80">
        <v>1440</v>
      </c>
      <c r="K261" s="2" t="s">
        <v>156</v>
      </c>
      <c r="L261" s="83"/>
    </row>
    <row r="262" spans="3:12" s="84" customFormat="1" ht="31.5">
      <c r="C262" s="136">
        <v>241</v>
      </c>
      <c r="D262" s="178" t="s">
        <v>559</v>
      </c>
      <c r="E262" s="2" t="s">
        <v>575</v>
      </c>
      <c r="F262" s="2" t="s">
        <v>716</v>
      </c>
      <c r="G262" s="79" t="s">
        <v>921</v>
      </c>
      <c r="H262" s="1" t="s">
        <v>560</v>
      </c>
      <c r="I262" s="1" t="s">
        <v>332</v>
      </c>
      <c r="J262" s="80">
        <v>2400</v>
      </c>
      <c r="K262" s="2" t="s">
        <v>152</v>
      </c>
      <c r="L262" s="83"/>
    </row>
    <row r="263" spans="3:12" s="84" customFormat="1" ht="31.5">
      <c r="C263" s="136">
        <v>242</v>
      </c>
      <c r="D263" s="178" t="s">
        <v>3667</v>
      </c>
      <c r="E263" s="2" t="s">
        <v>575</v>
      </c>
      <c r="F263" s="2" t="s">
        <v>716</v>
      </c>
      <c r="G263" s="79" t="s">
        <v>921</v>
      </c>
      <c r="H263" s="1" t="s">
        <v>561</v>
      </c>
      <c r="I263" s="1" t="s">
        <v>3764</v>
      </c>
      <c r="J263" s="80">
        <v>900</v>
      </c>
      <c r="K263" s="2" t="s">
        <v>149</v>
      </c>
      <c r="L263" s="83"/>
    </row>
    <row r="264" spans="3:12" s="84" customFormat="1" ht="31.5">
      <c r="C264" s="136">
        <v>243</v>
      </c>
      <c r="D264" s="178" t="s">
        <v>572</v>
      </c>
      <c r="E264" s="2" t="s">
        <v>575</v>
      </c>
      <c r="F264" s="2" t="s">
        <v>716</v>
      </c>
      <c r="G264" s="79" t="s">
        <v>921</v>
      </c>
      <c r="H264" s="1" t="s">
        <v>562</v>
      </c>
      <c r="I264" s="1" t="s">
        <v>554</v>
      </c>
      <c r="J264" s="80">
        <v>300</v>
      </c>
      <c r="K264" s="2" t="s">
        <v>153</v>
      </c>
      <c r="L264" s="83"/>
    </row>
    <row r="265" spans="3:12" s="84" customFormat="1" ht="31.5">
      <c r="C265" s="136">
        <v>244</v>
      </c>
      <c r="D265" s="178" t="s">
        <v>3668</v>
      </c>
      <c r="E265" s="2" t="s">
        <v>575</v>
      </c>
      <c r="F265" s="2" t="s">
        <v>716</v>
      </c>
      <c r="G265" s="79" t="s">
        <v>921</v>
      </c>
      <c r="H265" s="1" t="s">
        <v>3749</v>
      </c>
      <c r="I265" s="1" t="s">
        <v>551</v>
      </c>
      <c r="J265" s="80">
        <v>900</v>
      </c>
      <c r="K265" s="2" t="s">
        <v>183</v>
      </c>
      <c r="L265" s="83"/>
    </row>
    <row r="266" spans="3:12" s="84" customFormat="1" ht="31.5">
      <c r="C266" s="136">
        <v>245</v>
      </c>
      <c r="D266" s="178" t="s">
        <v>3669</v>
      </c>
      <c r="E266" s="2" t="s">
        <v>575</v>
      </c>
      <c r="F266" s="2" t="s">
        <v>716</v>
      </c>
      <c r="G266" s="79" t="s">
        <v>921</v>
      </c>
      <c r="H266" s="1" t="s">
        <v>3750</v>
      </c>
      <c r="I266" s="1" t="s">
        <v>3751</v>
      </c>
      <c r="J266" s="80">
        <v>613</v>
      </c>
      <c r="K266" s="2" t="s">
        <v>183</v>
      </c>
      <c r="L266" s="83"/>
    </row>
    <row r="267" spans="3:12" s="84" customFormat="1" ht="31.5">
      <c r="C267" s="136">
        <v>246</v>
      </c>
      <c r="D267" s="178" t="s">
        <v>3670</v>
      </c>
      <c r="E267" s="2" t="s">
        <v>575</v>
      </c>
      <c r="F267" s="2" t="s">
        <v>716</v>
      </c>
      <c r="G267" s="79" t="s">
        <v>921</v>
      </c>
      <c r="H267" s="1" t="s">
        <v>3751</v>
      </c>
      <c r="I267" s="1" t="s">
        <v>1152</v>
      </c>
      <c r="J267" s="80">
        <v>917</v>
      </c>
      <c r="K267" s="2" t="s">
        <v>152</v>
      </c>
      <c r="L267" s="83"/>
    </row>
    <row r="268" spans="3:12" s="84" customFormat="1" ht="31.5">
      <c r="C268" s="136">
        <v>247</v>
      </c>
      <c r="D268" s="178" t="s">
        <v>3671</v>
      </c>
      <c r="E268" s="2" t="s">
        <v>575</v>
      </c>
      <c r="F268" s="2" t="s">
        <v>716</v>
      </c>
      <c r="G268" s="79" t="s">
        <v>921</v>
      </c>
      <c r="H268" s="1" t="s">
        <v>3752</v>
      </c>
      <c r="I268" s="1" t="s">
        <v>3754</v>
      </c>
      <c r="J268" s="80">
        <v>480</v>
      </c>
      <c r="K268" s="2" t="s">
        <v>164</v>
      </c>
      <c r="L268" s="83"/>
    </row>
    <row r="269" spans="3:12" s="84" customFormat="1" ht="31.5">
      <c r="C269" s="136">
        <v>248</v>
      </c>
      <c r="D269" s="178" t="s">
        <v>3672</v>
      </c>
      <c r="E269" s="2" t="s">
        <v>575</v>
      </c>
      <c r="F269" s="2" t="s">
        <v>716</v>
      </c>
      <c r="G269" s="79" t="s">
        <v>921</v>
      </c>
      <c r="H269" s="1" t="s">
        <v>3753</v>
      </c>
      <c r="I269" s="1" t="s">
        <v>255</v>
      </c>
      <c r="J269" s="80">
        <v>1200</v>
      </c>
      <c r="K269" s="2" t="s">
        <v>185</v>
      </c>
      <c r="L269" s="83"/>
    </row>
    <row r="270" spans="3:12" s="84" customFormat="1" ht="31.5">
      <c r="C270" s="136">
        <v>249</v>
      </c>
      <c r="D270" s="178" t="s">
        <v>3453</v>
      </c>
      <c r="E270" s="2" t="s">
        <v>575</v>
      </c>
      <c r="F270" s="2" t="s">
        <v>716</v>
      </c>
      <c r="G270" s="79" t="s">
        <v>921</v>
      </c>
      <c r="H270" s="1" t="s">
        <v>3753</v>
      </c>
      <c r="I270" s="1" t="s">
        <v>255</v>
      </c>
      <c r="J270" s="80">
        <v>300</v>
      </c>
      <c r="K270" s="2" t="s">
        <v>186</v>
      </c>
      <c r="L270" s="83"/>
    </row>
    <row r="271" spans="3:12" s="84" customFormat="1" ht="31.5">
      <c r="C271" s="136">
        <v>250</v>
      </c>
      <c r="D271" s="178" t="s">
        <v>3673</v>
      </c>
      <c r="E271" s="2" t="s">
        <v>575</v>
      </c>
      <c r="F271" s="2" t="s">
        <v>716</v>
      </c>
      <c r="G271" s="79" t="s">
        <v>921</v>
      </c>
      <c r="H271" s="1" t="s">
        <v>3483</v>
      </c>
      <c r="I271" s="1" t="s">
        <v>563</v>
      </c>
      <c r="J271" s="80">
        <v>450</v>
      </c>
      <c r="K271" s="2" t="s">
        <v>187</v>
      </c>
      <c r="L271" s="83"/>
    </row>
    <row r="272" spans="3:12" s="84" customFormat="1" ht="31.5">
      <c r="C272" s="136">
        <v>251</v>
      </c>
      <c r="D272" s="178" t="s">
        <v>3674</v>
      </c>
      <c r="E272" s="2" t="s">
        <v>575</v>
      </c>
      <c r="F272" s="2" t="s">
        <v>716</v>
      </c>
      <c r="G272" s="79" t="s">
        <v>921</v>
      </c>
      <c r="H272" s="1" t="s">
        <v>3482</v>
      </c>
      <c r="I272" s="1" t="s">
        <v>564</v>
      </c>
      <c r="J272" s="80">
        <v>680</v>
      </c>
      <c r="K272" s="2" t="s">
        <v>188</v>
      </c>
      <c r="L272" s="83"/>
    </row>
    <row r="273" spans="3:12" s="84" customFormat="1" ht="31.5">
      <c r="C273" s="136">
        <v>252</v>
      </c>
      <c r="D273" s="178" t="s">
        <v>3675</v>
      </c>
      <c r="E273" s="2" t="s">
        <v>575</v>
      </c>
      <c r="F273" s="2" t="s">
        <v>716</v>
      </c>
      <c r="G273" s="79" t="s">
        <v>921</v>
      </c>
      <c r="H273" s="1" t="s">
        <v>3481</v>
      </c>
      <c r="I273" s="1" t="s">
        <v>433</v>
      </c>
      <c r="J273" s="80">
        <v>550</v>
      </c>
      <c r="K273" s="2" t="s">
        <v>189</v>
      </c>
      <c r="L273" s="83"/>
    </row>
    <row r="274" spans="3:12" s="84" customFormat="1" ht="31.5">
      <c r="C274" s="136">
        <v>253</v>
      </c>
      <c r="D274" s="178" t="s">
        <v>3676</v>
      </c>
      <c r="E274" s="2" t="s">
        <v>575</v>
      </c>
      <c r="F274" s="2" t="s">
        <v>716</v>
      </c>
      <c r="G274" s="79" t="s">
        <v>921</v>
      </c>
      <c r="H274" s="1" t="s">
        <v>3480</v>
      </c>
      <c r="I274" s="1" t="s">
        <v>433</v>
      </c>
      <c r="J274" s="80">
        <v>250</v>
      </c>
      <c r="K274" s="2" t="s">
        <v>164</v>
      </c>
      <c r="L274" s="83"/>
    </row>
    <row r="275" spans="3:12" s="84" customFormat="1" ht="31.5">
      <c r="C275" s="136">
        <v>254</v>
      </c>
      <c r="D275" s="178" t="s">
        <v>3677</v>
      </c>
      <c r="E275" s="2" t="s">
        <v>575</v>
      </c>
      <c r="F275" s="2" t="s">
        <v>716</v>
      </c>
      <c r="G275" s="79" t="s">
        <v>921</v>
      </c>
      <c r="H275" s="1" t="s">
        <v>3479</v>
      </c>
      <c r="I275" s="1" t="s">
        <v>433</v>
      </c>
      <c r="J275" s="80">
        <v>550</v>
      </c>
      <c r="K275" s="2" t="s">
        <v>190</v>
      </c>
      <c r="L275" s="83"/>
    </row>
    <row r="276" spans="3:12" s="84" customFormat="1" ht="31.5">
      <c r="C276" s="136">
        <v>255</v>
      </c>
      <c r="D276" s="178" t="s">
        <v>3678</v>
      </c>
      <c r="E276" s="2" t="s">
        <v>575</v>
      </c>
      <c r="F276" s="2" t="s">
        <v>716</v>
      </c>
      <c r="G276" s="79" t="s">
        <v>921</v>
      </c>
      <c r="H276" s="1" t="s">
        <v>3478</v>
      </c>
      <c r="I276" s="1" t="s">
        <v>433</v>
      </c>
      <c r="J276" s="80">
        <v>450</v>
      </c>
      <c r="K276" s="2" t="s">
        <v>191</v>
      </c>
      <c r="L276" s="83"/>
    </row>
    <row r="277" spans="3:12" s="84" customFormat="1" ht="31.5">
      <c r="C277" s="136">
        <v>256</v>
      </c>
      <c r="D277" s="178" t="s">
        <v>3679</v>
      </c>
      <c r="E277" s="2" t="s">
        <v>575</v>
      </c>
      <c r="F277" s="2" t="s">
        <v>716</v>
      </c>
      <c r="G277" s="79" t="s">
        <v>921</v>
      </c>
      <c r="H277" s="1" t="s">
        <v>3477</v>
      </c>
      <c r="I277" s="1" t="s">
        <v>433</v>
      </c>
      <c r="J277" s="80">
        <v>650</v>
      </c>
      <c r="K277" s="2" t="s">
        <v>192</v>
      </c>
      <c r="L277" s="83"/>
    </row>
    <row r="278" spans="3:12" s="84" customFormat="1" ht="31.5">
      <c r="C278" s="136">
        <v>257</v>
      </c>
      <c r="D278" s="178" t="s">
        <v>3680</v>
      </c>
      <c r="E278" s="2" t="s">
        <v>575</v>
      </c>
      <c r="F278" s="2" t="s">
        <v>716</v>
      </c>
      <c r="G278" s="79" t="s">
        <v>921</v>
      </c>
      <c r="H278" s="1" t="s">
        <v>565</v>
      </c>
      <c r="I278" s="1" t="s">
        <v>564</v>
      </c>
      <c r="J278" s="80">
        <v>450</v>
      </c>
      <c r="K278" s="2" t="s">
        <v>193</v>
      </c>
      <c r="L278" s="83"/>
    </row>
    <row r="279" spans="3:12" s="84" customFormat="1" ht="31.5">
      <c r="C279" s="136">
        <v>258</v>
      </c>
      <c r="D279" s="178" t="s">
        <v>568</v>
      </c>
      <c r="E279" s="2" t="s">
        <v>575</v>
      </c>
      <c r="F279" s="2" t="s">
        <v>716</v>
      </c>
      <c r="G279" s="79" t="s">
        <v>921</v>
      </c>
      <c r="H279" s="1" t="s">
        <v>3473</v>
      </c>
      <c r="I279" s="1" t="s">
        <v>566</v>
      </c>
      <c r="J279" s="80">
        <v>800</v>
      </c>
      <c r="K279" s="2" t="s">
        <v>567</v>
      </c>
      <c r="L279" s="83"/>
    </row>
    <row r="280" spans="3:12" s="84" customFormat="1" ht="31.5">
      <c r="C280" s="136">
        <v>259</v>
      </c>
      <c r="D280" s="178" t="s">
        <v>566</v>
      </c>
      <c r="E280" s="2" t="s">
        <v>575</v>
      </c>
      <c r="F280" s="2" t="s">
        <v>716</v>
      </c>
      <c r="G280" s="79" t="s">
        <v>921</v>
      </c>
      <c r="H280" s="1" t="s">
        <v>3474</v>
      </c>
      <c r="I280" s="1" t="s">
        <v>568</v>
      </c>
      <c r="J280" s="80">
        <v>650</v>
      </c>
      <c r="K280" s="2" t="s">
        <v>194</v>
      </c>
      <c r="L280" s="83"/>
    </row>
    <row r="281" spans="3:12" s="84" customFormat="1" ht="31.5">
      <c r="C281" s="136">
        <v>260</v>
      </c>
      <c r="D281" s="178" t="s">
        <v>3681</v>
      </c>
      <c r="E281" s="2" t="s">
        <v>575</v>
      </c>
      <c r="F281" s="2" t="s">
        <v>716</v>
      </c>
      <c r="G281" s="79" t="s">
        <v>921</v>
      </c>
      <c r="H281" s="1" t="s">
        <v>3475</v>
      </c>
      <c r="I281" s="1" t="s">
        <v>569</v>
      </c>
      <c r="J281" s="80">
        <v>700</v>
      </c>
      <c r="K281" s="2" t="s">
        <v>195</v>
      </c>
      <c r="L281" s="83"/>
    </row>
    <row r="282" spans="3:12" s="84" customFormat="1" ht="31.5">
      <c r="C282" s="136">
        <v>261</v>
      </c>
      <c r="D282" s="178" t="s">
        <v>3682</v>
      </c>
      <c r="E282" s="2" t="s">
        <v>575</v>
      </c>
      <c r="F282" s="2" t="s">
        <v>716</v>
      </c>
      <c r="G282" s="79" t="s">
        <v>921</v>
      </c>
      <c r="H282" s="1" t="s">
        <v>3476</v>
      </c>
      <c r="I282" s="1" t="s">
        <v>433</v>
      </c>
      <c r="J282" s="80">
        <v>250</v>
      </c>
      <c r="K282" s="2" t="s">
        <v>187</v>
      </c>
      <c r="L282" s="83"/>
    </row>
    <row r="283" spans="3:12" s="84" customFormat="1" ht="31.5">
      <c r="C283" s="136">
        <v>262</v>
      </c>
      <c r="D283" s="178" t="s">
        <v>3683</v>
      </c>
      <c r="E283" s="2" t="s">
        <v>575</v>
      </c>
      <c r="F283" s="2" t="s">
        <v>716</v>
      </c>
      <c r="G283" s="79" t="s">
        <v>921</v>
      </c>
      <c r="H283" s="1" t="s">
        <v>3755</v>
      </c>
      <c r="I283" s="1" t="s">
        <v>3413</v>
      </c>
      <c r="J283" s="80">
        <v>1880</v>
      </c>
      <c r="K283" s="2" t="s">
        <v>152</v>
      </c>
      <c r="L283" s="83"/>
    </row>
    <row r="284" spans="3:12" s="84" customFormat="1" ht="31.5">
      <c r="C284" s="136">
        <v>263</v>
      </c>
      <c r="D284" s="178" t="s">
        <v>554</v>
      </c>
      <c r="E284" s="2" t="s">
        <v>575</v>
      </c>
      <c r="F284" s="2" t="s">
        <v>716</v>
      </c>
      <c r="G284" s="79" t="s">
        <v>921</v>
      </c>
      <c r="H284" s="1" t="s">
        <v>3756</v>
      </c>
      <c r="I284" s="1" t="s">
        <v>570</v>
      </c>
      <c r="J284" s="80">
        <v>520</v>
      </c>
      <c r="K284" s="2" t="s">
        <v>153</v>
      </c>
      <c r="L284" s="83"/>
    </row>
    <row r="285" spans="3:12" s="84" customFormat="1" ht="31.5">
      <c r="C285" s="136">
        <v>264</v>
      </c>
      <c r="D285" s="178" t="s">
        <v>3701</v>
      </c>
      <c r="E285" s="2" t="s">
        <v>575</v>
      </c>
      <c r="F285" s="2" t="s">
        <v>716</v>
      </c>
      <c r="G285" s="79" t="s">
        <v>921</v>
      </c>
      <c r="H285" s="1" t="s">
        <v>387</v>
      </c>
      <c r="I285" s="1" t="s">
        <v>554</v>
      </c>
      <c r="J285" s="80">
        <v>300</v>
      </c>
      <c r="K285" s="2" t="s">
        <v>571</v>
      </c>
      <c r="L285" s="83"/>
    </row>
    <row r="286" spans="3:12" s="84" customFormat="1" ht="31.5">
      <c r="C286" s="136">
        <v>265</v>
      </c>
      <c r="D286" s="178" t="s">
        <v>3684</v>
      </c>
      <c r="E286" s="2" t="s">
        <v>575</v>
      </c>
      <c r="F286" s="2" t="s">
        <v>716</v>
      </c>
      <c r="G286" s="79" t="s">
        <v>921</v>
      </c>
      <c r="H286" s="1" t="s">
        <v>387</v>
      </c>
      <c r="I286" s="1" t="s">
        <v>572</v>
      </c>
      <c r="J286" s="80">
        <v>350</v>
      </c>
      <c r="K286" s="2" t="s">
        <v>571</v>
      </c>
      <c r="L286" s="83"/>
    </row>
    <row r="287" spans="3:12" s="84" customFormat="1" ht="31.5">
      <c r="C287" s="136">
        <v>266</v>
      </c>
      <c r="D287" s="178" t="s">
        <v>2643</v>
      </c>
      <c r="E287" s="2" t="s">
        <v>575</v>
      </c>
      <c r="F287" s="2" t="s">
        <v>716</v>
      </c>
      <c r="G287" s="79" t="s">
        <v>921</v>
      </c>
      <c r="H287" s="1" t="s">
        <v>387</v>
      </c>
      <c r="I287" s="1" t="s">
        <v>572</v>
      </c>
      <c r="J287" s="80">
        <v>300</v>
      </c>
      <c r="K287" s="2" t="s">
        <v>194</v>
      </c>
      <c r="L287" s="83"/>
    </row>
    <row r="288" spans="3:12" s="84" customFormat="1" ht="31.5">
      <c r="C288" s="136">
        <v>267</v>
      </c>
      <c r="D288" s="178" t="s">
        <v>3685</v>
      </c>
      <c r="E288" s="2" t="s">
        <v>575</v>
      </c>
      <c r="F288" s="2" t="s">
        <v>716</v>
      </c>
      <c r="G288" s="79" t="s">
        <v>921</v>
      </c>
      <c r="H288" s="1" t="s">
        <v>387</v>
      </c>
      <c r="I288" s="1" t="s">
        <v>564</v>
      </c>
      <c r="J288" s="80">
        <v>600</v>
      </c>
      <c r="K288" s="2" t="s">
        <v>518</v>
      </c>
      <c r="L288" s="83"/>
    </row>
    <row r="289" spans="3:12" s="84" customFormat="1" ht="31.5">
      <c r="C289" s="136">
        <v>268</v>
      </c>
      <c r="D289" s="178" t="s">
        <v>3686</v>
      </c>
      <c r="E289" s="2" t="s">
        <v>575</v>
      </c>
      <c r="F289" s="2" t="s">
        <v>716</v>
      </c>
      <c r="G289" s="79" t="s">
        <v>921</v>
      </c>
      <c r="H289" s="1" t="s">
        <v>387</v>
      </c>
      <c r="I289" s="1" t="s">
        <v>564</v>
      </c>
      <c r="J289" s="80">
        <v>400</v>
      </c>
      <c r="K289" s="2" t="s">
        <v>196</v>
      </c>
      <c r="L289" s="83"/>
    </row>
    <row r="290" spans="3:12" s="84" customFormat="1" ht="31.5">
      <c r="C290" s="136">
        <v>269</v>
      </c>
      <c r="D290" s="178" t="s">
        <v>3687</v>
      </c>
      <c r="E290" s="2" t="s">
        <v>575</v>
      </c>
      <c r="F290" s="2" t="s">
        <v>716</v>
      </c>
      <c r="G290" s="79" t="s">
        <v>921</v>
      </c>
      <c r="H290" s="1" t="s">
        <v>387</v>
      </c>
      <c r="I290" s="1" t="s">
        <v>564</v>
      </c>
      <c r="J290" s="80">
        <v>450</v>
      </c>
      <c r="K290" s="2" t="s">
        <v>197</v>
      </c>
      <c r="L290" s="83"/>
    </row>
    <row r="291" spans="3:12" s="84" customFormat="1" ht="31.5">
      <c r="C291" s="136">
        <v>270</v>
      </c>
      <c r="D291" s="178" t="s">
        <v>3688</v>
      </c>
      <c r="E291" s="2" t="s">
        <v>575</v>
      </c>
      <c r="F291" s="2" t="s">
        <v>716</v>
      </c>
      <c r="G291" s="79" t="s">
        <v>921</v>
      </c>
      <c r="H291" s="1" t="s">
        <v>387</v>
      </c>
      <c r="I291" s="1" t="s">
        <v>564</v>
      </c>
      <c r="J291" s="80">
        <v>450</v>
      </c>
      <c r="K291" s="2" t="s">
        <v>198</v>
      </c>
      <c r="L291" s="83"/>
    </row>
    <row r="292" spans="3:12" s="84" customFormat="1" ht="31.5">
      <c r="C292" s="136">
        <v>271</v>
      </c>
      <c r="D292" s="178" t="s">
        <v>3689</v>
      </c>
      <c r="E292" s="2" t="s">
        <v>575</v>
      </c>
      <c r="F292" s="2" t="s">
        <v>716</v>
      </c>
      <c r="G292" s="79" t="s">
        <v>921</v>
      </c>
      <c r="H292" s="1" t="s">
        <v>387</v>
      </c>
      <c r="I292" s="1" t="s">
        <v>433</v>
      </c>
      <c r="J292" s="80">
        <v>100</v>
      </c>
      <c r="K292" s="2" t="s">
        <v>162</v>
      </c>
      <c r="L292" s="83"/>
    </row>
    <row r="293" spans="3:12" s="84" customFormat="1" ht="31.5">
      <c r="C293" s="136">
        <v>272</v>
      </c>
      <c r="D293" s="178" t="s">
        <v>3690</v>
      </c>
      <c r="E293" s="2" t="s">
        <v>575</v>
      </c>
      <c r="F293" s="2" t="s">
        <v>716</v>
      </c>
      <c r="G293" s="79" t="s">
        <v>921</v>
      </c>
      <c r="H293" s="1" t="s">
        <v>387</v>
      </c>
      <c r="I293" s="1" t="s">
        <v>433</v>
      </c>
      <c r="J293" s="80">
        <v>100</v>
      </c>
      <c r="K293" s="2" t="s">
        <v>154</v>
      </c>
      <c r="L293" s="83"/>
    </row>
    <row r="294" spans="3:12" s="84" customFormat="1" ht="31.5">
      <c r="C294" s="136">
        <v>273</v>
      </c>
      <c r="D294" s="178" t="s">
        <v>3691</v>
      </c>
      <c r="E294" s="2" t="s">
        <v>575</v>
      </c>
      <c r="F294" s="2" t="s">
        <v>716</v>
      </c>
      <c r="G294" s="79" t="s">
        <v>921</v>
      </c>
      <c r="H294" s="1" t="s">
        <v>387</v>
      </c>
      <c r="I294" s="1" t="s">
        <v>433</v>
      </c>
      <c r="J294" s="80">
        <v>80</v>
      </c>
      <c r="K294" s="2" t="s">
        <v>152</v>
      </c>
      <c r="L294" s="83"/>
    </row>
    <row r="295" spans="3:12" s="84" customFormat="1" ht="31.5">
      <c r="C295" s="136">
        <v>274</v>
      </c>
      <c r="D295" s="178" t="s">
        <v>3692</v>
      </c>
      <c r="E295" s="2" t="s">
        <v>575</v>
      </c>
      <c r="F295" s="2" t="s">
        <v>716</v>
      </c>
      <c r="G295" s="79" t="s">
        <v>921</v>
      </c>
      <c r="H295" s="1" t="s">
        <v>387</v>
      </c>
      <c r="I295" s="1" t="s">
        <v>433</v>
      </c>
      <c r="J295" s="80">
        <v>100</v>
      </c>
      <c r="K295" s="2" t="s">
        <v>199</v>
      </c>
      <c r="L295" s="83"/>
    </row>
    <row r="296" spans="3:12" s="84" customFormat="1" ht="31.5">
      <c r="C296" s="136">
        <v>275</v>
      </c>
      <c r="D296" s="178" t="s">
        <v>3693</v>
      </c>
      <c r="E296" s="2" t="s">
        <v>575</v>
      </c>
      <c r="F296" s="2" t="s">
        <v>716</v>
      </c>
      <c r="G296" s="79" t="s">
        <v>921</v>
      </c>
      <c r="H296" s="1" t="s">
        <v>387</v>
      </c>
      <c r="I296" s="1" t="s">
        <v>433</v>
      </c>
      <c r="J296" s="80">
        <v>100</v>
      </c>
      <c r="K296" s="2" t="s">
        <v>150</v>
      </c>
      <c r="L296" s="83"/>
    </row>
    <row r="297" spans="3:12" s="84" customFormat="1" ht="31.5">
      <c r="C297" s="136">
        <v>276</v>
      </c>
      <c r="D297" s="178" t="s">
        <v>3694</v>
      </c>
      <c r="E297" s="2" t="s">
        <v>575</v>
      </c>
      <c r="F297" s="2" t="s">
        <v>716</v>
      </c>
      <c r="G297" s="79" t="s">
        <v>921</v>
      </c>
      <c r="H297" s="1" t="s">
        <v>387</v>
      </c>
      <c r="I297" s="1" t="s">
        <v>433</v>
      </c>
      <c r="J297" s="80">
        <v>65</v>
      </c>
      <c r="K297" s="2" t="s">
        <v>150</v>
      </c>
      <c r="L297" s="83"/>
    </row>
    <row r="298" spans="3:12" s="84" customFormat="1" ht="31.5">
      <c r="C298" s="136">
        <v>277</v>
      </c>
      <c r="D298" s="178" t="s">
        <v>3695</v>
      </c>
      <c r="E298" s="2" t="s">
        <v>575</v>
      </c>
      <c r="F298" s="2" t="s">
        <v>716</v>
      </c>
      <c r="G298" s="79" t="s">
        <v>921</v>
      </c>
      <c r="H298" s="1" t="s">
        <v>387</v>
      </c>
      <c r="I298" s="1" t="s">
        <v>564</v>
      </c>
      <c r="J298" s="80">
        <v>600</v>
      </c>
      <c r="K298" s="2" t="s">
        <v>200</v>
      </c>
      <c r="L298" s="83"/>
    </row>
    <row r="299" spans="3:12" s="84" customFormat="1" ht="31.5">
      <c r="C299" s="136">
        <v>278</v>
      </c>
      <c r="D299" s="178" t="s">
        <v>3696</v>
      </c>
      <c r="E299" s="2" t="s">
        <v>575</v>
      </c>
      <c r="F299" s="2" t="s">
        <v>716</v>
      </c>
      <c r="G299" s="79" t="s">
        <v>921</v>
      </c>
      <c r="H299" s="1" t="s">
        <v>387</v>
      </c>
      <c r="I299" s="1" t="s">
        <v>573</v>
      </c>
      <c r="J299" s="80">
        <v>360</v>
      </c>
      <c r="K299" s="2" t="s">
        <v>175</v>
      </c>
      <c r="L299" s="83"/>
    </row>
    <row r="300" spans="3:12" s="84" customFormat="1" ht="31.5">
      <c r="C300" s="136">
        <v>279</v>
      </c>
      <c r="D300" s="178" t="s">
        <v>3697</v>
      </c>
      <c r="E300" s="2" t="s">
        <v>575</v>
      </c>
      <c r="F300" s="2" t="s">
        <v>716</v>
      </c>
      <c r="G300" s="79" t="s">
        <v>921</v>
      </c>
      <c r="H300" s="1" t="s">
        <v>3757</v>
      </c>
      <c r="I300" s="1" t="s">
        <v>569</v>
      </c>
      <c r="J300" s="80">
        <v>400</v>
      </c>
      <c r="K300" s="2" t="s">
        <v>156</v>
      </c>
      <c r="L300" s="83"/>
    </row>
    <row r="301" spans="3:12" s="84" customFormat="1" ht="31.5">
      <c r="C301" s="136">
        <v>280</v>
      </c>
      <c r="D301" s="178" t="s">
        <v>3698</v>
      </c>
      <c r="E301" s="2" t="s">
        <v>575</v>
      </c>
      <c r="F301" s="2" t="s">
        <v>716</v>
      </c>
      <c r="G301" s="79" t="s">
        <v>921</v>
      </c>
      <c r="H301" s="1" t="s">
        <v>3758</v>
      </c>
      <c r="I301" s="1" t="s">
        <v>569</v>
      </c>
      <c r="J301" s="80">
        <v>480</v>
      </c>
      <c r="K301" s="2" t="s">
        <v>154</v>
      </c>
      <c r="L301" s="83"/>
    </row>
    <row r="302" spans="3:12" s="84" customFormat="1" ht="31.5">
      <c r="C302" s="136">
        <v>281</v>
      </c>
      <c r="D302" s="178" t="s">
        <v>3699</v>
      </c>
      <c r="E302" s="2" t="s">
        <v>575</v>
      </c>
      <c r="F302" s="2" t="s">
        <v>716</v>
      </c>
      <c r="G302" s="79" t="s">
        <v>921</v>
      </c>
      <c r="H302" s="1" t="s">
        <v>387</v>
      </c>
      <c r="I302" s="1" t="s">
        <v>569</v>
      </c>
      <c r="J302" s="80">
        <v>400</v>
      </c>
      <c r="K302" s="2" t="s">
        <v>156</v>
      </c>
      <c r="L302" s="83"/>
    </row>
    <row r="303" spans="3:12" s="84" customFormat="1" ht="31.5">
      <c r="C303" s="136">
        <v>282</v>
      </c>
      <c r="D303" s="178" t="s">
        <v>379</v>
      </c>
      <c r="E303" s="2" t="s">
        <v>575</v>
      </c>
      <c r="F303" s="2" t="s">
        <v>716</v>
      </c>
      <c r="G303" s="79" t="s">
        <v>921</v>
      </c>
      <c r="H303" s="85" t="s">
        <v>3375</v>
      </c>
      <c r="I303" s="1" t="s">
        <v>574</v>
      </c>
      <c r="J303" s="80">
        <v>450</v>
      </c>
      <c r="K303" s="2" t="s">
        <v>152</v>
      </c>
      <c r="L303" s="83"/>
    </row>
    <row r="304" spans="3:12" s="84" customFormat="1" ht="31.5">
      <c r="C304" s="136">
        <v>283</v>
      </c>
      <c r="D304" s="178" t="s">
        <v>3700</v>
      </c>
      <c r="E304" s="2" t="s">
        <v>575</v>
      </c>
      <c r="F304" s="2" t="s">
        <v>716</v>
      </c>
      <c r="G304" s="79" t="s">
        <v>921</v>
      </c>
      <c r="H304" s="1" t="s">
        <v>3759</v>
      </c>
      <c r="I304" s="1" t="s">
        <v>3377</v>
      </c>
      <c r="J304" s="80">
        <v>600</v>
      </c>
      <c r="K304" s="2" t="s">
        <v>201</v>
      </c>
      <c r="L304" s="83"/>
    </row>
    <row r="305" spans="3:12" s="84" customFormat="1" ht="31.5">
      <c r="C305" s="136">
        <v>284</v>
      </c>
      <c r="D305" s="178" t="s">
        <v>577</v>
      </c>
      <c r="E305" s="2" t="s">
        <v>575</v>
      </c>
      <c r="F305" s="2" t="s">
        <v>716</v>
      </c>
      <c r="G305" s="79" t="s">
        <v>921</v>
      </c>
      <c r="H305" s="1" t="s">
        <v>578</v>
      </c>
      <c r="I305" s="1" t="s">
        <v>576</v>
      </c>
      <c r="J305" s="80">
        <v>1500</v>
      </c>
      <c r="K305" s="2" t="s">
        <v>153</v>
      </c>
      <c r="L305" s="83"/>
    </row>
    <row r="306" spans="3:12" s="84" customFormat="1" ht="31.5">
      <c r="C306" s="136">
        <v>285</v>
      </c>
      <c r="D306" s="178" t="s">
        <v>579</v>
      </c>
      <c r="E306" s="2" t="s">
        <v>575</v>
      </c>
      <c r="F306" s="2" t="s">
        <v>716</v>
      </c>
      <c r="G306" s="79" t="s">
        <v>921</v>
      </c>
      <c r="H306" s="1" t="s">
        <v>3571</v>
      </c>
      <c r="I306" s="1" t="s">
        <v>433</v>
      </c>
      <c r="J306" s="80">
        <v>1400</v>
      </c>
      <c r="K306" s="2" t="s">
        <v>154</v>
      </c>
      <c r="L306" s="83"/>
    </row>
    <row r="307" spans="3:12" s="84" customFormat="1" ht="31.5">
      <c r="C307" s="136">
        <v>286</v>
      </c>
      <c r="D307" s="178" t="s">
        <v>580</v>
      </c>
      <c r="E307" s="2" t="s">
        <v>575</v>
      </c>
      <c r="F307" s="2" t="s">
        <v>716</v>
      </c>
      <c r="G307" s="79" t="s">
        <v>921</v>
      </c>
      <c r="H307" s="1" t="s">
        <v>581</v>
      </c>
      <c r="I307" s="1" t="s">
        <v>582</v>
      </c>
      <c r="J307" s="80">
        <v>250</v>
      </c>
      <c r="K307" s="2" t="s">
        <v>178</v>
      </c>
      <c r="L307" s="83"/>
    </row>
    <row r="308" spans="3:12" s="84" customFormat="1" ht="31.5">
      <c r="C308" s="136">
        <v>287</v>
      </c>
      <c r="D308" s="178" t="s">
        <v>923</v>
      </c>
      <c r="E308" s="2" t="s">
        <v>575</v>
      </c>
      <c r="F308" s="2" t="s">
        <v>716</v>
      </c>
      <c r="G308" s="79" t="s">
        <v>921</v>
      </c>
      <c r="H308" s="1" t="s">
        <v>924</v>
      </c>
      <c r="I308" s="1" t="s">
        <v>3593</v>
      </c>
      <c r="J308" s="80">
        <v>470</v>
      </c>
      <c r="K308" s="2"/>
      <c r="L308" s="83"/>
    </row>
    <row r="309" spans="3:12" s="84" customFormat="1" ht="47.25">
      <c r="C309" s="136">
        <v>288</v>
      </c>
      <c r="D309" s="178" t="s">
        <v>925</v>
      </c>
      <c r="E309" s="2" t="s">
        <v>575</v>
      </c>
      <c r="F309" s="2" t="s">
        <v>716</v>
      </c>
      <c r="G309" s="79" t="s">
        <v>921</v>
      </c>
      <c r="H309" s="1" t="s">
        <v>259</v>
      </c>
      <c r="I309" s="1" t="s">
        <v>926</v>
      </c>
      <c r="J309" s="80">
        <v>400</v>
      </c>
      <c r="K309" s="2"/>
      <c r="L309" s="83"/>
    </row>
    <row r="310" spans="3:12" s="84" customFormat="1" ht="31.5">
      <c r="C310" s="136">
        <v>289</v>
      </c>
      <c r="D310" s="178" t="s">
        <v>927</v>
      </c>
      <c r="E310" s="2" t="s">
        <v>575</v>
      </c>
      <c r="F310" s="2" t="s">
        <v>716</v>
      </c>
      <c r="G310" s="79" t="s">
        <v>921</v>
      </c>
      <c r="H310" s="1" t="s">
        <v>569</v>
      </c>
      <c r="I310" s="1" t="s">
        <v>928</v>
      </c>
      <c r="J310" s="80">
        <v>1040</v>
      </c>
      <c r="K310" s="2"/>
      <c r="L310" s="83"/>
    </row>
    <row r="311" spans="3:12" s="84" customFormat="1" ht="31.5">
      <c r="C311" s="136">
        <v>290</v>
      </c>
      <c r="D311" s="178" t="s">
        <v>929</v>
      </c>
      <c r="E311" s="2" t="s">
        <v>575</v>
      </c>
      <c r="F311" s="2" t="s">
        <v>716</v>
      </c>
      <c r="G311" s="79" t="s">
        <v>921</v>
      </c>
      <c r="H311" s="1" t="s">
        <v>930</v>
      </c>
      <c r="I311" s="1" t="s">
        <v>931</v>
      </c>
      <c r="J311" s="80">
        <v>170</v>
      </c>
      <c r="K311" s="2"/>
      <c r="L311" s="83"/>
    </row>
    <row r="312" spans="3:12" s="84" customFormat="1" ht="31.5">
      <c r="C312" s="136">
        <v>291</v>
      </c>
      <c r="D312" s="178" t="s">
        <v>932</v>
      </c>
      <c r="E312" s="2" t="s">
        <v>575</v>
      </c>
      <c r="F312" s="2" t="s">
        <v>716</v>
      </c>
      <c r="G312" s="79" t="s">
        <v>921</v>
      </c>
      <c r="H312" s="1" t="s">
        <v>933</v>
      </c>
      <c r="I312" s="1" t="s">
        <v>3594</v>
      </c>
      <c r="J312" s="80">
        <v>129</v>
      </c>
      <c r="K312" s="2"/>
      <c r="L312" s="83"/>
    </row>
    <row r="313" spans="3:12" s="84" customFormat="1" ht="31.5">
      <c r="C313" s="136">
        <v>292</v>
      </c>
      <c r="D313" s="178" t="s">
        <v>934</v>
      </c>
      <c r="E313" s="2" t="s">
        <v>575</v>
      </c>
      <c r="F313" s="2" t="s">
        <v>716</v>
      </c>
      <c r="G313" s="79" t="s">
        <v>921</v>
      </c>
      <c r="H313" s="1" t="s">
        <v>935</v>
      </c>
      <c r="I313" s="1" t="s">
        <v>936</v>
      </c>
      <c r="J313" s="80">
        <v>315</v>
      </c>
      <c r="K313" s="2"/>
      <c r="L313" s="83"/>
    </row>
    <row r="314" spans="3:12" s="84" customFormat="1" ht="31.5">
      <c r="C314" s="136">
        <v>293</v>
      </c>
      <c r="D314" s="178" t="s">
        <v>937</v>
      </c>
      <c r="E314" s="2" t="s">
        <v>575</v>
      </c>
      <c r="F314" s="2" t="s">
        <v>716</v>
      </c>
      <c r="G314" s="79" t="s">
        <v>921</v>
      </c>
      <c r="H314" s="1" t="s">
        <v>938</v>
      </c>
      <c r="I314" s="1" t="s">
        <v>939</v>
      </c>
      <c r="J314" s="80">
        <v>543</v>
      </c>
      <c r="K314" s="2"/>
      <c r="L314" s="83"/>
    </row>
    <row r="315" spans="3:12" s="84" customFormat="1" ht="31.5">
      <c r="C315" s="136">
        <v>294</v>
      </c>
      <c r="D315" s="178" t="s">
        <v>940</v>
      </c>
      <c r="E315" s="2" t="s">
        <v>575</v>
      </c>
      <c r="F315" s="2" t="s">
        <v>716</v>
      </c>
      <c r="G315" s="79" t="s">
        <v>921</v>
      </c>
      <c r="H315" s="1" t="s">
        <v>941</v>
      </c>
      <c r="I315" s="1" t="s">
        <v>407</v>
      </c>
      <c r="J315" s="80">
        <v>390</v>
      </c>
      <c r="K315" s="2"/>
      <c r="L315" s="83"/>
    </row>
    <row r="316" spans="3:12" s="84" customFormat="1" ht="31.5">
      <c r="C316" s="136">
        <v>295</v>
      </c>
      <c r="D316" s="178" t="s">
        <v>942</v>
      </c>
      <c r="E316" s="2" t="s">
        <v>575</v>
      </c>
      <c r="F316" s="2" t="s">
        <v>716</v>
      </c>
      <c r="G316" s="79" t="s">
        <v>921</v>
      </c>
      <c r="H316" s="1" t="s">
        <v>943</v>
      </c>
      <c r="I316" s="1" t="s">
        <v>944</v>
      </c>
      <c r="J316" s="80">
        <v>300</v>
      </c>
      <c r="K316" s="2"/>
      <c r="L316" s="83"/>
    </row>
    <row r="317" spans="3:12" s="84" customFormat="1" ht="31.5">
      <c r="C317" s="136">
        <v>296</v>
      </c>
      <c r="D317" s="178" t="s">
        <v>348</v>
      </c>
      <c r="E317" s="2" t="s">
        <v>575</v>
      </c>
      <c r="F317" s="2" t="s">
        <v>716</v>
      </c>
      <c r="G317" s="79" t="s">
        <v>921</v>
      </c>
      <c r="H317" s="1" t="s">
        <v>945</v>
      </c>
      <c r="I317" s="1" t="s">
        <v>350</v>
      </c>
      <c r="J317" s="80">
        <v>1800</v>
      </c>
      <c r="K317" s="2"/>
      <c r="L317" s="83"/>
    </row>
    <row r="318" spans="3:12" s="84" customFormat="1" ht="31.5">
      <c r="C318" s="136">
        <v>297</v>
      </c>
      <c r="D318" s="178" t="s">
        <v>946</v>
      </c>
      <c r="E318" s="2" t="s">
        <v>575</v>
      </c>
      <c r="F318" s="2" t="s">
        <v>716</v>
      </c>
      <c r="G318" s="79" t="s">
        <v>921</v>
      </c>
      <c r="H318" s="1" t="s">
        <v>433</v>
      </c>
      <c r="I318" s="1" t="s">
        <v>407</v>
      </c>
      <c r="J318" s="80">
        <v>300</v>
      </c>
      <c r="K318" s="2"/>
      <c r="L318" s="83"/>
    </row>
    <row r="319" spans="3:12" s="84" customFormat="1" ht="31.5">
      <c r="C319" s="136">
        <v>298</v>
      </c>
      <c r="D319" s="178" t="s">
        <v>947</v>
      </c>
      <c r="E319" s="2" t="s">
        <v>575</v>
      </c>
      <c r="F319" s="2" t="s">
        <v>716</v>
      </c>
      <c r="G319" s="79" t="s">
        <v>921</v>
      </c>
      <c r="H319" s="1" t="s">
        <v>255</v>
      </c>
      <c r="I319" s="1" t="s">
        <v>948</v>
      </c>
      <c r="J319" s="80">
        <v>550</v>
      </c>
      <c r="K319" s="2"/>
      <c r="L319" s="83"/>
    </row>
    <row r="320" spans="3:12" s="84" customFormat="1" ht="63">
      <c r="C320" s="136">
        <v>299</v>
      </c>
      <c r="D320" s="178" t="s">
        <v>949</v>
      </c>
      <c r="E320" s="2" t="s">
        <v>575</v>
      </c>
      <c r="F320" s="2" t="s">
        <v>716</v>
      </c>
      <c r="G320" s="79" t="s">
        <v>921</v>
      </c>
      <c r="H320" s="1" t="s">
        <v>256</v>
      </c>
      <c r="I320" s="1" t="s">
        <v>950</v>
      </c>
      <c r="J320" s="80">
        <v>1120</v>
      </c>
      <c r="K320" s="2"/>
      <c r="L320" s="83"/>
    </row>
    <row r="321" spans="3:12" s="84" customFormat="1" ht="31.5">
      <c r="C321" s="136">
        <v>300</v>
      </c>
      <c r="D321" s="178" t="s">
        <v>951</v>
      </c>
      <c r="E321" s="2" t="s">
        <v>575</v>
      </c>
      <c r="F321" s="2" t="s">
        <v>716</v>
      </c>
      <c r="G321" s="79" t="s">
        <v>921</v>
      </c>
      <c r="H321" s="1" t="s">
        <v>952</v>
      </c>
      <c r="I321" s="1" t="s">
        <v>407</v>
      </c>
      <c r="J321" s="80">
        <v>50</v>
      </c>
      <c r="K321" s="2"/>
      <c r="L321" s="83"/>
    </row>
    <row r="322" spans="3:12" s="84" customFormat="1" ht="31.5">
      <c r="C322" s="136">
        <v>301</v>
      </c>
      <c r="D322" s="178" t="s">
        <v>953</v>
      </c>
      <c r="E322" s="2" t="s">
        <v>575</v>
      </c>
      <c r="F322" s="2" t="s">
        <v>716</v>
      </c>
      <c r="G322" s="79" t="s">
        <v>921</v>
      </c>
      <c r="H322" s="1" t="s">
        <v>954</v>
      </c>
      <c r="I322" s="1" t="s">
        <v>955</v>
      </c>
      <c r="J322" s="80">
        <v>317</v>
      </c>
      <c r="K322" s="2"/>
      <c r="L322" s="83"/>
    </row>
    <row r="323" spans="3:12" s="84" customFormat="1" ht="31.5">
      <c r="C323" s="136">
        <v>302</v>
      </c>
      <c r="D323" s="178" t="s">
        <v>956</v>
      </c>
      <c r="E323" s="2" t="s">
        <v>575</v>
      </c>
      <c r="F323" s="2" t="s">
        <v>716</v>
      </c>
      <c r="G323" s="79" t="s">
        <v>921</v>
      </c>
      <c r="H323" s="1" t="s">
        <v>957</v>
      </c>
      <c r="I323" s="1" t="s">
        <v>958</v>
      </c>
      <c r="J323" s="80">
        <v>400</v>
      </c>
      <c r="K323" s="2"/>
      <c r="L323" s="83"/>
    </row>
    <row r="324" spans="3:12" s="84" customFormat="1" ht="31.5">
      <c r="C324" s="136">
        <v>303</v>
      </c>
      <c r="D324" s="178" t="s">
        <v>606</v>
      </c>
      <c r="E324" s="2" t="s">
        <v>962</v>
      </c>
      <c r="F324" s="2" t="s">
        <v>716</v>
      </c>
      <c r="G324" s="79" t="s">
        <v>961</v>
      </c>
      <c r="H324" s="1" t="s">
        <v>379</v>
      </c>
      <c r="I324" s="1" t="s">
        <v>597</v>
      </c>
      <c r="J324" s="80">
        <v>7232</v>
      </c>
      <c r="K324" s="2" t="s">
        <v>1034</v>
      </c>
      <c r="L324" s="83"/>
    </row>
    <row r="325" spans="3:12" s="84" customFormat="1" ht="31.5">
      <c r="C325" s="136">
        <v>304</v>
      </c>
      <c r="D325" s="178" t="s">
        <v>609</v>
      </c>
      <c r="E325" s="2" t="s">
        <v>962</v>
      </c>
      <c r="F325" s="2" t="s">
        <v>716</v>
      </c>
      <c r="G325" s="79" t="s">
        <v>961</v>
      </c>
      <c r="H325" s="1" t="s">
        <v>621</v>
      </c>
      <c r="I325" s="1" t="s">
        <v>606</v>
      </c>
      <c r="J325" s="80">
        <v>2398</v>
      </c>
      <c r="K325" s="2" t="s">
        <v>1033</v>
      </c>
      <c r="L325" s="83"/>
    </row>
    <row r="326" spans="3:12" s="84" customFormat="1" ht="31.5">
      <c r="C326" s="136">
        <v>305</v>
      </c>
      <c r="D326" s="178" t="s">
        <v>611</v>
      </c>
      <c r="E326" s="2" t="s">
        <v>962</v>
      </c>
      <c r="F326" s="2" t="s">
        <v>716</v>
      </c>
      <c r="G326" s="79" t="s">
        <v>961</v>
      </c>
      <c r="H326" s="1" t="s">
        <v>621</v>
      </c>
      <c r="I326" s="1" t="s">
        <v>606</v>
      </c>
      <c r="J326" s="80">
        <v>1448</v>
      </c>
      <c r="K326" s="2" t="s">
        <v>219</v>
      </c>
      <c r="L326" s="83"/>
    </row>
    <row r="327" spans="3:12" s="84" customFormat="1" ht="31.5">
      <c r="C327" s="136">
        <v>306</v>
      </c>
      <c r="D327" s="178" t="s">
        <v>1032</v>
      </c>
      <c r="E327" s="2" t="s">
        <v>962</v>
      </c>
      <c r="F327" s="2" t="s">
        <v>716</v>
      </c>
      <c r="G327" s="79" t="s">
        <v>961</v>
      </c>
      <c r="H327" s="1" t="s">
        <v>387</v>
      </c>
      <c r="I327" s="1" t="s">
        <v>606</v>
      </c>
      <c r="J327" s="80">
        <v>815</v>
      </c>
      <c r="K327" s="2" t="s">
        <v>182</v>
      </c>
      <c r="L327" s="83"/>
    </row>
    <row r="328" spans="3:12" s="84" customFormat="1" ht="31.5">
      <c r="C328" s="136">
        <v>307</v>
      </c>
      <c r="D328" s="178" t="s">
        <v>612</v>
      </c>
      <c r="E328" s="2" t="s">
        <v>962</v>
      </c>
      <c r="F328" s="2" t="s">
        <v>716</v>
      </c>
      <c r="G328" s="79" t="s">
        <v>961</v>
      </c>
      <c r="H328" s="1" t="s">
        <v>1031</v>
      </c>
      <c r="I328" s="1" t="s">
        <v>606</v>
      </c>
      <c r="J328" s="80">
        <v>568</v>
      </c>
      <c r="K328" s="2" t="s">
        <v>220</v>
      </c>
      <c r="L328" s="83"/>
    </row>
    <row r="329" spans="3:12" s="84" customFormat="1" ht="31.5">
      <c r="C329" s="136">
        <v>308</v>
      </c>
      <c r="D329" s="178" t="s">
        <v>1030</v>
      </c>
      <c r="E329" s="2" t="s">
        <v>962</v>
      </c>
      <c r="F329" s="2" t="s">
        <v>716</v>
      </c>
      <c r="G329" s="79" t="s">
        <v>961</v>
      </c>
      <c r="H329" s="1" t="s">
        <v>387</v>
      </c>
      <c r="I329" s="1" t="s">
        <v>606</v>
      </c>
      <c r="J329" s="80">
        <v>421.1</v>
      </c>
      <c r="K329" s="2" t="s">
        <v>207</v>
      </c>
      <c r="L329" s="83"/>
    </row>
    <row r="330" spans="3:12" s="84" customFormat="1" ht="31.5">
      <c r="C330" s="136">
        <v>309</v>
      </c>
      <c r="D330" s="178" t="s">
        <v>1029</v>
      </c>
      <c r="E330" s="2" t="s">
        <v>962</v>
      </c>
      <c r="F330" s="2" t="s">
        <v>716</v>
      </c>
      <c r="G330" s="79" t="s">
        <v>961</v>
      </c>
      <c r="H330" s="1" t="s">
        <v>387</v>
      </c>
      <c r="I330" s="1" t="s">
        <v>599</v>
      </c>
      <c r="J330" s="80">
        <v>260</v>
      </c>
      <c r="K330" s="2" t="s">
        <v>210</v>
      </c>
      <c r="L330" s="83"/>
    </row>
    <row r="331" spans="3:12" s="84" customFormat="1" ht="31.5">
      <c r="C331" s="136">
        <v>310</v>
      </c>
      <c r="D331" s="178" t="s">
        <v>599</v>
      </c>
      <c r="E331" s="2" t="s">
        <v>962</v>
      </c>
      <c r="F331" s="2" t="s">
        <v>716</v>
      </c>
      <c r="G331" s="79" t="s">
        <v>961</v>
      </c>
      <c r="H331" s="1" t="s">
        <v>1028</v>
      </c>
      <c r="I331" s="1" t="s">
        <v>461</v>
      </c>
      <c r="J331" s="80">
        <v>1407</v>
      </c>
      <c r="K331" s="2" t="s">
        <v>1027</v>
      </c>
      <c r="L331" s="83"/>
    </row>
    <row r="332" spans="3:12" s="84" customFormat="1" ht="31.5">
      <c r="C332" s="136">
        <v>311</v>
      </c>
      <c r="D332" s="178" t="s">
        <v>1026</v>
      </c>
      <c r="E332" s="2" t="s">
        <v>962</v>
      </c>
      <c r="F332" s="2" t="s">
        <v>716</v>
      </c>
      <c r="G332" s="79" t="s">
        <v>961</v>
      </c>
      <c r="H332" s="1" t="s">
        <v>599</v>
      </c>
      <c r="I332" s="1" t="s">
        <v>1025</v>
      </c>
      <c r="J332" s="80">
        <v>524</v>
      </c>
      <c r="K332" s="2" t="s">
        <v>986</v>
      </c>
      <c r="L332" s="83"/>
    </row>
    <row r="333" spans="3:12" s="84" customFormat="1" ht="31.5">
      <c r="C333" s="136">
        <v>312</v>
      </c>
      <c r="D333" s="178" t="s">
        <v>1024</v>
      </c>
      <c r="E333" s="2" t="s">
        <v>962</v>
      </c>
      <c r="F333" s="2" t="s">
        <v>716</v>
      </c>
      <c r="G333" s="79" t="s">
        <v>961</v>
      </c>
      <c r="H333" s="1" t="s">
        <v>608</v>
      </c>
      <c r="I333" s="1" t="s">
        <v>606</v>
      </c>
      <c r="J333" s="80">
        <v>2253</v>
      </c>
      <c r="K333" s="2" t="s">
        <v>223</v>
      </c>
      <c r="L333" s="83"/>
    </row>
    <row r="334" spans="3:12" s="84" customFormat="1" ht="31.5">
      <c r="C334" s="136">
        <v>313</v>
      </c>
      <c r="D334" s="178" t="s">
        <v>1023</v>
      </c>
      <c r="E334" s="2" t="s">
        <v>962</v>
      </c>
      <c r="F334" s="2" t="s">
        <v>716</v>
      </c>
      <c r="G334" s="79" t="s">
        <v>961</v>
      </c>
      <c r="H334" s="1" t="s">
        <v>3374</v>
      </c>
      <c r="I334" s="1" t="s">
        <v>433</v>
      </c>
      <c r="J334" s="80">
        <v>506.1</v>
      </c>
      <c r="K334" s="2" t="s">
        <v>999</v>
      </c>
      <c r="L334" s="83"/>
    </row>
    <row r="335" spans="3:12" s="84" customFormat="1" ht="31.5">
      <c r="C335" s="136">
        <v>314</v>
      </c>
      <c r="D335" s="178" t="s">
        <v>613</v>
      </c>
      <c r="E335" s="2" t="s">
        <v>962</v>
      </c>
      <c r="F335" s="2" t="s">
        <v>716</v>
      </c>
      <c r="G335" s="79" t="s">
        <v>961</v>
      </c>
      <c r="H335" s="1" t="s">
        <v>3374</v>
      </c>
      <c r="I335" s="1" t="s">
        <v>433</v>
      </c>
      <c r="J335" s="80">
        <v>555.4</v>
      </c>
      <c r="K335" s="2" t="s">
        <v>1022</v>
      </c>
      <c r="L335" s="83"/>
    </row>
    <row r="336" spans="3:12" s="84" customFormat="1" ht="31.5">
      <c r="C336" s="136">
        <v>315</v>
      </c>
      <c r="D336" s="178" t="s">
        <v>612</v>
      </c>
      <c r="E336" s="2" t="s">
        <v>962</v>
      </c>
      <c r="F336" s="2" t="s">
        <v>716</v>
      </c>
      <c r="G336" s="79" t="s">
        <v>961</v>
      </c>
      <c r="H336" s="1" t="s">
        <v>621</v>
      </c>
      <c r="I336" s="1" t="s">
        <v>433</v>
      </c>
      <c r="J336" s="80">
        <v>404.7</v>
      </c>
      <c r="K336" s="2" t="s">
        <v>1021</v>
      </c>
      <c r="L336" s="83"/>
    </row>
    <row r="337" spans="3:12" s="84" customFormat="1" ht="31.5">
      <c r="C337" s="136">
        <v>316</v>
      </c>
      <c r="D337" s="178" t="s">
        <v>605</v>
      </c>
      <c r="E337" s="2" t="s">
        <v>962</v>
      </c>
      <c r="F337" s="2" t="s">
        <v>716</v>
      </c>
      <c r="G337" s="79" t="s">
        <v>961</v>
      </c>
      <c r="H337" s="1" t="s">
        <v>387</v>
      </c>
      <c r="I337" s="1" t="s">
        <v>614</v>
      </c>
      <c r="J337" s="80">
        <v>472</v>
      </c>
      <c r="K337" s="2" t="s">
        <v>1003</v>
      </c>
      <c r="L337" s="83"/>
    </row>
    <row r="338" spans="3:12" s="84" customFormat="1" ht="31.5">
      <c r="C338" s="136">
        <v>317</v>
      </c>
      <c r="D338" s="178" t="s">
        <v>1020</v>
      </c>
      <c r="E338" s="2" t="s">
        <v>962</v>
      </c>
      <c r="F338" s="2" t="s">
        <v>716</v>
      </c>
      <c r="G338" s="79" t="s">
        <v>961</v>
      </c>
      <c r="H338" s="1" t="s">
        <v>387</v>
      </c>
      <c r="I338" s="1" t="s">
        <v>433</v>
      </c>
      <c r="J338" s="80">
        <v>143.30000000000001</v>
      </c>
      <c r="K338" s="2" t="s">
        <v>1019</v>
      </c>
      <c r="L338" s="83"/>
    </row>
    <row r="339" spans="3:12" s="84" customFormat="1" ht="31.5">
      <c r="C339" s="136">
        <v>318</v>
      </c>
      <c r="D339" s="178" t="s">
        <v>614</v>
      </c>
      <c r="E339" s="2" t="s">
        <v>962</v>
      </c>
      <c r="F339" s="2" t="s">
        <v>716</v>
      </c>
      <c r="G339" s="79" t="s">
        <v>961</v>
      </c>
      <c r="H339" s="1" t="s">
        <v>387</v>
      </c>
      <c r="I339" s="1" t="s">
        <v>433</v>
      </c>
      <c r="J339" s="80">
        <v>1237.5999999999999</v>
      </c>
      <c r="K339" s="2" t="s">
        <v>222</v>
      </c>
      <c r="L339" s="83"/>
    </row>
    <row r="340" spans="3:12" s="84" customFormat="1" ht="31.5">
      <c r="C340" s="136">
        <v>319</v>
      </c>
      <c r="D340" s="178" t="s">
        <v>603</v>
      </c>
      <c r="E340" s="2" t="s">
        <v>962</v>
      </c>
      <c r="F340" s="2" t="s">
        <v>716</v>
      </c>
      <c r="G340" s="79" t="s">
        <v>961</v>
      </c>
      <c r="H340" s="1" t="s">
        <v>602</v>
      </c>
      <c r="I340" s="1" t="s">
        <v>614</v>
      </c>
      <c r="J340" s="80">
        <v>357.1</v>
      </c>
      <c r="K340" s="2" t="s">
        <v>149</v>
      </c>
      <c r="L340" s="83"/>
    </row>
    <row r="341" spans="3:12" s="84" customFormat="1" ht="31.5">
      <c r="C341" s="136">
        <v>320</v>
      </c>
      <c r="D341" s="178" t="s">
        <v>623</v>
      </c>
      <c r="E341" s="2" t="s">
        <v>962</v>
      </c>
      <c r="F341" s="2" t="s">
        <v>716</v>
      </c>
      <c r="G341" s="79" t="s">
        <v>961</v>
      </c>
      <c r="H341" s="1" t="s">
        <v>621</v>
      </c>
      <c r="I341" s="1" t="s">
        <v>1018</v>
      </c>
      <c r="J341" s="80">
        <v>687</v>
      </c>
      <c r="K341" s="2" t="s">
        <v>995</v>
      </c>
      <c r="L341" s="83"/>
    </row>
    <row r="342" spans="3:12" s="84" customFormat="1" ht="31.5">
      <c r="C342" s="136">
        <v>321</v>
      </c>
      <c r="D342" s="178" t="s">
        <v>602</v>
      </c>
      <c r="E342" s="2" t="s">
        <v>962</v>
      </c>
      <c r="F342" s="2" t="s">
        <v>716</v>
      </c>
      <c r="G342" s="79" t="s">
        <v>961</v>
      </c>
      <c r="H342" s="1" t="s">
        <v>603</v>
      </c>
      <c r="I342" s="1" t="s">
        <v>604</v>
      </c>
      <c r="J342" s="80">
        <v>497.9</v>
      </c>
      <c r="K342" s="2" t="s">
        <v>189</v>
      </c>
      <c r="L342" s="83"/>
    </row>
    <row r="343" spans="3:12" s="84" customFormat="1" ht="31.5">
      <c r="C343" s="136">
        <v>322</v>
      </c>
      <c r="D343" s="178" t="s">
        <v>604</v>
      </c>
      <c r="E343" s="2" t="s">
        <v>962</v>
      </c>
      <c r="F343" s="2" t="s">
        <v>716</v>
      </c>
      <c r="G343" s="79" t="s">
        <v>961</v>
      </c>
      <c r="H343" s="1" t="s">
        <v>602</v>
      </c>
      <c r="I343" s="1" t="s">
        <v>433</v>
      </c>
      <c r="J343" s="80">
        <v>330</v>
      </c>
      <c r="K343" s="2" t="s">
        <v>205</v>
      </c>
      <c r="L343" s="83"/>
    </row>
    <row r="344" spans="3:12" s="84" customFormat="1" ht="31.5">
      <c r="C344" s="136">
        <v>323</v>
      </c>
      <c r="D344" s="178" t="s">
        <v>1017</v>
      </c>
      <c r="E344" s="2" t="s">
        <v>962</v>
      </c>
      <c r="F344" s="2" t="s">
        <v>716</v>
      </c>
      <c r="G344" s="79" t="s">
        <v>961</v>
      </c>
      <c r="H344" s="1" t="s">
        <v>387</v>
      </c>
      <c r="I344" s="1" t="s">
        <v>433</v>
      </c>
      <c r="J344" s="80">
        <v>620</v>
      </c>
      <c r="K344" s="2" t="s">
        <v>228</v>
      </c>
      <c r="L344" s="83"/>
    </row>
    <row r="345" spans="3:12" s="84" customFormat="1" ht="31.5">
      <c r="C345" s="136">
        <v>324</v>
      </c>
      <c r="D345" s="178" t="s">
        <v>600</v>
      </c>
      <c r="E345" s="2" t="s">
        <v>962</v>
      </c>
      <c r="F345" s="2" t="s">
        <v>716</v>
      </c>
      <c r="G345" s="79" t="s">
        <v>961</v>
      </c>
      <c r="H345" s="1" t="s">
        <v>1011</v>
      </c>
      <c r="I345" s="1" t="s">
        <v>433</v>
      </c>
      <c r="J345" s="80">
        <v>2500</v>
      </c>
      <c r="K345" s="2" t="s">
        <v>1016</v>
      </c>
      <c r="L345" s="83"/>
    </row>
    <row r="346" spans="3:12" s="84" customFormat="1" ht="31.5">
      <c r="C346" s="136">
        <v>325</v>
      </c>
      <c r="D346" s="178" t="s">
        <v>620</v>
      </c>
      <c r="E346" s="2" t="s">
        <v>962</v>
      </c>
      <c r="F346" s="2" t="s">
        <v>716</v>
      </c>
      <c r="G346" s="79" t="s">
        <v>961</v>
      </c>
      <c r="H346" s="1" t="s">
        <v>621</v>
      </c>
      <c r="I346" s="1" t="s">
        <v>600</v>
      </c>
      <c r="J346" s="80">
        <v>1123</v>
      </c>
      <c r="K346" s="2" t="s">
        <v>295</v>
      </c>
      <c r="L346" s="83"/>
    </row>
    <row r="347" spans="3:12" s="84" customFormat="1" ht="31.5">
      <c r="C347" s="136">
        <v>326</v>
      </c>
      <c r="D347" s="178" t="s">
        <v>610</v>
      </c>
      <c r="E347" s="2" t="s">
        <v>962</v>
      </c>
      <c r="F347" s="2" t="s">
        <v>716</v>
      </c>
      <c r="G347" s="79" t="s">
        <v>961</v>
      </c>
      <c r="H347" s="1" t="s">
        <v>621</v>
      </c>
      <c r="I347" s="1" t="s">
        <v>1015</v>
      </c>
      <c r="J347" s="80">
        <v>890</v>
      </c>
      <c r="K347" s="2" t="s">
        <v>213</v>
      </c>
      <c r="L347" s="83"/>
    </row>
    <row r="348" spans="3:12" s="84" customFormat="1" ht="31.5">
      <c r="C348" s="136">
        <v>327</v>
      </c>
      <c r="D348" s="178" t="s">
        <v>1014</v>
      </c>
      <c r="E348" s="2" t="s">
        <v>962</v>
      </c>
      <c r="F348" s="2" t="s">
        <v>716</v>
      </c>
      <c r="G348" s="79" t="s">
        <v>961</v>
      </c>
      <c r="H348" s="1" t="s">
        <v>387</v>
      </c>
      <c r="I348" s="1" t="s">
        <v>461</v>
      </c>
      <c r="J348" s="80">
        <v>321.5</v>
      </c>
      <c r="K348" s="2" t="s">
        <v>1013</v>
      </c>
      <c r="L348" s="83"/>
    </row>
    <row r="349" spans="3:12" s="84" customFormat="1" ht="31.5">
      <c r="C349" s="136">
        <v>328</v>
      </c>
      <c r="D349" s="178" t="s">
        <v>1012</v>
      </c>
      <c r="E349" s="2" t="s">
        <v>962</v>
      </c>
      <c r="F349" s="2" t="s">
        <v>716</v>
      </c>
      <c r="G349" s="79" t="s">
        <v>961</v>
      </c>
      <c r="H349" s="1" t="s">
        <v>597</v>
      </c>
      <c r="I349" s="1" t="s">
        <v>1011</v>
      </c>
      <c r="J349" s="80">
        <v>1000</v>
      </c>
      <c r="K349" s="2" t="s">
        <v>226</v>
      </c>
      <c r="L349" s="83"/>
    </row>
    <row r="350" spans="3:12" s="84" customFormat="1" ht="31.5">
      <c r="C350" s="136">
        <v>329</v>
      </c>
      <c r="D350" s="178" t="s">
        <v>1010</v>
      </c>
      <c r="E350" s="2" t="s">
        <v>962</v>
      </c>
      <c r="F350" s="2" t="s">
        <v>716</v>
      </c>
      <c r="G350" s="79" t="s">
        <v>961</v>
      </c>
      <c r="H350" s="1" t="s">
        <v>387</v>
      </c>
      <c r="I350" s="1" t="s">
        <v>461</v>
      </c>
      <c r="J350" s="80">
        <v>816.34</v>
      </c>
      <c r="K350" s="2" t="s">
        <v>219</v>
      </c>
      <c r="L350" s="83"/>
    </row>
    <row r="351" spans="3:12" s="84" customFormat="1" ht="31.5">
      <c r="C351" s="136">
        <v>330</v>
      </c>
      <c r="D351" s="178" t="s">
        <v>595</v>
      </c>
      <c r="E351" s="2" t="s">
        <v>962</v>
      </c>
      <c r="F351" s="2" t="s">
        <v>716</v>
      </c>
      <c r="G351" s="79" t="s">
        <v>961</v>
      </c>
      <c r="H351" s="1" t="s">
        <v>1009</v>
      </c>
      <c r="I351" s="1" t="s">
        <v>461</v>
      </c>
      <c r="J351" s="80">
        <v>1135</v>
      </c>
      <c r="K351" s="2" t="s">
        <v>1008</v>
      </c>
      <c r="L351" s="83"/>
    </row>
    <row r="352" spans="3:12" s="84" customFormat="1" ht="31.5">
      <c r="C352" s="136">
        <v>331</v>
      </c>
      <c r="D352" s="178" t="s">
        <v>596</v>
      </c>
      <c r="E352" s="2" t="s">
        <v>962</v>
      </c>
      <c r="F352" s="2" t="s">
        <v>716</v>
      </c>
      <c r="G352" s="79" t="s">
        <v>961</v>
      </c>
      <c r="H352" s="1" t="s">
        <v>387</v>
      </c>
      <c r="I352" s="1" t="s">
        <v>595</v>
      </c>
      <c r="J352" s="80">
        <v>1907.5</v>
      </c>
      <c r="K352" s="2" t="s">
        <v>1007</v>
      </c>
      <c r="L352" s="83"/>
    </row>
    <row r="353" spans="3:12" s="84" customFormat="1" ht="31.5">
      <c r="C353" s="136">
        <v>332</v>
      </c>
      <c r="D353" s="178" t="s">
        <v>1006</v>
      </c>
      <c r="E353" s="2" t="s">
        <v>962</v>
      </c>
      <c r="F353" s="2" t="s">
        <v>716</v>
      </c>
      <c r="G353" s="79" t="s">
        <v>961</v>
      </c>
      <c r="H353" s="1" t="s">
        <v>387</v>
      </c>
      <c r="I353" s="1" t="s">
        <v>433</v>
      </c>
      <c r="J353" s="80">
        <v>661.3</v>
      </c>
      <c r="K353" s="2" t="s">
        <v>1005</v>
      </c>
      <c r="L353" s="83"/>
    </row>
    <row r="354" spans="3:12" s="84" customFormat="1" ht="31.5">
      <c r="C354" s="136">
        <v>333</v>
      </c>
      <c r="D354" s="178" t="s">
        <v>616</v>
      </c>
      <c r="E354" s="2" t="s">
        <v>962</v>
      </c>
      <c r="F354" s="2" t="s">
        <v>716</v>
      </c>
      <c r="G354" s="79" t="s">
        <v>961</v>
      </c>
      <c r="H354" s="155" t="s">
        <v>3899</v>
      </c>
      <c r="I354" s="1" t="s">
        <v>433</v>
      </c>
      <c r="J354" s="80">
        <v>650</v>
      </c>
      <c r="K354" s="2" t="s">
        <v>1005</v>
      </c>
      <c r="L354" s="83"/>
    </row>
    <row r="355" spans="3:12" s="84" customFormat="1" ht="31.5">
      <c r="C355" s="136">
        <v>334</v>
      </c>
      <c r="D355" s="178" t="s">
        <v>1004</v>
      </c>
      <c r="E355" s="2" t="s">
        <v>962</v>
      </c>
      <c r="F355" s="2" t="s">
        <v>716</v>
      </c>
      <c r="G355" s="79" t="s">
        <v>961</v>
      </c>
      <c r="H355" s="1" t="s">
        <v>1002</v>
      </c>
      <c r="I355" s="1" t="s">
        <v>433</v>
      </c>
      <c r="J355" s="80">
        <v>290</v>
      </c>
      <c r="K355" s="2" t="s">
        <v>1003</v>
      </c>
      <c r="L355" s="83"/>
    </row>
    <row r="356" spans="3:12" s="84" customFormat="1" ht="31.5">
      <c r="C356" s="136">
        <v>335</v>
      </c>
      <c r="D356" s="178" t="s">
        <v>615</v>
      </c>
      <c r="E356" s="2" t="s">
        <v>962</v>
      </c>
      <c r="F356" s="2" t="s">
        <v>716</v>
      </c>
      <c r="G356" s="79" t="s">
        <v>961</v>
      </c>
      <c r="H356" s="1" t="s">
        <v>1002</v>
      </c>
      <c r="I356" s="1" t="s">
        <v>433</v>
      </c>
      <c r="J356" s="80">
        <v>276.89999999999998</v>
      </c>
      <c r="K356" s="2" t="s">
        <v>179</v>
      </c>
      <c r="L356" s="83"/>
    </row>
    <row r="357" spans="3:12" s="84" customFormat="1" ht="31.5">
      <c r="C357" s="136">
        <v>336</v>
      </c>
      <c r="D357" s="178" t="s">
        <v>461</v>
      </c>
      <c r="E357" s="2" t="s">
        <v>962</v>
      </c>
      <c r="F357" s="2" t="s">
        <v>716</v>
      </c>
      <c r="G357" s="79" t="s">
        <v>961</v>
      </c>
      <c r="H357" s="1" t="s">
        <v>1001</v>
      </c>
      <c r="I357" s="1" t="s">
        <v>433</v>
      </c>
      <c r="J357" s="80">
        <v>5465</v>
      </c>
      <c r="K357" s="2" t="s">
        <v>1000</v>
      </c>
      <c r="L357" s="83"/>
    </row>
    <row r="358" spans="3:12" s="84" customFormat="1" ht="31.5">
      <c r="C358" s="136">
        <v>337</v>
      </c>
      <c r="D358" s="178" t="s">
        <v>994</v>
      </c>
      <c r="E358" s="2" t="s">
        <v>962</v>
      </c>
      <c r="F358" s="2" t="s">
        <v>716</v>
      </c>
      <c r="G358" s="79" t="s">
        <v>961</v>
      </c>
      <c r="H358" s="1" t="s">
        <v>595</v>
      </c>
      <c r="I358" s="1" t="s">
        <v>433</v>
      </c>
      <c r="J358" s="80">
        <v>2397.5</v>
      </c>
      <c r="K358" s="2" t="s">
        <v>999</v>
      </c>
      <c r="L358" s="83"/>
    </row>
    <row r="359" spans="3:12" s="84" customFormat="1" ht="31.5">
      <c r="C359" s="136">
        <v>338</v>
      </c>
      <c r="D359" s="178" t="s">
        <v>588</v>
      </c>
      <c r="E359" s="2" t="s">
        <v>962</v>
      </c>
      <c r="F359" s="2" t="s">
        <v>716</v>
      </c>
      <c r="G359" s="79" t="s">
        <v>961</v>
      </c>
      <c r="H359" s="1" t="s">
        <v>998</v>
      </c>
      <c r="I359" s="1" t="s">
        <v>461</v>
      </c>
      <c r="J359" s="80">
        <v>634.4</v>
      </c>
      <c r="K359" s="2" t="s">
        <v>997</v>
      </c>
      <c r="L359" s="83"/>
    </row>
    <row r="360" spans="3:12" s="84" customFormat="1" ht="31.5">
      <c r="C360" s="136">
        <v>339</v>
      </c>
      <c r="D360" s="178" t="s">
        <v>594</v>
      </c>
      <c r="E360" s="2" t="s">
        <v>962</v>
      </c>
      <c r="F360" s="2" t="s">
        <v>716</v>
      </c>
      <c r="G360" s="79" t="s">
        <v>961</v>
      </c>
      <c r="H360" s="1" t="s">
        <v>996</v>
      </c>
      <c r="I360" s="1" t="s">
        <v>433</v>
      </c>
      <c r="J360" s="80">
        <v>1215.4000000000001</v>
      </c>
      <c r="K360" s="2" t="s">
        <v>995</v>
      </c>
      <c r="L360" s="83"/>
    </row>
    <row r="361" spans="3:12" s="84" customFormat="1" ht="31.5">
      <c r="C361" s="136">
        <v>340</v>
      </c>
      <c r="D361" s="178" t="s">
        <v>591</v>
      </c>
      <c r="E361" s="2" t="s">
        <v>962</v>
      </c>
      <c r="F361" s="2" t="s">
        <v>716</v>
      </c>
      <c r="G361" s="79" t="s">
        <v>961</v>
      </c>
      <c r="H361" s="1" t="s">
        <v>990</v>
      </c>
      <c r="I361" s="1" t="s">
        <v>994</v>
      </c>
      <c r="J361" s="80">
        <v>1376</v>
      </c>
      <c r="K361" s="2" t="s">
        <v>295</v>
      </c>
      <c r="L361" s="83"/>
    </row>
    <row r="362" spans="3:12" s="84" customFormat="1" ht="31.5">
      <c r="C362" s="136">
        <v>341</v>
      </c>
      <c r="D362" s="178" t="s">
        <v>993</v>
      </c>
      <c r="E362" s="2" t="s">
        <v>962</v>
      </c>
      <c r="F362" s="2" t="s">
        <v>716</v>
      </c>
      <c r="G362" s="79" t="s">
        <v>961</v>
      </c>
      <c r="H362" s="1" t="s">
        <v>3572</v>
      </c>
      <c r="I362" s="1" t="s">
        <v>590</v>
      </c>
      <c r="J362" s="80">
        <v>600</v>
      </c>
      <c r="K362" s="2" t="s">
        <v>312</v>
      </c>
      <c r="L362" s="83"/>
    </row>
    <row r="363" spans="3:12" s="84" customFormat="1" ht="31.5">
      <c r="C363" s="136">
        <v>342</v>
      </c>
      <c r="D363" s="178" t="s">
        <v>992</v>
      </c>
      <c r="E363" s="2" t="s">
        <v>962</v>
      </c>
      <c r="F363" s="2" t="s">
        <v>716</v>
      </c>
      <c r="G363" s="79" t="s">
        <v>961</v>
      </c>
      <c r="H363" s="1" t="s">
        <v>3573</v>
      </c>
      <c r="I363" s="1" t="s">
        <v>461</v>
      </c>
      <c r="J363" s="80">
        <v>956.5</v>
      </c>
      <c r="K363" s="2" t="s">
        <v>991</v>
      </c>
      <c r="L363" s="83"/>
    </row>
    <row r="364" spans="3:12" s="84" customFormat="1" ht="31.5">
      <c r="C364" s="136">
        <v>343</v>
      </c>
      <c r="D364" s="178" t="s">
        <v>990</v>
      </c>
      <c r="E364" s="2" t="s">
        <v>962</v>
      </c>
      <c r="F364" s="2" t="s">
        <v>716</v>
      </c>
      <c r="G364" s="79" t="s">
        <v>961</v>
      </c>
      <c r="H364" s="1" t="s">
        <v>594</v>
      </c>
      <c r="I364" s="1" t="s">
        <v>433</v>
      </c>
      <c r="J364" s="80">
        <v>2068.6999999999998</v>
      </c>
      <c r="K364" s="2" t="s">
        <v>989</v>
      </c>
      <c r="L364" s="83"/>
    </row>
    <row r="365" spans="3:12" s="84" customFormat="1" ht="31.5">
      <c r="C365" s="136">
        <v>344</v>
      </c>
      <c r="D365" s="178" t="s">
        <v>617</v>
      </c>
      <c r="E365" s="2" t="s">
        <v>962</v>
      </c>
      <c r="F365" s="2" t="s">
        <v>716</v>
      </c>
      <c r="G365" s="79" t="s">
        <v>961</v>
      </c>
      <c r="H365" s="1" t="s">
        <v>3574</v>
      </c>
      <c r="I365" s="1" t="s">
        <v>433</v>
      </c>
      <c r="J365" s="80">
        <v>679.9</v>
      </c>
      <c r="K365" s="2" t="s">
        <v>988</v>
      </c>
      <c r="L365" s="83"/>
    </row>
    <row r="366" spans="3:12" s="84" customFormat="1" ht="31.5">
      <c r="C366" s="136">
        <v>345</v>
      </c>
      <c r="D366" s="178" t="s">
        <v>601</v>
      </c>
      <c r="E366" s="2" t="s">
        <v>962</v>
      </c>
      <c r="F366" s="2" t="s">
        <v>716</v>
      </c>
      <c r="G366" s="79" t="s">
        <v>961</v>
      </c>
      <c r="H366" s="1" t="s">
        <v>987</v>
      </c>
      <c r="I366" s="1" t="s">
        <v>433</v>
      </c>
      <c r="J366" s="80">
        <v>655</v>
      </c>
      <c r="K366" s="2" t="s">
        <v>226</v>
      </c>
      <c r="L366" s="83"/>
    </row>
    <row r="367" spans="3:12" s="84" customFormat="1" ht="31.5">
      <c r="C367" s="136">
        <v>346</v>
      </c>
      <c r="D367" s="178" t="s">
        <v>618</v>
      </c>
      <c r="E367" s="2" t="s">
        <v>962</v>
      </c>
      <c r="F367" s="2" t="s">
        <v>716</v>
      </c>
      <c r="G367" s="79" t="s">
        <v>961</v>
      </c>
      <c r="H367" s="1" t="s">
        <v>387</v>
      </c>
      <c r="I367" s="1" t="s">
        <v>433</v>
      </c>
      <c r="J367" s="80">
        <v>637.5</v>
      </c>
      <c r="K367" s="2" t="s">
        <v>986</v>
      </c>
      <c r="L367" s="83"/>
    </row>
    <row r="368" spans="3:12" s="84" customFormat="1" ht="31.5">
      <c r="C368" s="136">
        <v>347</v>
      </c>
      <c r="D368" s="178" t="s">
        <v>433</v>
      </c>
      <c r="E368" s="2" t="s">
        <v>962</v>
      </c>
      <c r="F368" s="2" t="s">
        <v>716</v>
      </c>
      <c r="G368" s="79" t="s">
        <v>961</v>
      </c>
      <c r="H368" s="1" t="s">
        <v>985</v>
      </c>
      <c r="I368" s="1" t="s">
        <v>461</v>
      </c>
      <c r="J368" s="80">
        <v>11000</v>
      </c>
      <c r="K368" s="2" t="s">
        <v>984</v>
      </c>
      <c r="L368" s="83"/>
    </row>
    <row r="369" spans="3:12" s="84" customFormat="1" ht="31.5">
      <c r="C369" s="136">
        <v>348</v>
      </c>
      <c r="D369" s="178" t="s">
        <v>622</v>
      </c>
      <c r="E369" s="2" t="s">
        <v>962</v>
      </c>
      <c r="F369" s="2" t="s">
        <v>716</v>
      </c>
      <c r="G369" s="79" t="s">
        <v>961</v>
      </c>
      <c r="H369" s="1" t="s">
        <v>983</v>
      </c>
      <c r="I369" s="1" t="s">
        <v>606</v>
      </c>
      <c r="J369" s="80">
        <v>895.5</v>
      </c>
      <c r="K369" s="2" t="s">
        <v>297</v>
      </c>
      <c r="L369" s="83"/>
    </row>
    <row r="370" spans="3:12" s="84" customFormat="1" ht="31.5">
      <c r="C370" s="136">
        <v>349</v>
      </c>
      <c r="D370" s="178" t="s">
        <v>624</v>
      </c>
      <c r="E370" s="2" t="s">
        <v>962</v>
      </c>
      <c r="F370" s="2" t="s">
        <v>716</v>
      </c>
      <c r="G370" s="79" t="s">
        <v>961</v>
      </c>
      <c r="H370" s="1" t="s">
        <v>387</v>
      </c>
      <c r="I370" s="1" t="s">
        <v>606</v>
      </c>
      <c r="J370" s="80">
        <v>371.6</v>
      </c>
      <c r="K370" s="2" t="s">
        <v>207</v>
      </c>
      <c r="L370" s="83"/>
    </row>
    <row r="371" spans="3:12" s="84" customFormat="1" ht="31.5">
      <c r="C371" s="136">
        <v>350</v>
      </c>
      <c r="D371" s="178" t="s">
        <v>982</v>
      </c>
      <c r="E371" s="2" t="s">
        <v>962</v>
      </c>
      <c r="F371" s="2" t="s">
        <v>716</v>
      </c>
      <c r="G371" s="79" t="s">
        <v>961</v>
      </c>
      <c r="H371" s="1" t="s">
        <v>387</v>
      </c>
      <c r="I371" s="1" t="s">
        <v>606</v>
      </c>
      <c r="J371" s="80">
        <v>484</v>
      </c>
      <c r="K371" s="2" t="s">
        <v>207</v>
      </c>
      <c r="L371" s="83"/>
    </row>
    <row r="372" spans="3:12" s="84" customFormat="1" ht="31.5">
      <c r="C372" s="136">
        <v>351</v>
      </c>
      <c r="D372" s="178" t="s">
        <v>981</v>
      </c>
      <c r="E372" s="2" t="s">
        <v>962</v>
      </c>
      <c r="F372" s="2" t="s">
        <v>716</v>
      </c>
      <c r="G372" s="79" t="s">
        <v>961</v>
      </c>
      <c r="H372" s="1" t="s">
        <v>387</v>
      </c>
      <c r="I372" s="1" t="s">
        <v>606</v>
      </c>
      <c r="J372" s="80">
        <v>372.1</v>
      </c>
      <c r="K372" s="2" t="s">
        <v>207</v>
      </c>
      <c r="L372" s="83"/>
    </row>
    <row r="373" spans="3:12" s="84" customFormat="1" ht="31.5">
      <c r="C373" s="136">
        <v>352</v>
      </c>
      <c r="D373" s="178" t="s">
        <v>980</v>
      </c>
      <c r="E373" s="2" t="s">
        <v>962</v>
      </c>
      <c r="F373" s="2" t="s">
        <v>716</v>
      </c>
      <c r="G373" s="79" t="s">
        <v>961</v>
      </c>
      <c r="H373" s="1" t="s">
        <v>387</v>
      </c>
      <c r="I373" s="1" t="s">
        <v>606</v>
      </c>
      <c r="J373" s="80">
        <v>800</v>
      </c>
      <c r="K373" s="2" t="s">
        <v>979</v>
      </c>
      <c r="L373" s="83"/>
    </row>
    <row r="374" spans="3:12" s="84" customFormat="1" ht="31.5">
      <c r="C374" s="136">
        <v>353</v>
      </c>
      <c r="D374" s="178" t="s">
        <v>978</v>
      </c>
      <c r="E374" s="2" t="s">
        <v>962</v>
      </c>
      <c r="F374" s="2" t="s">
        <v>716</v>
      </c>
      <c r="G374" s="79" t="s">
        <v>961</v>
      </c>
      <c r="H374" s="1" t="s">
        <v>387</v>
      </c>
      <c r="I374" s="1" t="s">
        <v>606</v>
      </c>
      <c r="J374" s="80">
        <v>355</v>
      </c>
      <c r="K374" s="2" t="s">
        <v>964</v>
      </c>
      <c r="L374" s="83"/>
    </row>
    <row r="375" spans="3:12" s="84" customFormat="1" ht="31.5">
      <c r="C375" s="136">
        <v>354</v>
      </c>
      <c r="D375" s="178" t="s">
        <v>607</v>
      </c>
      <c r="E375" s="2" t="s">
        <v>962</v>
      </c>
      <c r="F375" s="2" t="s">
        <v>716</v>
      </c>
      <c r="G375" s="79" t="s">
        <v>961</v>
      </c>
      <c r="H375" s="1" t="s">
        <v>387</v>
      </c>
      <c r="I375" s="1" t="s">
        <v>606</v>
      </c>
      <c r="J375" s="80">
        <v>595</v>
      </c>
      <c r="K375" s="2" t="s">
        <v>223</v>
      </c>
      <c r="L375" s="83"/>
    </row>
    <row r="376" spans="3:12" s="84" customFormat="1" ht="31.5">
      <c r="C376" s="136">
        <v>355</v>
      </c>
      <c r="D376" s="178" t="s">
        <v>619</v>
      </c>
      <c r="E376" s="2" t="s">
        <v>962</v>
      </c>
      <c r="F376" s="2" t="s">
        <v>716</v>
      </c>
      <c r="G376" s="79" t="s">
        <v>961</v>
      </c>
      <c r="H376" s="1" t="s">
        <v>387</v>
      </c>
      <c r="I376" s="1" t="s">
        <v>606</v>
      </c>
      <c r="J376" s="80">
        <v>173</v>
      </c>
      <c r="K376" s="2" t="s">
        <v>189</v>
      </c>
      <c r="L376" s="83"/>
    </row>
    <row r="377" spans="3:12" s="84" customFormat="1" ht="31.5">
      <c r="C377" s="136">
        <v>356</v>
      </c>
      <c r="D377" s="178" t="s">
        <v>977</v>
      </c>
      <c r="E377" s="2" t="s">
        <v>962</v>
      </c>
      <c r="F377" s="2" t="s">
        <v>716</v>
      </c>
      <c r="G377" s="79" t="s">
        <v>961</v>
      </c>
      <c r="H377" s="1" t="s">
        <v>3575</v>
      </c>
      <c r="I377" s="1" t="s">
        <v>606</v>
      </c>
      <c r="J377" s="80">
        <v>606.79999999999995</v>
      </c>
      <c r="K377" s="2" t="s">
        <v>219</v>
      </c>
      <c r="L377" s="83"/>
    </row>
    <row r="378" spans="3:12" s="84" customFormat="1" ht="31.5">
      <c r="C378" s="136">
        <v>357</v>
      </c>
      <c r="D378" s="178" t="s">
        <v>598</v>
      </c>
      <c r="E378" s="2" t="s">
        <v>962</v>
      </c>
      <c r="F378" s="2" t="s">
        <v>716</v>
      </c>
      <c r="G378" s="79" t="s">
        <v>961</v>
      </c>
      <c r="H378" s="1" t="s">
        <v>976</v>
      </c>
      <c r="I378" s="1" t="s">
        <v>597</v>
      </c>
      <c r="J378" s="80">
        <v>377</v>
      </c>
      <c r="K378" s="2" t="s">
        <v>975</v>
      </c>
      <c r="L378" s="83"/>
    </row>
    <row r="379" spans="3:12" s="84" customFormat="1" ht="31.5">
      <c r="C379" s="136">
        <v>358</v>
      </c>
      <c r="D379" s="178" t="s">
        <v>974</v>
      </c>
      <c r="E379" s="2" t="s">
        <v>962</v>
      </c>
      <c r="F379" s="2" t="s">
        <v>716</v>
      </c>
      <c r="G379" s="79" t="s">
        <v>961</v>
      </c>
      <c r="H379" s="1" t="s">
        <v>597</v>
      </c>
      <c r="I379" s="1" t="s">
        <v>407</v>
      </c>
      <c r="J379" s="80">
        <v>272.3</v>
      </c>
      <c r="K379" s="2" t="s">
        <v>189</v>
      </c>
      <c r="L379" s="83"/>
    </row>
    <row r="380" spans="3:12" s="84" customFormat="1" ht="31.5">
      <c r="C380" s="136">
        <v>359</v>
      </c>
      <c r="D380" s="178" t="s">
        <v>967</v>
      </c>
      <c r="E380" s="2" t="s">
        <v>962</v>
      </c>
      <c r="F380" s="2" t="s">
        <v>716</v>
      </c>
      <c r="G380" s="79" t="s">
        <v>961</v>
      </c>
      <c r="H380" s="1" t="s">
        <v>965</v>
      </c>
      <c r="I380" s="1" t="s">
        <v>597</v>
      </c>
      <c r="J380" s="80">
        <v>1749.8</v>
      </c>
      <c r="K380" s="2" t="s">
        <v>964</v>
      </c>
      <c r="L380" s="83"/>
    </row>
    <row r="381" spans="3:12" s="84" customFormat="1" ht="31.5">
      <c r="C381" s="136">
        <v>360</v>
      </c>
      <c r="D381" s="178" t="s">
        <v>973</v>
      </c>
      <c r="E381" s="2" t="s">
        <v>962</v>
      </c>
      <c r="F381" s="2" t="s">
        <v>716</v>
      </c>
      <c r="G381" s="79" t="s">
        <v>961</v>
      </c>
      <c r="H381" s="1" t="s">
        <v>959</v>
      </c>
      <c r="I381" s="1" t="s">
        <v>597</v>
      </c>
      <c r="J381" s="80">
        <v>2270</v>
      </c>
      <c r="K381" s="2" t="s">
        <v>204</v>
      </c>
      <c r="L381" s="83"/>
    </row>
    <row r="382" spans="3:12" s="84" customFormat="1" ht="31.5">
      <c r="C382" s="136">
        <v>361</v>
      </c>
      <c r="D382" s="178" t="s">
        <v>597</v>
      </c>
      <c r="E382" s="2" t="s">
        <v>962</v>
      </c>
      <c r="F382" s="2" t="s">
        <v>716</v>
      </c>
      <c r="G382" s="79" t="s">
        <v>961</v>
      </c>
      <c r="H382" s="1" t="s">
        <v>972</v>
      </c>
      <c r="I382" s="1" t="s">
        <v>606</v>
      </c>
      <c r="J382" s="80">
        <v>10549</v>
      </c>
      <c r="K382" s="2" t="s">
        <v>151</v>
      </c>
      <c r="L382" s="83"/>
    </row>
    <row r="383" spans="3:12" s="84" customFormat="1" ht="31.5">
      <c r="C383" s="136">
        <v>362</v>
      </c>
      <c r="D383" s="178" t="s">
        <v>971</v>
      </c>
      <c r="E383" s="2" t="s">
        <v>962</v>
      </c>
      <c r="F383" s="2" t="s">
        <v>716</v>
      </c>
      <c r="G383" s="79" t="s">
        <v>961</v>
      </c>
      <c r="H383" s="1" t="s">
        <v>970</v>
      </c>
      <c r="I383" s="1" t="s">
        <v>959</v>
      </c>
      <c r="J383" s="80">
        <v>1364</v>
      </c>
      <c r="K383" s="2" t="s">
        <v>204</v>
      </c>
      <c r="L383" s="83"/>
    </row>
    <row r="384" spans="3:12" s="84" customFormat="1" ht="31.5">
      <c r="C384" s="136">
        <v>363</v>
      </c>
      <c r="D384" s="178" t="s">
        <v>967</v>
      </c>
      <c r="E384" s="2" t="s">
        <v>962</v>
      </c>
      <c r="F384" s="2" t="s">
        <v>716</v>
      </c>
      <c r="G384" s="79" t="s">
        <v>961</v>
      </c>
      <c r="H384" s="1" t="s">
        <v>966</v>
      </c>
      <c r="I384" s="1" t="s">
        <v>965</v>
      </c>
      <c r="J384" s="80">
        <v>2086</v>
      </c>
      <c r="K384" s="2" t="s">
        <v>964</v>
      </c>
      <c r="L384" s="83"/>
    </row>
    <row r="385" spans="3:12" s="84" customFormat="1" ht="31.5">
      <c r="C385" s="136">
        <v>364</v>
      </c>
      <c r="D385" s="178" t="s">
        <v>963</v>
      </c>
      <c r="E385" s="2" t="s">
        <v>962</v>
      </c>
      <c r="F385" s="2" t="s">
        <v>716</v>
      </c>
      <c r="G385" s="79" t="s">
        <v>961</v>
      </c>
      <c r="H385" s="1" t="s">
        <v>960</v>
      </c>
      <c r="I385" s="1" t="s">
        <v>959</v>
      </c>
      <c r="J385" s="80">
        <v>1155</v>
      </c>
      <c r="K385" s="2" t="s">
        <v>204</v>
      </c>
      <c r="L385" s="83"/>
    </row>
    <row r="386" spans="3:12" s="84" customFormat="1" ht="31.5">
      <c r="C386" s="136">
        <v>365</v>
      </c>
      <c r="D386" s="178" t="s">
        <v>969</v>
      </c>
      <c r="E386" s="2" t="s">
        <v>1099</v>
      </c>
      <c r="F386" s="2" t="s">
        <v>716</v>
      </c>
      <c r="G386" s="79" t="s">
        <v>961</v>
      </c>
      <c r="H386" s="1" t="s">
        <v>3373</v>
      </c>
      <c r="I386" s="84" t="s">
        <v>1100</v>
      </c>
      <c r="J386" s="80">
        <v>5500</v>
      </c>
      <c r="K386" s="2" t="s">
        <v>968</v>
      </c>
      <c r="L386" s="83"/>
    </row>
    <row r="387" spans="3:12" s="69" customFormat="1" ht="31.5">
      <c r="C387" s="136">
        <v>366</v>
      </c>
      <c r="D387" s="178" t="s">
        <v>1102</v>
      </c>
      <c r="E387" s="86" t="s">
        <v>1103</v>
      </c>
      <c r="F387" s="2" t="s">
        <v>716</v>
      </c>
      <c r="G387" s="79" t="s">
        <v>961</v>
      </c>
      <c r="H387" s="87" t="s">
        <v>1101</v>
      </c>
      <c r="I387" s="87" t="s">
        <v>407</v>
      </c>
      <c r="J387" s="80">
        <v>11410</v>
      </c>
      <c r="K387" s="2"/>
      <c r="L387" s="83"/>
    </row>
    <row r="388" spans="3:12" s="84" customFormat="1" ht="31.5">
      <c r="C388" s="136">
        <v>367</v>
      </c>
      <c r="D388" s="178" t="s">
        <v>3791</v>
      </c>
      <c r="E388" s="2" t="s">
        <v>632</v>
      </c>
      <c r="F388" s="2" t="s">
        <v>716</v>
      </c>
      <c r="G388" s="79" t="s">
        <v>921</v>
      </c>
      <c r="H388" s="1" t="s">
        <v>252</v>
      </c>
      <c r="I388" s="1" t="s">
        <v>407</v>
      </c>
      <c r="J388" s="80">
        <v>300</v>
      </c>
      <c r="K388" s="2"/>
      <c r="L388" s="83"/>
    </row>
    <row r="389" spans="3:12" s="84" customFormat="1" ht="31.5">
      <c r="C389" s="136">
        <v>368</v>
      </c>
      <c r="D389" s="178" t="s">
        <v>3792</v>
      </c>
      <c r="E389" s="2" t="s">
        <v>632</v>
      </c>
      <c r="F389" s="2" t="s">
        <v>716</v>
      </c>
      <c r="G389" s="79" t="s">
        <v>921</v>
      </c>
      <c r="H389" s="1" t="s">
        <v>252</v>
      </c>
      <c r="I389" s="1" t="s">
        <v>407</v>
      </c>
      <c r="J389" s="80">
        <v>300</v>
      </c>
      <c r="K389" s="2"/>
      <c r="L389" s="83"/>
    </row>
    <row r="390" spans="3:12" s="84" customFormat="1" ht="31.5">
      <c r="C390" s="136">
        <v>369</v>
      </c>
      <c r="D390" s="178" t="s">
        <v>250</v>
      </c>
      <c r="E390" s="2" t="s">
        <v>632</v>
      </c>
      <c r="F390" s="2" t="s">
        <v>716</v>
      </c>
      <c r="G390" s="79" t="s">
        <v>921</v>
      </c>
      <c r="H390" s="1" t="s">
        <v>3577</v>
      </c>
      <c r="I390" s="1" t="s">
        <v>3537</v>
      </c>
      <c r="J390" s="80">
        <v>2850</v>
      </c>
      <c r="K390" s="2"/>
      <c r="L390" s="83"/>
    </row>
    <row r="391" spans="3:12" s="84" customFormat="1" ht="31.5">
      <c r="C391" s="136">
        <v>370</v>
      </c>
      <c r="D391" s="178" t="s">
        <v>250</v>
      </c>
      <c r="E391" s="2" t="s">
        <v>632</v>
      </c>
      <c r="F391" s="2" t="s">
        <v>716</v>
      </c>
      <c r="G391" s="79" t="s">
        <v>921</v>
      </c>
      <c r="H391" s="1" t="s">
        <v>3576</v>
      </c>
      <c r="I391" s="1" t="s">
        <v>251</v>
      </c>
      <c r="J391" s="80">
        <v>4950</v>
      </c>
      <c r="K391" s="2"/>
      <c r="L391" s="83"/>
    </row>
    <row r="392" spans="3:12" s="84" customFormat="1" ht="31.5">
      <c r="C392" s="136">
        <v>371</v>
      </c>
      <c r="D392" s="178" t="s">
        <v>3702</v>
      </c>
      <c r="E392" s="2" t="s">
        <v>632</v>
      </c>
      <c r="F392" s="2" t="s">
        <v>716</v>
      </c>
      <c r="G392" s="79" t="s">
        <v>921</v>
      </c>
      <c r="H392" s="1" t="s">
        <v>3600</v>
      </c>
      <c r="I392" s="1" t="s">
        <v>3605</v>
      </c>
      <c r="J392" s="80">
        <v>3500</v>
      </c>
      <c r="K392" s="2" t="s">
        <v>183</v>
      </c>
      <c r="L392" s="83"/>
    </row>
    <row r="393" spans="3:12" s="84" customFormat="1" ht="31.5">
      <c r="C393" s="136">
        <v>372</v>
      </c>
      <c r="D393" s="178" t="s">
        <v>3703</v>
      </c>
      <c r="E393" s="2" t="s">
        <v>632</v>
      </c>
      <c r="F393" s="2" t="s">
        <v>716</v>
      </c>
      <c r="G393" s="79" t="s">
        <v>921</v>
      </c>
      <c r="H393" s="1" t="s">
        <v>3601</v>
      </c>
      <c r="I393" s="1" t="s">
        <v>3595</v>
      </c>
      <c r="J393" s="80">
        <v>1600</v>
      </c>
      <c r="K393" s="2" t="s">
        <v>183</v>
      </c>
      <c r="L393" s="83"/>
    </row>
    <row r="394" spans="3:12" s="84" customFormat="1" ht="31.5">
      <c r="C394" s="136">
        <v>373</v>
      </c>
      <c r="D394" s="178" t="s">
        <v>3704</v>
      </c>
      <c r="E394" s="2" t="s">
        <v>632</v>
      </c>
      <c r="F394" s="2" t="s">
        <v>716</v>
      </c>
      <c r="G394" s="79" t="s">
        <v>921</v>
      </c>
      <c r="H394" s="1" t="s">
        <v>287</v>
      </c>
      <c r="I394" s="1" t="s">
        <v>3414</v>
      </c>
      <c r="J394" s="80">
        <v>3400</v>
      </c>
      <c r="K394" s="2" t="s">
        <v>625</v>
      </c>
      <c r="L394" s="83"/>
    </row>
    <row r="395" spans="3:12" s="84" customFormat="1" ht="31.5">
      <c r="C395" s="136">
        <v>374</v>
      </c>
      <c r="D395" s="178" t="s">
        <v>3414</v>
      </c>
      <c r="E395" s="2" t="s">
        <v>632</v>
      </c>
      <c r="F395" s="2" t="s">
        <v>716</v>
      </c>
      <c r="G395" s="79" t="s">
        <v>921</v>
      </c>
      <c r="H395" s="1" t="s">
        <v>960</v>
      </c>
      <c r="I395" s="1" t="s">
        <v>1115</v>
      </c>
      <c r="J395" s="80">
        <v>6700</v>
      </c>
      <c r="K395" s="2" t="s">
        <v>593</v>
      </c>
      <c r="L395" s="83"/>
    </row>
    <row r="396" spans="3:12" s="84" customFormat="1" ht="31.5">
      <c r="C396" s="136">
        <v>375</v>
      </c>
      <c r="D396" s="178" t="s">
        <v>3705</v>
      </c>
      <c r="E396" s="2" t="s">
        <v>632</v>
      </c>
      <c r="F396" s="2" t="s">
        <v>716</v>
      </c>
      <c r="G396" s="79" t="s">
        <v>921</v>
      </c>
      <c r="H396" s="1" t="s">
        <v>3602</v>
      </c>
      <c r="I396" s="1" t="s">
        <v>626</v>
      </c>
      <c r="J396" s="80">
        <v>2500</v>
      </c>
      <c r="K396" s="2" t="s">
        <v>627</v>
      </c>
      <c r="L396" s="83"/>
    </row>
    <row r="397" spans="3:12" s="84" customFormat="1" ht="31.5">
      <c r="C397" s="136">
        <v>376</v>
      </c>
      <c r="D397" s="178" t="s">
        <v>3604</v>
      </c>
      <c r="E397" s="2" t="s">
        <v>632</v>
      </c>
      <c r="F397" s="2" t="s">
        <v>716</v>
      </c>
      <c r="G397" s="79" t="s">
        <v>921</v>
      </c>
      <c r="H397" s="1" t="s">
        <v>3603</v>
      </c>
      <c r="I397" s="1" t="s">
        <v>1115</v>
      </c>
      <c r="J397" s="80">
        <v>600</v>
      </c>
      <c r="K397" s="2" t="s">
        <v>628</v>
      </c>
      <c r="L397" s="83"/>
    </row>
    <row r="398" spans="3:12" s="84" customFormat="1" ht="31.5">
      <c r="C398" s="136">
        <v>377</v>
      </c>
      <c r="D398" s="178" t="s">
        <v>3706</v>
      </c>
      <c r="E398" s="2" t="s">
        <v>632</v>
      </c>
      <c r="F398" s="2" t="s">
        <v>716</v>
      </c>
      <c r="G398" s="79" t="s">
        <v>921</v>
      </c>
      <c r="H398" s="1" t="s">
        <v>287</v>
      </c>
      <c r="I398" s="1" t="s">
        <v>3415</v>
      </c>
      <c r="J398" s="80">
        <v>1500</v>
      </c>
      <c r="K398" s="2" t="s">
        <v>186</v>
      </c>
      <c r="L398" s="83"/>
    </row>
    <row r="399" spans="3:12" s="84" customFormat="1" ht="31.5">
      <c r="C399" s="136">
        <v>378</v>
      </c>
      <c r="D399" s="178" t="s">
        <v>3707</v>
      </c>
      <c r="E399" s="2" t="s">
        <v>632</v>
      </c>
      <c r="F399" s="2" t="s">
        <v>716</v>
      </c>
      <c r="G399" s="79" t="s">
        <v>921</v>
      </c>
      <c r="H399" s="1" t="s">
        <v>629</v>
      </c>
      <c r="I399" s="1" t="s">
        <v>1115</v>
      </c>
      <c r="J399" s="80">
        <v>1200</v>
      </c>
      <c r="K399" s="2" t="s">
        <v>628</v>
      </c>
      <c r="L399" s="83"/>
    </row>
    <row r="400" spans="3:12" s="84" customFormat="1" ht="31.5">
      <c r="C400" s="136">
        <v>379</v>
      </c>
      <c r="D400" s="178" t="s">
        <v>3708</v>
      </c>
      <c r="E400" s="2" t="s">
        <v>632</v>
      </c>
      <c r="F400" s="2" t="s">
        <v>716</v>
      </c>
      <c r="G400" s="79" t="s">
        <v>921</v>
      </c>
      <c r="H400" s="1" t="s">
        <v>630</v>
      </c>
      <c r="I400" s="1" t="s">
        <v>1115</v>
      </c>
      <c r="J400" s="80">
        <v>2500</v>
      </c>
      <c r="K400" s="2" t="s">
        <v>592</v>
      </c>
      <c r="L400" s="83"/>
    </row>
    <row r="401" spans="3:12" s="84" customFormat="1" ht="31.5">
      <c r="C401" s="136">
        <v>380</v>
      </c>
      <c r="D401" s="178" t="s">
        <v>631</v>
      </c>
      <c r="E401" s="2" t="s">
        <v>632</v>
      </c>
      <c r="F401" s="2" t="s">
        <v>716</v>
      </c>
      <c r="G401" s="79" t="s">
        <v>921</v>
      </c>
      <c r="H401" s="1" t="s">
        <v>633</v>
      </c>
      <c r="I401" s="1" t="s">
        <v>634</v>
      </c>
      <c r="J401" s="80">
        <v>600</v>
      </c>
      <c r="K401" s="2" t="s">
        <v>155</v>
      </c>
      <c r="L401" s="83"/>
    </row>
    <row r="402" spans="3:12" s="84" customFormat="1" ht="31.5">
      <c r="C402" s="136">
        <v>381</v>
      </c>
      <c r="D402" s="178" t="s">
        <v>3245</v>
      </c>
      <c r="E402" s="2" t="s">
        <v>632</v>
      </c>
      <c r="F402" s="2" t="s">
        <v>716</v>
      </c>
      <c r="G402" s="79" t="s">
        <v>921</v>
      </c>
      <c r="H402" s="1" t="s">
        <v>589</v>
      </c>
      <c r="I402" s="1" t="s">
        <v>407</v>
      </c>
      <c r="J402" s="80">
        <v>1800</v>
      </c>
      <c r="K402" s="2" t="s">
        <v>156</v>
      </c>
      <c r="L402" s="83"/>
    </row>
    <row r="403" spans="3:12" s="84" customFormat="1" ht="31.5">
      <c r="C403" s="136">
        <v>382</v>
      </c>
      <c r="D403" s="178" t="s">
        <v>3246</v>
      </c>
      <c r="E403" s="2" t="s">
        <v>632</v>
      </c>
      <c r="F403" s="2" t="s">
        <v>716</v>
      </c>
      <c r="G403" s="79" t="s">
        <v>921</v>
      </c>
      <c r="H403" s="1" t="s">
        <v>589</v>
      </c>
      <c r="I403" s="1" t="s">
        <v>407</v>
      </c>
      <c r="J403" s="80">
        <v>1500</v>
      </c>
      <c r="K403" s="2" t="s">
        <v>153</v>
      </c>
      <c r="L403" s="83"/>
    </row>
    <row r="404" spans="3:12" s="84" customFormat="1" ht="31.5">
      <c r="C404" s="136">
        <v>383</v>
      </c>
      <c r="D404" s="178" t="s">
        <v>3247</v>
      </c>
      <c r="E404" s="2" t="s">
        <v>632</v>
      </c>
      <c r="F404" s="2" t="s">
        <v>716</v>
      </c>
      <c r="G404" s="79" t="s">
        <v>921</v>
      </c>
      <c r="H404" s="1" t="s">
        <v>589</v>
      </c>
      <c r="I404" s="1" t="s">
        <v>407</v>
      </c>
      <c r="J404" s="80">
        <v>1500</v>
      </c>
      <c r="K404" s="2" t="s">
        <v>153</v>
      </c>
      <c r="L404" s="83"/>
    </row>
    <row r="405" spans="3:12" s="84" customFormat="1" ht="31.5">
      <c r="C405" s="136">
        <v>384</v>
      </c>
      <c r="D405" s="178" t="s">
        <v>3248</v>
      </c>
      <c r="E405" s="2" t="s">
        <v>632</v>
      </c>
      <c r="F405" s="2" t="s">
        <v>716</v>
      </c>
      <c r="G405" s="79" t="s">
        <v>921</v>
      </c>
      <c r="H405" s="1" t="s">
        <v>2624</v>
      </c>
      <c r="I405" s="1" t="s">
        <v>407</v>
      </c>
      <c r="J405" s="80">
        <v>1200</v>
      </c>
      <c r="K405" s="2" t="s">
        <v>150</v>
      </c>
      <c r="L405" s="83"/>
    </row>
    <row r="406" spans="3:12" s="84" customFormat="1" ht="31.5">
      <c r="C406" s="136">
        <v>385</v>
      </c>
      <c r="D406" s="178" t="s">
        <v>3249</v>
      </c>
      <c r="E406" s="2" t="s">
        <v>632</v>
      </c>
      <c r="F406" s="2" t="s">
        <v>716</v>
      </c>
      <c r="G406" s="79" t="s">
        <v>921</v>
      </c>
      <c r="H406" s="1" t="s">
        <v>2624</v>
      </c>
      <c r="I406" s="1" t="s">
        <v>407</v>
      </c>
      <c r="J406" s="80">
        <v>1500</v>
      </c>
      <c r="K406" s="2" t="s">
        <v>150</v>
      </c>
      <c r="L406" s="83"/>
    </row>
    <row r="407" spans="3:12" s="84" customFormat="1" ht="31.5">
      <c r="C407" s="136">
        <v>386</v>
      </c>
      <c r="D407" s="178" t="s">
        <v>3250</v>
      </c>
      <c r="E407" s="2" t="s">
        <v>632</v>
      </c>
      <c r="F407" s="2" t="s">
        <v>716</v>
      </c>
      <c r="G407" s="79" t="s">
        <v>921</v>
      </c>
      <c r="H407" s="1" t="s">
        <v>2624</v>
      </c>
      <c r="I407" s="1" t="s">
        <v>407</v>
      </c>
      <c r="J407" s="80">
        <v>1500</v>
      </c>
      <c r="K407" s="2" t="s">
        <v>150</v>
      </c>
      <c r="L407" s="83"/>
    </row>
    <row r="408" spans="3:12" s="84" customFormat="1" ht="31.5">
      <c r="C408" s="136">
        <v>387</v>
      </c>
      <c r="D408" s="178" t="s">
        <v>3251</v>
      </c>
      <c r="E408" s="2" t="s">
        <v>632</v>
      </c>
      <c r="F408" s="2" t="s">
        <v>716</v>
      </c>
      <c r="G408" s="79" t="s">
        <v>921</v>
      </c>
      <c r="H408" s="1" t="s">
        <v>2420</v>
      </c>
      <c r="I408" s="1" t="s">
        <v>407</v>
      </c>
      <c r="J408" s="80">
        <v>1300</v>
      </c>
      <c r="K408" s="2" t="s">
        <v>154</v>
      </c>
      <c r="L408" s="83"/>
    </row>
    <row r="409" spans="3:12" s="84" customFormat="1" ht="31.5">
      <c r="C409" s="136">
        <v>388</v>
      </c>
      <c r="D409" s="178" t="s">
        <v>3252</v>
      </c>
      <c r="E409" s="2" t="s">
        <v>632</v>
      </c>
      <c r="F409" s="2" t="s">
        <v>716</v>
      </c>
      <c r="G409" s="79" t="s">
        <v>921</v>
      </c>
      <c r="H409" s="1" t="s">
        <v>2420</v>
      </c>
      <c r="I409" s="1" t="s">
        <v>407</v>
      </c>
      <c r="J409" s="80">
        <v>500</v>
      </c>
      <c r="K409" s="2" t="s">
        <v>153</v>
      </c>
      <c r="L409" s="83"/>
    </row>
    <row r="410" spans="3:12" s="84" customFormat="1" ht="31.5">
      <c r="C410" s="136">
        <v>389</v>
      </c>
      <c r="D410" s="178" t="s">
        <v>3253</v>
      </c>
      <c r="E410" s="2" t="s">
        <v>632</v>
      </c>
      <c r="F410" s="2" t="s">
        <v>716</v>
      </c>
      <c r="G410" s="79" t="s">
        <v>921</v>
      </c>
      <c r="H410" s="1" t="s">
        <v>2420</v>
      </c>
      <c r="I410" s="1" t="s">
        <v>407</v>
      </c>
      <c r="J410" s="80">
        <v>300</v>
      </c>
      <c r="K410" s="2" t="s">
        <v>154</v>
      </c>
      <c r="L410" s="83"/>
    </row>
    <row r="411" spans="3:12" s="84" customFormat="1" ht="31.5">
      <c r="C411" s="136">
        <v>390</v>
      </c>
      <c r="D411" s="178" t="s">
        <v>3254</v>
      </c>
      <c r="E411" s="2" t="s">
        <v>632</v>
      </c>
      <c r="F411" s="2" t="s">
        <v>716</v>
      </c>
      <c r="G411" s="79" t="s">
        <v>921</v>
      </c>
      <c r="H411" s="1" t="s">
        <v>2420</v>
      </c>
      <c r="I411" s="1" t="s">
        <v>3245</v>
      </c>
      <c r="J411" s="80">
        <v>1000</v>
      </c>
      <c r="K411" s="2" t="s">
        <v>153</v>
      </c>
      <c r="L411" s="83"/>
    </row>
    <row r="412" spans="3:12" s="84" customFormat="1" ht="31.5">
      <c r="C412" s="136">
        <v>391</v>
      </c>
      <c r="D412" s="178" t="s">
        <v>3255</v>
      </c>
      <c r="E412" s="2" t="s">
        <v>632</v>
      </c>
      <c r="F412" s="2" t="s">
        <v>716</v>
      </c>
      <c r="G412" s="79" t="s">
        <v>921</v>
      </c>
      <c r="H412" s="1" t="s">
        <v>2420</v>
      </c>
      <c r="I412" s="1" t="s">
        <v>3245</v>
      </c>
      <c r="J412" s="80">
        <v>800</v>
      </c>
      <c r="K412" s="2" t="s">
        <v>153</v>
      </c>
      <c r="L412" s="83"/>
    </row>
    <row r="413" spans="3:12" s="84" customFormat="1" ht="31.5">
      <c r="C413" s="136">
        <v>392</v>
      </c>
      <c r="D413" s="178" t="s">
        <v>3256</v>
      </c>
      <c r="E413" s="2" t="s">
        <v>632</v>
      </c>
      <c r="F413" s="2" t="s">
        <v>716</v>
      </c>
      <c r="G413" s="79" t="s">
        <v>921</v>
      </c>
      <c r="H413" s="1" t="s">
        <v>2420</v>
      </c>
      <c r="I413" s="1" t="s">
        <v>3245</v>
      </c>
      <c r="J413" s="80">
        <v>700</v>
      </c>
      <c r="K413" s="2" t="s">
        <v>153</v>
      </c>
      <c r="L413" s="83"/>
    </row>
    <row r="414" spans="3:12" s="84" customFormat="1" ht="31.5">
      <c r="C414" s="136">
        <v>393</v>
      </c>
      <c r="D414" s="178" t="s">
        <v>3257</v>
      </c>
      <c r="E414" s="2" t="s">
        <v>632</v>
      </c>
      <c r="F414" s="2" t="s">
        <v>716</v>
      </c>
      <c r="G414" s="79" t="s">
        <v>921</v>
      </c>
      <c r="H414" s="1" t="s">
        <v>2449</v>
      </c>
      <c r="I414" s="1" t="s">
        <v>407</v>
      </c>
      <c r="J414" s="80">
        <v>300</v>
      </c>
      <c r="K414" s="2" t="s">
        <v>156</v>
      </c>
      <c r="L414" s="83"/>
    </row>
    <row r="415" spans="3:12" s="84" customFormat="1" ht="31.5">
      <c r="C415" s="136">
        <v>394</v>
      </c>
      <c r="D415" s="178" t="s">
        <v>3258</v>
      </c>
      <c r="E415" s="2" t="s">
        <v>632</v>
      </c>
      <c r="F415" s="2" t="s">
        <v>716</v>
      </c>
      <c r="G415" s="79" t="s">
        <v>921</v>
      </c>
      <c r="H415" s="1" t="s">
        <v>2449</v>
      </c>
      <c r="I415" s="1" t="s">
        <v>407</v>
      </c>
      <c r="J415" s="80">
        <v>400</v>
      </c>
      <c r="K415" s="2" t="s">
        <v>156</v>
      </c>
      <c r="L415" s="83"/>
    </row>
    <row r="416" spans="3:12" s="84" customFormat="1" ht="31.5">
      <c r="C416" s="136">
        <v>395</v>
      </c>
      <c r="D416" s="178" t="s">
        <v>3259</v>
      </c>
      <c r="E416" s="2" t="s">
        <v>632</v>
      </c>
      <c r="F416" s="2" t="s">
        <v>716</v>
      </c>
      <c r="G416" s="79" t="s">
        <v>921</v>
      </c>
      <c r="H416" s="1" t="s">
        <v>2449</v>
      </c>
      <c r="I416" s="1" t="s">
        <v>407</v>
      </c>
      <c r="J416" s="80">
        <v>500</v>
      </c>
      <c r="K416" s="2" t="s">
        <v>156</v>
      </c>
      <c r="L416" s="83"/>
    </row>
    <row r="417" spans="1:12" s="84" customFormat="1" ht="31.5">
      <c r="C417" s="136">
        <v>396</v>
      </c>
      <c r="D417" s="178" t="s">
        <v>635</v>
      </c>
      <c r="E417" s="2" t="s">
        <v>1106</v>
      </c>
      <c r="F417" s="2" t="s">
        <v>716</v>
      </c>
      <c r="G417" s="79" t="s">
        <v>921</v>
      </c>
      <c r="H417" s="1" t="s">
        <v>636</v>
      </c>
      <c r="I417" s="1" t="s">
        <v>544</v>
      </c>
      <c r="J417" s="80">
        <v>5300</v>
      </c>
      <c r="K417" s="2" t="s">
        <v>176</v>
      </c>
      <c r="L417" s="83"/>
    </row>
    <row r="418" spans="1:12" s="84" customFormat="1" ht="31.5">
      <c r="C418" s="136">
        <v>397</v>
      </c>
      <c r="D418" s="178" t="s">
        <v>637</v>
      </c>
      <c r="E418" s="2" t="s">
        <v>1106</v>
      </c>
      <c r="F418" s="2" t="s">
        <v>716</v>
      </c>
      <c r="G418" s="79" t="s">
        <v>921</v>
      </c>
      <c r="H418" s="1" t="s">
        <v>387</v>
      </c>
      <c r="I418" s="1" t="s">
        <v>638</v>
      </c>
      <c r="J418" s="80">
        <v>2000</v>
      </c>
      <c r="K418" s="2" t="s">
        <v>639</v>
      </c>
      <c r="L418" s="83"/>
    </row>
    <row r="419" spans="1:12" s="84" customFormat="1" ht="31.5">
      <c r="A419" s="84">
        <v>76</v>
      </c>
      <c r="C419" s="136">
        <v>398</v>
      </c>
      <c r="D419" s="178" t="s">
        <v>1107</v>
      </c>
      <c r="E419" s="2" t="s">
        <v>1106</v>
      </c>
      <c r="F419" s="2" t="s">
        <v>716</v>
      </c>
      <c r="G419" s="79" t="s">
        <v>921</v>
      </c>
      <c r="H419" s="1" t="s">
        <v>1104</v>
      </c>
      <c r="I419" s="1" t="s">
        <v>1105</v>
      </c>
      <c r="J419" s="80">
        <v>1100</v>
      </c>
      <c r="K419" s="2"/>
      <c r="L419" s="83"/>
    </row>
    <row r="420" spans="1:12" s="84" customFormat="1" ht="31.5">
      <c r="C420" s="136">
        <v>399</v>
      </c>
      <c r="D420" s="178" t="s">
        <v>640</v>
      </c>
      <c r="E420" s="2" t="s">
        <v>641</v>
      </c>
      <c r="F420" s="2" t="s">
        <v>716</v>
      </c>
      <c r="G420" s="79" t="s">
        <v>921</v>
      </c>
      <c r="H420" s="1" t="s">
        <v>576</v>
      </c>
      <c r="I420" s="1" t="s">
        <v>642</v>
      </c>
      <c r="J420" s="80">
        <v>800</v>
      </c>
      <c r="K420" s="2" t="s">
        <v>156</v>
      </c>
      <c r="L420" s="83"/>
    </row>
    <row r="421" spans="1:12" s="84" customFormat="1" ht="31.5">
      <c r="C421" s="136">
        <v>400</v>
      </c>
      <c r="D421" s="178" t="s">
        <v>3709</v>
      </c>
      <c r="E421" s="2" t="s">
        <v>641</v>
      </c>
      <c r="F421" s="2" t="s">
        <v>716</v>
      </c>
      <c r="G421" s="79" t="s">
        <v>921</v>
      </c>
      <c r="H421" s="1" t="s">
        <v>3372</v>
      </c>
      <c r="I421" s="1" t="s">
        <v>643</v>
      </c>
      <c r="J421" s="80">
        <v>3000</v>
      </c>
      <c r="K421" s="2" t="s">
        <v>644</v>
      </c>
      <c r="L421" s="83"/>
    </row>
    <row r="422" spans="1:12" s="84" customFormat="1" ht="31.5">
      <c r="C422" s="136">
        <v>401</v>
      </c>
      <c r="D422" s="178" t="s">
        <v>646</v>
      </c>
      <c r="E422" s="2" t="s">
        <v>641</v>
      </c>
      <c r="F422" s="2" t="s">
        <v>716</v>
      </c>
      <c r="G422" s="79" t="s">
        <v>921</v>
      </c>
      <c r="H422" s="1" t="s">
        <v>647</v>
      </c>
      <c r="I422" s="1" t="s">
        <v>648</v>
      </c>
      <c r="J422" s="80">
        <v>2500</v>
      </c>
      <c r="K422" s="2" t="s">
        <v>204</v>
      </c>
      <c r="L422" s="83"/>
    </row>
    <row r="423" spans="1:12" s="84" customFormat="1" ht="31.5">
      <c r="C423" s="136">
        <v>402</v>
      </c>
      <c r="D423" s="178" t="s">
        <v>289</v>
      </c>
      <c r="E423" s="2" t="s">
        <v>641</v>
      </c>
      <c r="F423" s="2" t="s">
        <v>716</v>
      </c>
      <c r="G423" s="79" t="s">
        <v>921</v>
      </c>
      <c r="H423" s="1" t="s">
        <v>288</v>
      </c>
      <c r="I423" s="1" t="s">
        <v>287</v>
      </c>
      <c r="J423" s="80">
        <v>1561</v>
      </c>
      <c r="K423" s="2" t="s">
        <v>186</v>
      </c>
      <c r="L423" s="83"/>
    </row>
    <row r="424" spans="1:12" s="84" customFormat="1" ht="31.5">
      <c r="C424" s="136">
        <v>403</v>
      </c>
      <c r="D424" s="178" t="s">
        <v>286</v>
      </c>
      <c r="E424" s="2" t="s">
        <v>641</v>
      </c>
      <c r="F424" s="2" t="s">
        <v>716</v>
      </c>
      <c r="G424" s="79" t="s">
        <v>921</v>
      </c>
      <c r="H424" s="1" t="s">
        <v>285</v>
      </c>
      <c r="I424" s="1" t="s">
        <v>284</v>
      </c>
      <c r="J424" s="80">
        <v>6770</v>
      </c>
      <c r="K424" s="2" t="s">
        <v>207</v>
      </c>
      <c r="L424" s="83"/>
    </row>
    <row r="425" spans="1:12" s="195" customFormat="1" ht="63">
      <c r="A425" s="195">
        <v>10</v>
      </c>
      <c r="C425" s="196">
        <f>C424+1</f>
        <v>404</v>
      </c>
      <c r="D425" s="197" t="s">
        <v>2755</v>
      </c>
      <c r="E425" s="212" t="s">
        <v>641</v>
      </c>
      <c r="F425" s="212" t="s">
        <v>716</v>
      </c>
      <c r="G425" s="213" t="s">
        <v>921</v>
      </c>
      <c r="H425" s="201" t="s">
        <v>2756</v>
      </c>
      <c r="I425" s="201" t="s">
        <v>3898</v>
      </c>
      <c r="J425" s="80">
        <v>1026</v>
      </c>
      <c r="K425" s="2"/>
      <c r="L425" s="211" t="s">
        <v>3895</v>
      </c>
    </row>
    <row r="426" spans="1:12" s="84" customFormat="1" ht="31.5">
      <c r="C426" s="136">
        <v>404</v>
      </c>
      <c r="D426" s="178" t="s">
        <v>590</v>
      </c>
      <c r="E426" s="2">
        <v>7</v>
      </c>
      <c r="F426" s="2" t="s">
        <v>716</v>
      </c>
      <c r="G426" s="79" t="s">
        <v>921</v>
      </c>
      <c r="H426" s="1" t="s">
        <v>234</v>
      </c>
      <c r="I426" s="1" t="s">
        <v>649</v>
      </c>
      <c r="J426" s="80">
        <v>700</v>
      </c>
      <c r="K426" s="2" t="s">
        <v>205</v>
      </c>
      <c r="L426" s="83"/>
    </row>
    <row r="427" spans="1:12" s="84" customFormat="1" ht="31.5">
      <c r="C427" s="136">
        <v>405</v>
      </c>
      <c r="D427" s="178" t="s">
        <v>650</v>
      </c>
      <c r="E427" s="2">
        <v>7</v>
      </c>
      <c r="F427" s="2" t="s">
        <v>716</v>
      </c>
      <c r="G427" s="79" t="s">
        <v>921</v>
      </c>
      <c r="H427" s="1" t="s">
        <v>3578</v>
      </c>
      <c r="I427" s="1" t="s">
        <v>3596</v>
      </c>
      <c r="J427" s="80">
        <v>400</v>
      </c>
      <c r="K427" s="2" t="s">
        <v>162</v>
      </c>
      <c r="L427" s="83"/>
    </row>
    <row r="428" spans="1:12" s="84" customFormat="1" ht="31.5">
      <c r="C428" s="136">
        <v>406</v>
      </c>
      <c r="D428" s="178" t="s">
        <v>651</v>
      </c>
      <c r="E428" s="2">
        <v>7</v>
      </c>
      <c r="F428" s="2" t="s">
        <v>716</v>
      </c>
      <c r="G428" s="79" t="s">
        <v>921</v>
      </c>
      <c r="H428" s="1" t="s">
        <v>3579</v>
      </c>
      <c r="I428" s="1" t="s">
        <v>649</v>
      </c>
      <c r="J428" s="80">
        <v>910</v>
      </c>
      <c r="K428" s="2" t="s">
        <v>206</v>
      </c>
      <c r="L428" s="83"/>
    </row>
    <row r="429" spans="1:12" s="84" customFormat="1" ht="31.5">
      <c r="C429" s="136">
        <v>407</v>
      </c>
      <c r="D429" s="178" t="s">
        <v>652</v>
      </c>
      <c r="E429" s="2">
        <v>7</v>
      </c>
      <c r="F429" s="2" t="s">
        <v>716</v>
      </c>
      <c r="G429" s="79" t="s">
        <v>921</v>
      </c>
      <c r="H429" s="1" t="s">
        <v>653</v>
      </c>
      <c r="I429" s="1" t="s">
        <v>654</v>
      </c>
      <c r="J429" s="80">
        <v>300</v>
      </c>
      <c r="K429" s="2" t="s">
        <v>207</v>
      </c>
      <c r="L429" s="83"/>
    </row>
    <row r="430" spans="1:12" s="84" customFormat="1" ht="31.5">
      <c r="C430" s="136">
        <v>408</v>
      </c>
      <c r="D430" s="178" t="s">
        <v>655</v>
      </c>
      <c r="E430" s="2">
        <v>7</v>
      </c>
      <c r="F430" s="2" t="s">
        <v>716</v>
      </c>
      <c r="G430" s="79" t="s">
        <v>921</v>
      </c>
      <c r="H430" s="1" t="s">
        <v>654</v>
      </c>
      <c r="I430" s="1" t="s">
        <v>654</v>
      </c>
      <c r="J430" s="80">
        <v>1200</v>
      </c>
      <c r="K430" s="2" t="s">
        <v>155</v>
      </c>
      <c r="L430" s="83"/>
    </row>
    <row r="431" spans="1:12" s="84" customFormat="1" ht="31.5">
      <c r="C431" s="136">
        <v>409</v>
      </c>
      <c r="D431" s="178" t="s">
        <v>656</v>
      </c>
      <c r="E431" s="2">
        <v>7</v>
      </c>
      <c r="F431" s="2" t="s">
        <v>716</v>
      </c>
      <c r="G431" s="79" t="s">
        <v>921</v>
      </c>
      <c r="H431" s="1" t="s">
        <v>654</v>
      </c>
      <c r="I431" s="1" t="s">
        <v>679</v>
      </c>
      <c r="J431" s="80">
        <v>800</v>
      </c>
      <c r="K431" s="2" t="s">
        <v>156</v>
      </c>
      <c r="L431" s="83"/>
    </row>
    <row r="432" spans="1:12" s="84" customFormat="1" ht="47.25">
      <c r="C432" s="136">
        <v>410</v>
      </c>
      <c r="D432" s="178" t="s">
        <v>657</v>
      </c>
      <c r="E432" s="2">
        <v>7</v>
      </c>
      <c r="F432" s="2" t="s">
        <v>716</v>
      </c>
      <c r="G432" s="79" t="s">
        <v>921</v>
      </c>
      <c r="H432" s="1" t="s">
        <v>3580</v>
      </c>
      <c r="I432" s="1" t="s">
        <v>658</v>
      </c>
      <c r="J432" s="80">
        <v>1154</v>
      </c>
      <c r="K432" s="2" t="s">
        <v>208</v>
      </c>
      <c r="L432" s="83"/>
    </row>
    <row r="433" spans="3:12" s="84" customFormat="1" ht="31.5">
      <c r="C433" s="136">
        <v>411</v>
      </c>
      <c r="D433" s="178" t="s">
        <v>659</v>
      </c>
      <c r="E433" s="2">
        <v>7</v>
      </c>
      <c r="F433" s="2" t="s">
        <v>716</v>
      </c>
      <c r="G433" s="79" t="s">
        <v>921</v>
      </c>
      <c r="H433" s="1" t="s">
        <v>660</v>
      </c>
      <c r="I433" s="1" t="s">
        <v>661</v>
      </c>
      <c r="J433" s="80">
        <v>1150</v>
      </c>
      <c r="K433" s="2" t="s">
        <v>662</v>
      </c>
      <c r="L433" s="83"/>
    </row>
    <row r="434" spans="3:12" s="84" customFormat="1" ht="31.5">
      <c r="C434" s="136">
        <v>412</v>
      </c>
      <c r="D434" s="178" t="s">
        <v>663</v>
      </c>
      <c r="E434" s="2">
        <v>7</v>
      </c>
      <c r="F434" s="2" t="s">
        <v>716</v>
      </c>
      <c r="G434" s="79" t="s">
        <v>921</v>
      </c>
      <c r="H434" s="1" t="s">
        <v>664</v>
      </c>
      <c r="I434" s="1" t="s">
        <v>665</v>
      </c>
      <c r="J434" s="80">
        <v>1100</v>
      </c>
      <c r="K434" s="2" t="s">
        <v>666</v>
      </c>
      <c r="L434" s="83"/>
    </row>
    <row r="435" spans="3:12" s="84" customFormat="1" ht="31.5">
      <c r="C435" s="136">
        <v>413</v>
      </c>
      <c r="D435" s="178" t="s">
        <v>667</v>
      </c>
      <c r="E435" s="2">
        <v>7</v>
      </c>
      <c r="F435" s="2" t="s">
        <v>716</v>
      </c>
      <c r="G435" s="79" t="s">
        <v>921</v>
      </c>
      <c r="H435" s="1" t="s">
        <v>668</v>
      </c>
      <c r="I435" s="1" t="s">
        <v>669</v>
      </c>
      <c r="J435" s="80">
        <v>1510</v>
      </c>
      <c r="K435" s="2" t="s">
        <v>670</v>
      </c>
      <c r="L435" s="83"/>
    </row>
    <row r="436" spans="3:12" s="84" customFormat="1" ht="31.5">
      <c r="C436" s="136">
        <v>414</v>
      </c>
      <c r="D436" s="178" t="s">
        <v>671</v>
      </c>
      <c r="E436" s="2">
        <v>7</v>
      </c>
      <c r="F436" s="2" t="s">
        <v>716</v>
      </c>
      <c r="G436" s="79" t="s">
        <v>921</v>
      </c>
      <c r="H436" s="1" t="s">
        <v>672</v>
      </c>
      <c r="I436" s="1" t="s">
        <v>673</v>
      </c>
      <c r="J436" s="80">
        <v>250</v>
      </c>
      <c r="K436" s="2" t="s">
        <v>154</v>
      </c>
      <c r="L436" s="83"/>
    </row>
    <row r="437" spans="3:12" s="84" customFormat="1" ht="31.5">
      <c r="C437" s="136">
        <v>415</v>
      </c>
      <c r="D437" s="178" t="s">
        <v>674</v>
      </c>
      <c r="E437" s="2">
        <v>7</v>
      </c>
      <c r="F437" s="2" t="s">
        <v>716</v>
      </c>
      <c r="G437" s="79" t="s">
        <v>921</v>
      </c>
      <c r="H437" s="1" t="s">
        <v>675</v>
      </c>
      <c r="I437" s="1" t="s">
        <v>676</v>
      </c>
      <c r="J437" s="80">
        <v>653</v>
      </c>
      <c r="K437" s="2" t="s">
        <v>184</v>
      </c>
      <c r="L437" s="83"/>
    </row>
    <row r="438" spans="3:12" s="84" customFormat="1" ht="31.5">
      <c r="C438" s="136">
        <v>416</v>
      </c>
      <c r="D438" s="178" t="s">
        <v>677</v>
      </c>
      <c r="E438" s="2">
        <v>7</v>
      </c>
      <c r="F438" s="2" t="s">
        <v>716</v>
      </c>
      <c r="G438" s="79" t="s">
        <v>921</v>
      </c>
      <c r="H438" s="1" t="s">
        <v>665</v>
      </c>
      <c r="I438" s="1" t="s">
        <v>660</v>
      </c>
      <c r="J438" s="80">
        <v>3000</v>
      </c>
      <c r="K438" s="2" t="s">
        <v>176</v>
      </c>
      <c r="L438" s="83"/>
    </row>
    <row r="439" spans="3:12" s="84" customFormat="1" ht="31.5">
      <c r="C439" s="136">
        <v>417</v>
      </c>
      <c r="D439" s="178" t="s">
        <v>678</v>
      </c>
      <c r="E439" s="2">
        <v>7</v>
      </c>
      <c r="F439" s="2" t="s">
        <v>716</v>
      </c>
      <c r="G439" s="79" t="s">
        <v>921</v>
      </c>
      <c r="H439" s="1" t="s">
        <v>679</v>
      </c>
      <c r="I439" s="1" t="s">
        <v>407</v>
      </c>
      <c r="J439" s="80">
        <v>1200</v>
      </c>
      <c r="K439" s="2" t="s">
        <v>176</v>
      </c>
      <c r="L439" s="83"/>
    </row>
    <row r="440" spans="3:12" s="84" customFormat="1" ht="31.5">
      <c r="C440" s="136">
        <v>418</v>
      </c>
      <c r="D440" s="178" t="s">
        <v>680</v>
      </c>
      <c r="E440" s="2">
        <v>7</v>
      </c>
      <c r="F440" s="2" t="s">
        <v>716</v>
      </c>
      <c r="G440" s="79" t="s">
        <v>921</v>
      </c>
      <c r="H440" s="1" t="s">
        <v>681</v>
      </c>
      <c r="I440" s="1" t="s">
        <v>660</v>
      </c>
      <c r="J440" s="80">
        <v>800</v>
      </c>
      <c r="K440" s="2" t="s">
        <v>209</v>
      </c>
      <c r="L440" s="83"/>
    </row>
    <row r="441" spans="3:12" s="84" customFormat="1" ht="31.5">
      <c r="C441" s="136">
        <v>419</v>
      </c>
      <c r="D441" s="178" t="s">
        <v>682</v>
      </c>
      <c r="E441" s="2">
        <v>7</v>
      </c>
      <c r="F441" s="2" t="s">
        <v>716</v>
      </c>
      <c r="G441" s="79" t="s">
        <v>921</v>
      </c>
      <c r="H441" s="1" t="s">
        <v>3371</v>
      </c>
      <c r="I441" s="1" t="s">
        <v>3366</v>
      </c>
      <c r="J441" s="80">
        <v>1000</v>
      </c>
      <c r="K441" s="2" t="s">
        <v>155</v>
      </c>
      <c r="L441" s="83"/>
    </row>
    <row r="442" spans="3:12" s="84" customFormat="1" ht="31.5">
      <c r="C442" s="136">
        <v>420</v>
      </c>
      <c r="D442" s="178" t="s">
        <v>683</v>
      </c>
      <c r="E442" s="2">
        <v>7</v>
      </c>
      <c r="F442" s="2" t="s">
        <v>716</v>
      </c>
      <c r="G442" s="79" t="s">
        <v>921</v>
      </c>
      <c r="H442" s="1" t="s">
        <v>3371</v>
      </c>
      <c r="I442" s="1" t="s">
        <v>679</v>
      </c>
      <c r="J442" s="80">
        <v>800</v>
      </c>
      <c r="K442" s="2" t="s">
        <v>155</v>
      </c>
      <c r="L442" s="83"/>
    </row>
    <row r="443" spans="3:12" s="84" customFormat="1" ht="31.5">
      <c r="C443" s="136">
        <v>421</v>
      </c>
      <c r="D443" s="178" t="s">
        <v>684</v>
      </c>
      <c r="E443" s="2">
        <v>7</v>
      </c>
      <c r="F443" s="2" t="s">
        <v>716</v>
      </c>
      <c r="G443" s="79" t="s">
        <v>921</v>
      </c>
      <c r="H443" s="1" t="s">
        <v>685</v>
      </c>
      <c r="I443" s="1" t="s">
        <v>686</v>
      </c>
      <c r="J443" s="80">
        <v>600</v>
      </c>
      <c r="K443" s="2" t="s">
        <v>687</v>
      </c>
      <c r="L443" s="83"/>
    </row>
    <row r="444" spans="3:12" s="84" customFormat="1" ht="31.5">
      <c r="C444" s="136">
        <v>422</v>
      </c>
      <c r="D444" s="178" t="s">
        <v>688</v>
      </c>
      <c r="E444" s="2">
        <v>7</v>
      </c>
      <c r="F444" s="2" t="s">
        <v>716</v>
      </c>
      <c r="G444" s="79" t="s">
        <v>921</v>
      </c>
      <c r="H444" s="1" t="s">
        <v>676</v>
      </c>
      <c r="I444" s="1" t="s">
        <v>689</v>
      </c>
      <c r="J444" s="80">
        <v>2000</v>
      </c>
      <c r="K444" s="2" t="s">
        <v>645</v>
      </c>
      <c r="L444" s="83"/>
    </row>
    <row r="445" spans="3:12" s="84" customFormat="1" ht="31.5">
      <c r="C445" s="136">
        <v>423</v>
      </c>
      <c r="D445" s="178" t="s">
        <v>3260</v>
      </c>
      <c r="E445" s="2">
        <v>7</v>
      </c>
      <c r="F445" s="2" t="s">
        <v>716</v>
      </c>
      <c r="G445" s="79" t="s">
        <v>921</v>
      </c>
      <c r="H445" s="1" t="s">
        <v>690</v>
      </c>
      <c r="I445" s="1" t="s">
        <v>691</v>
      </c>
      <c r="J445" s="80">
        <v>160</v>
      </c>
      <c r="K445" s="2" t="s">
        <v>184</v>
      </c>
      <c r="L445" s="83"/>
    </row>
    <row r="446" spans="3:12" s="84" customFormat="1" ht="47.25">
      <c r="C446" s="136"/>
      <c r="D446" s="178" t="s">
        <v>3506</v>
      </c>
      <c r="E446" s="2">
        <v>7</v>
      </c>
      <c r="F446" s="2" t="s">
        <v>716</v>
      </c>
      <c r="G446" s="79" t="s">
        <v>921</v>
      </c>
      <c r="H446" s="1" t="s">
        <v>3581</v>
      </c>
      <c r="I446" s="1" t="s">
        <v>277</v>
      </c>
      <c r="J446" s="80">
        <v>100</v>
      </c>
      <c r="K446" s="2" t="s">
        <v>184</v>
      </c>
      <c r="L446" s="83"/>
    </row>
    <row r="447" spans="3:12" s="84" customFormat="1" ht="31.5">
      <c r="C447" s="136"/>
      <c r="D447" s="178" t="s">
        <v>3507</v>
      </c>
      <c r="E447" s="2">
        <v>7</v>
      </c>
      <c r="F447" s="2" t="s">
        <v>716</v>
      </c>
      <c r="G447" s="79" t="s">
        <v>921</v>
      </c>
      <c r="H447" s="1" t="s">
        <v>3582</v>
      </c>
      <c r="I447" s="1" t="s">
        <v>433</v>
      </c>
      <c r="J447" s="80">
        <v>1600</v>
      </c>
      <c r="K447" s="2" t="s">
        <v>278</v>
      </c>
      <c r="L447" s="83"/>
    </row>
    <row r="448" spans="3:12" s="84" customFormat="1" ht="31.5">
      <c r="C448" s="136">
        <v>424</v>
      </c>
      <c r="D448" s="178" t="s">
        <v>692</v>
      </c>
      <c r="E448" s="2">
        <v>7</v>
      </c>
      <c r="F448" s="2" t="s">
        <v>716</v>
      </c>
      <c r="G448" s="79" t="s">
        <v>921</v>
      </c>
      <c r="H448" s="1" t="s">
        <v>675</v>
      </c>
      <c r="I448" s="1" t="s">
        <v>693</v>
      </c>
      <c r="J448" s="80">
        <v>400</v>
      </c>
      <c r="K448" s="2" t="s">
        <v>210</v>
      </c>
      <c r="L448" s="83"/>
    </row>
    <row r="449" spans="3:12" s="84" customFormat="1" ht="31.5">
      <c r="C449" s="136">
        <v>425</v>
      </c>
      <c r="D449" s="178" t="s">
        <v>694</v>
      </c>
      <c r="E449" s="2">
        <v>7</v>
      </c>
      <c r="F449" s="2" t="s">
        <v>716</v>
      </c>
      <c r="G449" s="79" t="s">
        <v>921</v>
      </c>
      <c r="H449" s="1" t="s">
        <v>675</v>
      </c>
      <c r="I449" s="1" t="s">
        <v>693</v>
      </c>
      <c r="J449" s="80">
        <v>700</v>
      </c>
      <c r="K449" s="2" t="s">
        <v>182</v>
      </c>
      <c r="L449" s="83"/>
    </row>
    <row r="450" spans="3:12" s="84" customFormat="1" ht="31.5">
      <c r="C450" s="136">
        <v>426</v>
      </c>
      <c r="D450" s="178" t="s">
        <v>695</v>
      </c>
      <c r="E450" s="2">
        <v>7</v>
      </c>
      <c r="F450" s="2" t="s">
        <v>716</v>
      </c>
      <c r="G450" s="79" t="s">
        <v>921</v>
      </c>
      <c r="H450" s="1" t="s">
        <v>3370</v>
      </c>
      <c r="I450" s="1" t="s">
        <v>691</v>
      </c>
      <c r="J450" s="80">
        <v>860</v>
      </c>
      <c r="K450" s="2" t="s">
        <v>211</v>
      </c>
      <c r="L450" s="83"/>
    </row>
    <row r="451" spans="3:12" s="84" customFormat="1" ht="31.5">
      <c r="C451" s="136">
        <v>427</v>
      </c>
      <c r="D451" s="178" t="s">
        <v>3261</v>
      </c>
      <c r="E451" s="2">
        <v>7</v>
      </c>
      <c r="F451" s="2" t="s">
        <v>716</v>
      </c>
      <c r="G451" s="79" t="s">
        <v>921</v>
      </c>
      <c r="H451" s="1" t="s">
        <v>3369</v>
      </c>
      <c r="I451" s="1" t="s">
        <v>658</v>
      </c>
      <c r="J451" s="80">
        <v>65</v>
      </c>
      <c r="K451" s="2" t="s">
        <v>212</v>
      </c>
      <c r="L451" s="83"/>
    </row>
    <row r="452" spans="3:12" s="84" customFormat="1" ht="31.5">
      <c r="C452" s="136"/>
      <c r="D452" s="178" t="s">
        <v>3508</v>
      </c>
      <c r="E452" s="2"/>
      <c r="F452" s="2" t="s">
        <v>716</v>
      </c>
      <c r="G452" s="79" t="s">
        <v>921</v>
      </c>
      <c r="H452" s="1" t="s">
        <v>279</v>
      </c>
      <c r="I452" s="1" t="s">
        <v>3597</v>
      </c>
      <c r="J452" s="80">
        <v>850</v>
      </c>
      <c r="K452" s="2" t="s">
        <v>280</v>
      </c>
      <c r="L452" s="83"/>
    </row>
    <row r="453" spans="3:12" s="84" customFormat="1" ht="31.5">
      <c r="C453" s="136"/>
      <c r="D453" s="178" t="s">
        <v>3509</v>
      </c>
      <c r="E453" s="2"/>
      <c r="F453" s="2" t="s">
        <v>716</v>
      </c>
      <c r="G453" s="79" t="s">
        <v>921</v>
      </c>
      <c r="H453" s="1" t="s">
        <v>281</v>
      </c>
      <c r="I453" s="1" t="s">
        <v>696</v>
      </c>
      <c r="J453" s="80">
        <v>1200</v>
      </c>
      <c r="K453" s="2" t="s">
        <v>282</v>
      </c>
      <c r="L453" s="83"/>
    </row>
    <row r="454" spans="3:12" s="84" customFormat="1" ht="31.5">
      <c r="C454" s="136">
        <v>428</v>
      </c>
      <c r="D454" s="178" t="s">
        <v>3710</v>
      </c>
      <c r="E454" s="2">
        <v>7</v>
      </c>
      <c r="F454" s="2" t="s">
        <v>716</v>
      </c>
      <c r="G454" s="79" t="s">
        <v>921</v>
      </c>
      <c r="H454" s="1" t="s">
        <v>697</v>
      </c>
      <c r="I454" s="1" t="s">
        <v>685</v>
      </c>
      <c r="J454" s="80">
        <v>1700</v>
      </c>
      <c r="K454" s="2" t="s">
        <v>698</v>
      </c>
      <c r="L454" s="83"/>
    </row>
    <row r="455" spans="3:12" s="84" customFormat="1" ht="31.5">
      <c r="C455" s="136">
        <v>429</v>
      </c>
      <c r="D455" s="178" t="s">
        <v>699</v>
      </c>
      <c r="E455" s="2">
        <v>7</v>
      </c>
      <c r="F455" s="2" t="s">
        <v>716</v>
      </c>
      <c r="G455" s="79" t="s">
        <v>921</v>
      </c>
      <c r="H455" s="1" t="s">
        <v>679</v>
      </c>
      <c r="I455" s="1" t="s">
        <v>3365</v>
      </c>
      <c r="J455" s="80">
        <v>1200</v>
      </c>
      <c r="K455" s="2" t="s">
        <v>155</v>
      </c>
      <c r="L455" s="83"/>
    </row>
    <row r="456" spans="3:12" s="84" customFormat="1" ht="31.5">
      <c r="C456" s="136">
        <v>430</v>
      </c>
      <c r="D456" s="178" t="s">
        <v>700</v>
      </c>
      <c r="E456" s="2">
        <v>7</v>
      </c>
      <c r="F456" s="2" t="s">
        <v>716</v>
      </c>
      <c r="G456" s="79" t="s">
        <v>921</v>
      </c>
      <c r="H456" s="1" t="s">
        <v>679</v>
      </c>
      <c r="I456" s="1" t="s">
        <v>3416</v>
      </c>
      <c r="J456" s="80">
        <v>700</v>
      </c>
      <c r="K456" s="2" t="s">
        <v>157</v>
      </c>
      <c r="L456" s="83"/>
    </row>
    <row r="457" spans="3:12" s="84" customFormat="1" ht="31.5">
      <c r="C457" s="136">
        <v>431</v>
      </c>
      <c r="D457" s="178" t="s">
        <v>701</v>
      </c>
      <c r="E457" s="2">
        <v>7</v>
      </c>
      <c r="F457" s="2" t="s">
        <v>716</v>
      </c>
      <c r="G457" s="79" t="s">
        <v>921</v>
      </c>
      <c r="H457" s="1" t="s">
        <v>679</v>
      </c>
      <c r="I457" s="1" t="s">
        <v>3417</v>
      </c>
      <c r="J457" s="80">
        <v>1200</v>
      </c>
      <c r="K457" s="2" t="s">
        <v>153</v>
      </c>
      <c r="L457" s="83"/>
    </row>
    <row r="458" spans="3:12" s="84" customFormat="1" ht="31.5">
      <c r="C458" s="136">
        <v>432</v>
      </c>
      <c r="D458" s="178" t="s">
        <v>702</v>
      </c>
      <c r="E458" s="2">
        <v>7</v>
      </c>
      <c r="F458" s="2" t="s">
        <v>716</v>
      </c>
      <c r="G458" s="79" t="s">
        <v>921</v>
      </c>
      <c r="H458" s="1" t="s">
        <v>679</v>
      </c>
      <c r="I458" s="1" t="s">
        <v>407</v>
      </c>
      <c r="J458" s="80">
        <v>1000</v>
      </c>
      <c r="K458" s="2" t="s">
        <v>157</v>
      </c>
      <c r="L458" s="83"/>
    </row>
    <row r="459" spans="3:12" s="84" customFormat="1" ht="31.5">
      <c r="C459" s="136">
        <v>433</v>
      </c>
      <c r="D459" s="178" t="s">
        <v>703</v>
      </c>
      <c r="E459" s="2">
        <v>7</v>
      </c>
      <c r="F459" s="2" t="s">
        <v>716</v>
      </c>
      <c r="G459" s="79" t="s">
        <v>921</v>
      </c>
      <c r="H459" s="1" t="s">
        <v>679</v>
      </c>
      <c r="I459" s="1" t="s">
        <v>407</v>
      </c>
      <c r="J459" s="80">
        <v>700</v>
      </c>
      <c r="K459" s="2" t="s">
        <v>157</v>
      </c>
      <c r="L459" s="83"/>
    </row>
    <row r="460" spans="3:12" s="84" customFormat="1" ht="31.5">
      <c r="C460" s="136">
        <v>434</v>
      </c>
      <c r="D460" s="178" t="s">
        <v>704</v>
      </c>
      <c r="E460" s="2">
        <v>7</v>
      </c>
      <c r="F460" s="2" t="s">
        <v>716</v>
      </c>
      <c r="G460" s="79" t="s">
        <v>921</v>
      </c>
      <c r="H460" s="1" t="s">
        <v>679</v>
      </c>
      <c r="I460" s="1" t="s">
        <v>689</v>
      </c>
      <c r="J460" s="80">
        <v>1200</v>
      </c>
      <c r="K460" s="2" t="s">
        <v>213</v>
      </c>
      <c r="L460" s="83"/>
    </row>
    <row r="461" spans="3:12" s="84" customFormat="1" ht="31.5">
      <c r="C461" s="136">
        <v>435</v>
      </c>
      <c r="D461" s="178" t="s">
        <v>705</v>
      </c>
      <c r="E461" s="2">
        <v>7</v>
      </c>
      <c r="F461" s="2" t="s">
        <v>716</v>
      </c>
      <c r="G461" s="79" t="s">
        <v>921</v>
      </c>
      <c r="H461" s="1" t="s">
        <v>706</v>
      </c>
      <c r="I461" s="1" t="s">
        <v>661</v>
      </c>
      <c r="J461" s="80">
        <v>1518</v>
      </c>
      <c r="K461" s="2" t="s">
        <v>662</v>
      </c>
      <c r="L461" s="83"/>
    </row>
    <row r="462" spans="3:12" s="84" customFormat="1" ht="31.5">
      <c r="C462" s="136">
        <v>436</v>
      </c>
      <c r="D462" s="178" t="s">
        <v>707</v>
      </c>
      <c r="E462" s="2">
        <v>7</v>
      </c>
      <c r="F462" s="2" t="s">
        <v>716</v>
      </c>
      <c r="G462" s="79" t="s">
        <v>921</v>
      </c>
      <c r="H462" s="1" t="s">
        <v>100</v>
      </c>
      <c r="I462" s="1" t="s">
        <v>407</v>
      </c>
      <c r="J462" s="80">
        <v>1000</v>
      </c>
      <c r="K462" s="2" t="s">
        <v>163</v>
      </c>
      <c r="L462" s="83"/>
    </row>
    <row r="463" spans="3:12" s="84" customFormat="1" ht="31.5">
      <c r="C463" s="136">
        <v>437</v>
      </c>
      <c r="D463" s="178" t="s">
        <v>708</v>
      </c>
      <c r="E463" s="2">
        <v>7</v>
      </c>
      <c r="F463" s="2" t="s">
        <v>716</v>
      </c>
      <c r="G463" s="79" t="s">
        <v>921</v>
      </c>
      <c r="H463" s="1" t="s">
        <v>100</v>
      </c>
      <c r="I463" s="1" t="s">
        <v>407</v>
      </c>
      <c r="J463" s="80">
        <v>1000</v>
      </c>
      <c r="K463" s="2" t="s">
        <v>163</v>
      </c>
      <c r="L463" s="83"/>
    </row>
    <row r="464" spans="3:12" s="84" customFormat="1" ht="31.5">
      <c r="C464" s="136">
        <v>438</v>
      </c>
      <c r="D464" s="178" t="s">
        <v>709</v>
      </c>
      <c r="E464" s="2">
        <v>7</v>
      </c>
      <c r="F464" s="2" t="s">
        <v>716</v>
      </c>
      <c r="G464" s="79" t="s">
        <v>921</v>
      </c>
      <c r="H464" s="1" t="s">
        <v>100</v>
      </c>
      <c r="I464" s="1" t="s">
        <v>407</v>
      </c>
      <c r="J464" s="80">
        <v>1000</v>
      </c>
      <c r="K464" s="2" t="s">
        <v>156</v>
      </c>
      <c r="L464" s="83"/>
    </row>
    <row r="465" spans="3:12" s="84" customFormat="1" ht="31.5">
      <c r="C465" s="136">
        <v>439</v>
      </c>
      <c r="D465" s="178" t="s">
        <v>710</v>
      </c>
      <c r="E465" s="2">
        <v>7</v>
      </c>
      <c r="F465" s="2" t="s">
        <v>716</v>
      </c>
      <c r="G465" s="79" t="s">
        <v>921</v>
      </c>
      <c r="H465" s="1" t="s">
        <v>100</v>
      </c>
      <c r="I465" s="1" t="s">
        <v>679</v>
      </c>
      <c r="J465" s="80">
        <v>900</v>
      </c>
      <c r="K465" s="2" t="s">
        <v>156</v>
      </c>
      <c r="L465" s="83"/>
    </row>
    <row r="466" spans="3:12" s="157" customFormat="1" ht="31.5">
      <c r="C466" s="152">
        <v>440</v>
      </c>
      <c r="D466" s="178" t="s">
        <v>711</v>
      </c>
      <c r="E466" s="153">
        <v>7</v>
      </c>
      <c r="F466" s="153" t="s">
        <v>716</v>
      </c>
      <c r="G466" s="154" t="s">
        <v>921</v>
      </c>
      <c r="H466" s="155" t="s">
        <v>3419</v>
      </c>
      <c r="I466" s="155" t="s">
        <v>3418</v>
      </c>
      <c r="J466" s="156">
        <v>600</v>
      </c>
      <c r="K466" s="153" t="s">
        <v>214</v>
      </c>
      <c r="L466" s="151" t="s">
        <v>3778</v>
      </c>
    </row>
    <row r="467" spans="3:12" s="84" customFormat="1" ht="31.5">
      <c r="C467" s="136">
        <v>441</v>
      </c>
      <c r="D467" s="178" t="s">
        <v>712</v>
      </c>
      <c r="E467" s="2">
        <v>7</v>
      </c>
      <c r="F467" s="2" t="s">
        <v>716</v>
      </c>
      <c r="G467" s="79" t="s">
        <v>921</v>
      </c>
      <c r="H467" s="1" t="s">
        <v>713</v>
      </c>
      <c r="I467" s="1" t="s">
        <v>660</v>
      </c>
      <c r="J467" s="80">
        <v>200</v>
      </c>
      <c r="K467" s="2" t="s">
        <v>165</v>
      </c>
      <c r="L467" s="83"/>
    </row>
    <row r="468" spans="3:12" s="84" customFormat="1" ht="31.5">
      <c r="C468" s="136">
        <v>442</v>
      </c>
      <c r="D468" s="178" t="s">
        <v>0</v>
      </c>
      <c r="E468" s="2">
        <v>7</v>
      </c>
      <c r="F468" s="2" t="s">
        <v>716</v>
      </c>
      <c r="G468" s="79" t="s">
        <v>921</v>
      </c>
      <c r="H468" s="1" t="s">
        <v>1</v>
      </c>
      <c r="I468" s="1" t="s">
        <v>660</v>
      </c>
      <c r="J468" s="80">
        <v>68</v>
      </c>
      <c r="K468" s="2" t="s">
        <v>154</v>
      </c>
      <c r="L468" s="83"/>
    </row>
    <row r="469" spans="3:12" s="84" customFormat="1" ht="31.5">
      <c r="C469" s="136">
        <v>443</v>
      </c>
      <c r="D469" s="178" t="s">
        <v>231</v>
      </c>
      <c r="E469" s="2">
        <v>7</v>
      </c>
      <c r="F469" s="2" t="s">
        <v>716</v>
      </c>
      <c r="G469" s="79" t="s">
        <v>921</v>
      </c>
      <c r="H469" s="1" t="s">
        <v>2</v>
      </c>
      <c r="I469" s="1" t="s">
        <v>669</v>
      </c>
      <c r="J469" s="80">
        <v>150</v>
      </c>
      <c r="K469" s="2" t="s">
        <v>215</v>
      </c>
      <c r="L469" s="83"/>
    </row>
    <row r="470" spans="3:12" s="84" customFormat="1" ht="31.5">
      <c r="C470" s="136">
        <v>444</v>
      </c>
      <c r="D470" s="178" t="s">
        <v>3</v>
      </c>
      <c r="E470" s="2">
        <v>7</v>
      </c>
      <c r="F470" s="2" t="s">
        <v>716</v>
      </c>
      <c r="G470" s="79" t="s">
        <v>921</v>
      </c>
      <c r="H470" s="1" t="s">
        <v>4</v>
      </c>
      <c r="I470" s="1" t="s">
        <v>5</v>
      </c>
      <c r="J470" s="80">
        <v>120</v>
      </c>
      <c r="K470" s="2" t="s">
        <v>216</v>
      </c>
      <c r="L470" s="83"/>
    </row>
    <row r="471" spans="3:12" s="84" customFormat="1" ht="31.5">
      <c r="C471" s="136">
        <v>445</v>
      </c>
      <c r="D471" s="178" t="s">
        <v>6</v>
      </c>
      <c r="E471" s="2">
        <v>7</v>
      </c>
      <c r="F471" s="2" t="s">
        <v>716</v>
      </c>
      <c r="G471" s="79" t="s">
        <v>921</v>
      </c>
      <c r="H471" s="1" t="s">
        <v>3367</v>
      </c>
      <c r="I471" s="1" t="s">
        <v>590</v>
      </c>
      <c r="J471" s="80">
        <v>300</v>
      </c>
      <c r="K471" s="2" t="s">
        <v>164</v>
      </c>
      <c r="L471" s="83"/>
    </row>
    <row r="472" spans="3:12" s="84" customFormat="1" ht="31.5">
      <c r="C472" s="136">
        <v>446</v>
      </c>
      <c r="D472" s="178" t="s">
        <v>7</v>
      </c>
      <c r="E472" s="2">
        <v>7</v>
      </c>
      <c r="F472" s="2" t="s">
        <v>716</v>
      </c>
      <c r="G472" s="79" t="s">
        <v>921</v>
      </c>
      <c r="H472" s="1" t="s">
        <v>3368</v>
      </c>
      <c r="I472" s="1" t="s">
        <v>590</v>
      </c>
      <c r="J472" s="80">
        <v>150</v>
      </c>
      <c r="K472" s="2" t="s">
        <v>210</v>
      </c>
      <c r="L472" s="83"/>
    </row>
    <row r="473" spans="3:12" s="84" customFormat="1" ht="31.5">
      <c r="C473" s="136">
        <v>447</v>
      </c>
      <c r="D473" s="178" t="s">
        <v>8</v>
      </c>
      <c r="E473" s="2">
        <v>7</v>
      </c>
      <c r="F473" s="2" t="s">
        <v>716</v>
      </c>
      <c r="G473" s="79" t="s">
        <v>921</v>
      </c>
      <c r="H473" s="1" t="s">
        <v>3366</v>
      </c>
      <c r="I473" s="1" t="s">
        <v>407</v>
      </c>
      <c r="J473" s="80">
        <v>2000</v>
      </c>
      <c r="K473" s="2" t="s">
        <v>155</v>
      </c>
      <c r="L473" s="83"/>
    </row>
    <row r="474" spans="3:12" s="84" customFormat="1" ht="31.5">
      <c r="C474" s="136">
        <v>448</v>
      </c>
      <c r="D474" s="178" t="s">
        <v>9</v>
      </c>
      <c r="E474" s="2">
        <v>7</v>
      </c>
      <c r="F474" s="2" t="s">
        <v>716</v>
      </c>
      <c r="G474" s="79" t="s">
        <v>921</v>
      </c>
      <c r="H474" s="1" t="s">
        <v>3365</v>
      </c>
      <c r="I474" s="1" t="s">
        <v>407</v>
      </c>
      <c r="J474" s="80">
        <v>900</v>
      </c>
      <c r="K474" s="2" t="s">
        <v>156</v>
      </c>
      <c r="L474" s="83"/>
    </row>
    <row r="475" spans="3:12" s="84" customFormat="1" ht="31.5">
      <c r="C475" s="136">
        <v>449</v>
      </c>
      <c r="D475" s="178" t="s">
        <v>10</v>
      </c>
      <c r="E475" s="2">
        <v>7</v>
      </c>
      <c r="F475" s="2" t="s">
        <v>716</v>
      </c>
      <c r="G475" s="79" t="s">
        <v>921</v>
      </c>
      <c r="H475" s="1" t="s">
        <v>3365</v>
      </c>
      <c r="I475" s="1" t="s">
        <v>407</v>
      </c>
      <c r="J475" s="80">
        <v>800</v>
      </c>
      <c r="K475" s="2" t="s">
        <v>150</v>
      </c>
      <c r="L475" s="83"/>
    </row>
    <row r="476" spans="3:12" s="84" customFormat="1" ht="31.5">
      <c r="C476" s="136">
        <v>450</v>
      </c>
      <c r="D476" s="178" t="s">
        <v>11</v>
      </c>
      <c r="E476" s="2">
        <v>7</v>
      </c>
      <c r="F476" s="2" t="s">
        <v>716</v>
      </c>
      <c r="G476" s="79" t="s">
        <v>921</v>
      </c>
      <c r="H476" s="1" t="s">
        <v>3365</v>
      </c>
      <c r="I476" s="1" t="s">
        <v>407</v>
      </c>
      <c r="J476" s="80">
        <v>1200</v>
      </c>
      <c r="K476" s="2" t="s">
        <v>150</v>
      </c>
      <c r="L476" s="83"/>
    </row>
    <row r="477" spans="3:12" s="84" customFormat="1" ht="31.5">
      <c r="C477" s="136">
        <v>451</v>
      </c>
      <c r="D477" s="178" t="s">
        <v>12</v>
      </c>
      <c r="E477" s="2">
        <v>7</v>
      </c>
      <c r="F477" s="2" t="s">
        <v>716</v>
      </c>
      <c r="G477" s="79" t="s">
        <v>921</v>
      </c>
      <c r="H477" s="1" t="s">
        <v>3365</v>
      </c>
      <c r="I477" s="1" t="s">
        <v>407</v>
      </c>
      <c r="J477" s="80">
        <v>800</v>
      </c>
      <c r="K477" s="2" t="s">
        <v>150</v>
      </c>
      <c r="L477" s="83"/>
    </row>
    <row r="478" spans="3:12" s="84" customFormat="1" ht="31.5">
      <c r="C478" s="136">
        <v>452</v>
      </c>
      <c r="D478" s="178" t="s">
        <v>13</v>
      </c>
      <c r="E478" s="2">
        <v>7</v>
      </c>
      <c r="F478" s="2" t="s">
        <v>716</v>
      </c>
      <c r="G478" s="79" t="s">
        <v>921</v>
      </c>
      <c r="H478" s="1" t="s">
        <v>3365</v>
      </c>
      <c r="I478" s="1" t="s">
        <v>407</v>
      </c>
      <c r="J478" s="80">
        <v>1800</v>
      </c>
      <c r="K478" s="2" t="s">
        <v>157</v>
      </c>
      <c r="L478" s="83"/>
    </row>
    <row r="479" spans="3:12" s="84" customFormat="1" ht="31.5">
      <c r="C479" s="136">
        <v>453</v>
      </c>
      <c r="D479" s="178" t="s">
        <v>14</v>
      </c>
      <c r="E479" s="2">
        <v>7</v>
      </c>
      <c r="F479" s="2" t="s">
        <v>716</v>
      </c>
      <c r="G479" s="79" t="s">
        <v>921</v>
      </c>
      <c r="H479" s="1" t="s">
        <v>3365</v>
      </c>
      <c r="I479" s="1" t="s">
        <v>407</v>
      </c>
      <c r="J479" s="80">
        <v>500</v>
      </c>
      <c r="K479" s="2" t="s">
        <v>157</v>
      </c>
      <c r="L479" s="83"/>
    </row>
    <row r="480" spans="3:12" s="84" customFormat="1" ht="31.5">
      <c r="C480" s="136">
        <v>454</v>
      </c>
      <c r="D480" s="178" t="s">
        <v>15</v>
      </c>
      <c r="E480" s="2">
        <v>7</v>
      </c>
      <c r="F480" s="2" t="s">
        <v>716</v>
      </c>
      <c r="G480" s="79" t="s">
        <v>921</v>
      </c>
      <c r="H480" s="1" t="s">
        <v>688</v>
      </c>
      <c r="I480" s="1" t="s">
        <v>407</v>
      </c>
      <c r="J480" s="80">
        <v>500</v>
      </c>
      <c r="K480" s="2" t="s">
        <v>150</v>
      </c>
      <c r="L480" s="83"/>
    </row>
    <row r="481" spans="3:12" s="84" customFormat="1" ht="31.5">
      <c r="C481" s="136">
        <v>455</v>
      </c>
      <c r="D481" s="178" t="s">
        <v>314</v>
      </c>
      <c r="E481" s="2">
        <v>7</v>
      </c>
      <c r="F481" s="2" t="s">
        <v>716</v>
      </c>
      <c r="G481" s="79" t="s">
        <v>921</v>
      </c>
      <c r="H481" s="1" t="s">
        <v>313</v>
      </c>
      <c r="I481" s="1" t="s">
        <v>433</v>
      </c>
      <c r="J481" s="80">
        <v>500</v>
      </c>
      <c r="K481" s="2" t="s">
        <v>312</v>
      </c>
      <c r="L481" s="83"/>
    </row>
    <row r="482" spans="3:12" s="84" customFormat="1" ht="31.5">
      <c r="C482" s="136">
        <v>456</v>
      </c>
      <c r="D482" s="178" t="s">
        <v>311</v>
      </c>
      <c r="E482" s="2">
        <v>7</v>
      </c>
      <c r="F482" s="2" t="s">
        <v>716</v>
      </c>
      <c r="G482" s="79" t="s">
        <v>921</v>
      </c>
      <c r="H482" s="1" t="s">
        <v>675</v>
      </c>
      <c r="I482" s="1" t="s">
        <v>307</v>
      </c>
      <c r="J482" s="80">
        <v>1307</v>
      </c>
      <c r="K482" s="2" t="s">
        <v>164</v>
      </c>
      <c r="L482" s="83"/>
    </row>
    <row r="483" spans="3:12" s="84" customFormat="1" ht="31.5">
      <c r="C483" s="136">
        <v>457</v>
      </c>
      <c r="D483" s="178" t="s">
        <v>310</v>
      </c>
      <c r="E483" s="2">
        <v>7</v>
      </c>
      <c r="F483" s="2" t="s">
        <v>716</v>
      </c>
      <c r="G483" s="79" t="s">
        <v>921</v>
      </c>
      <c r="H483" s="1" t="s">
        <v>675</v>
      </c>
      <c r="I483" s="1" t="s">
        <v>307</v>
      </c>
      <c r="J483" s="80">
        <v>700</v>
      </c>
      <c r="K483" s="2" t="s">
        <v>203</v>
      </c>
      <c r="L483" s="83"/>
    </row>
    <row r="484" spans="3:12" s="84" customFormat="1" ht="31.5">
      <c r="C484" s="136">
        <v>458</v>
      </c>
      <c r="D484" s="178" t="s">
        <v>309</v>
      </c>
      <c r="E484" s="2">
        <v>7</v>
      </c>
      <c r="F484" s="2" t="s">
        <v>716</v>
      </c>
      <c r="G484" s="79" t="s">
        <v>921</v>
      </c>
      <c r="H484" s="1" t="s">
        <v>675</v>
      </c>
      <c r="I484" s="1" t="s">
        <v>307</v>
      </c>
      <c r="J484" s="80">
        <v>244</v>
      </c>
      <c r="K484" s="2" t="s">
        <v>152</v>
      </c>
      <c r="L484" s="83"/>
    </row>
    <row r="485" spans="3:12" s="84" customFormat="1" ht="31.5">
      <c r="C485" s="136">
        <v>459</v>
      </c>
      <c r="D485" s="178" t="s">
        <v>308</v>
      </c>
      <c r="E485" s="2">
        <v>7</v>
      </c>
      <c r="F485" s="2" t="s">
        <v>716</v>
      </c>
      <c r="G485" s="79" t="s">
        <v>921</v>
      </c>
      <c r="H485" s="1" t="s">
        <v>675</v>
      </c>
      <c r="I485" s="1" t="s">
        <v>307</v>
      </c>
      <c r="J485" s="80">
        <v>672</v>
      </c>
      <c r="K485" s="2" t="s">
        <v>306</v>
      </c>
      <c r="L485" s="83"/>
    </row>
    <row r="486" spans="3:12" s="84" customFormat="1" ht="31.5">
      <c r="C486" s="136">
        <v>460</v>
      </c>
      <c r="D486" s="178" t="s">
        <v>305</v>
      </c>
      <c r="E486" s="2">
        <v>7</v>
      </c>
      <c r="F486" s="2" t="s">
        <v>716</v>
      </c>
      <c r="G486" s="79" t="s">
        <v>921</v>
      </c>
      <c r="H486" s="1" t="s">
        <v>675</v>
      </c>
      <c r="I486" s="1" t="s">
        <v>676</v>
      </c>
      <c r="J486" s="80">
        <v>540</v>
      </c>
      <c r="K486" s="2" t="s">
        <v>203</v>
      </c>
      <c r="L486" s="83"/>
    </row>
    <row r="487" spans="3:12" s="84" customFormat="1" ht="31.5">
      <c r="C487" s="136">
        <v>461</v>
      </c>
      <c r="D487" s="178" t="s">
        <v>304</v>
      </c>
      <c r="E487" s="2">
        <v>7</v>
      </c>
      <c r="F487" s="2" t="s">
        <v>716</v>
      </c>
      <c r="G487" s="79" t="s">
        <v>921</v>
      </c>
      <c r="H487" s="1" t="s">
        <v>675</v>
      </c>
      <c r="I487" s="1" t="s">
        <v>676</v>
      </c>
      <c r="J487" s="80">
        <v>614</v>
      </c>
      <c r="K487" s="2" t="s">
        <v>229</v>
      </c>
      <c r="L487" s="83"/>
    </row>
    <row r="488" spans="3:12" s="84" customFormat="1" ht="31.5">
      <c r="C488" s="136">
        <v>462</v>
      </c>
      <c r="D488" s="178" t="s">
        <v>303</v>
      </c>
      <c r="E488" s="2">
        <v>7</v>
      </c>
      <c r="F488" s="2" t="s">
        <v>716</v>
      </c>
      <c r="G488" s="79" t="s">
        <v>921</v>
      </c>
      <c r="H488" s="1" t="s">
        <v>675</v>
      </c>
      <c r="I488" s="1" t="s">
        <v>676</v>
      </c>
      <c r="J488" s="80">
        <v>539</v>
      </c>
      <c r="K488" s="2" t="s">
        <v>202</v>
      </c>
      <c r="L488" s="83"/>
    </row>
    <row r="489" spans="3:12" s="84" customFormat="1" ht="31.5">
      <c r="C489" s="136">
        <v>463</v>
      </c>
      <c r="D489" s="178" t="s">
        <v>302</v>
      </c>
      <c r="E489" s="2">
        <v>7</v>
      </c>
      <c r="F489" s="2" t="s">
        <v>716</v>
      </c>
      <c r="G489" s="79" t="s">
        <v>921</v>
      </c>
      <c r="H489" s="1" t="s">
        <v>675</v>
      </c>
      <c r="I489" s="1" t="s">
        <v>676</v>
      </c>
      <c r="J489" s="80">
        <v>431</v>
      </c>
      <c r="K489" s="2" t="s">
        <v>152</v>
      </c>
      <c r="L489" s="83"/>
    </row>
    <row r="490" spans="3:12" s="84" customFormat="1" ht="31.5">
      <c r="C490" s="136">
        <v>464</v>
      </c>
      <c r="D490" s="178" t="s">
        <v>301</v>
      </c>
      <c r="E490" s="2">
        <v>7</v>
      </c>
      <c r="F490" s="2" t="s">
        <v>716</v>
      </c>
      <c r="G490" s="79" t="s">
        <v>921</v>
      </c>
      <c r="H490" s="1" t="s">
        <v>675</v>
      </c>
      <c r="I490" s="1" t="s">
        <v>676</v>
      </c>
      <c r="J490" s="80">
        <v>65</v>
      </c>
      <c r="K490" s="2" t="s">
        <v>300</v>
      </c>
      <c r="L490" s="83"/>
    </row>
    <row r="491" spans="3:12" s="84" customFormat="1" ht="31.5">
      <c r="C491" s="136">
        <v>465</v>
      </c>
      <c r="D491" s="178" t="s">
        <v>299</v>
      </c>
      <c r="E491" s="2">
        <v>7</v>
      </c>
      <c r="F491" s="2" t="s">
        <v>716</v>
      </c>
      <c r="G491" s="79" t="s">
        <v>921</v>
      </c>
      <c r="H491" s="1" t="s">
        <v>675</v>
      </c>
      <c r="I491" s="1" t="s">
        <v>676</v>
      </c>
      <c r="J491" s="80">
        <v>80</v>
      </c>
      <c r="K491" s="2" t="s">
        <v>186</v>
      </c>
      <c r="L491" s="83"/>
    </row>
    <row r="492" spans="3:12" s="84" customFormat="1" ht="31.5">
      <c r="C492" s="136">
        <v>466</v>
      </c>
      <c r="D492" s="178" t="s">
        <v>3454</v>
      </c>
      <c r="E492" s="2">
        <v>7</v>
      </c>
      <c r="F492" s="2" t="s">
        <v>716</v>
      </c>
      <c r="G492" s="79" t="s">
        <v>921</v>
      </c>
      <c r="H492" s="1" t="s">
        <v>675</v>
      </c>
      <c r="I492" s="1" t="s">
        <v>675</v>
      </c>
      <c r="J492" s="80">
        <v>200</v>
      </c>
      <c r="K492" s="2" t="s">
        <v>177</v>
      </c>
      <c r="L492" s="83"/>
    </row>
    <row r="493" spans="3:12" s="84" customFormat="1" ht="31.5">
      <c r="C493" s="136">
        <v>467</v>
      </c>
      <c r="D493" s="178" t="s">
        <v>3455</v>
      </c>
      <c r="E493" s="2">
        <v>7</v>
      </c>
      <c r="F493" s="2" t="s">
        <v>716</v>
      </c>
      <c r="G493" s="79" t="s">
        <v>921</v>
      </c>
      <c r="H493" s="1" t="s">
        <v>675</v>
      </c>
      <c r="I493" s="1" t="s">
        <v>675</v>
      </c>
      <c r="J493" s="80">
        <v>500</v>
      </c>
      <c r="K493" s="2" t="s">
        <v>224</v>
      </c>
      <c r="L493" s="83"/>
    </row>
    <row r="494" spans="3:12" s="84" customFormat="1" ht="31.5">
      <c r="C494" s="136">
        <v>468</v>
      </c>
      <c r="D494" s="178" t="s">
        <v>3456</v>
      </c>
      <c r="E494" s="2">
        <v>7</v>
      </c>
      <c r="F494" s="2" t="s">
        <v>716</v>
      </c>
      <c r="G494" s="79" t="s">
        <v>921</v>
      </c>
      <c r="H494" s="1" t="s">
        <v>675</v>
      </c>
      <c r="I494" s="1" t="s">
        <v>675</v>
      </c>
      <c r="J494" s="80">
        <v>200</v>
      </c>
      <c r="K494" s="2" t="s">
        <v>298</v>
      </c>
      <c r="L494" s="83"/>
    </row>
    <row r="495" spans="3:12" s="84" customFormat="1" ht="31.5">
      <c r="C495" s="136">
        <v>469</v>
      </c>
      <c r="D495" s="178" t="s">
        <v>3457</v>
      </c>
      <c r="E495" s="2">
        <v>7</v>
      </c>
      <c r="F495" s="2" t="s">
        <v>716</v>
      </c>
      <c r="G495" s="79" t="s">
        <v>921</v>
      </c>
      <c r="H495" s="1" t="s">
        <v>675</v>
      </c>
      <c r="I495" s="1" t="s">
        <v>675</v>
      </c>
      <c r="J495" s="80">
        <v>130</v>
      </c>
      <c r="K495" s="2" t="s">
        <v>298</v>
      </c>
      <c r="L495" s="83"/>
    </row>
    <row r="496" spans="3:12" s="84" customFormat="1" ht="31.5">
      <c r="C496" s="136">
        <v>470</v>
      </c>
      <c r="D496" s="178" t="s">
        <v>3458</v>
      </c>
      <c r="E496" s="2">
        <v>7</v>
      </c>
      <c r="F496" s="2" t="s">
        <v>716</v>
      </c>
      <c r="G496" s="79" t="s">
        <v>921</v>
      </c>
      <c r="H496" s="1" t="s">
        <v>675</v>
      </c>
      <c r="I496" s="1" t="s">
        <v>675</v>
      </c>
      <c r="J496" s="80">
        <v>200</v>
      </c>
      <c r="K496" s="2" t="s">
        <v>184</v>
      </c>
      <c r="L496" s="83"/>
    </row>
    <row r="497" spans="3:12" s="84" customFormat="1" ht="31.5">
      <c r="C497" s="136">
        <v>471</v>
      </c>
      <c r="D497" s="178" t="s">
        <v>3459</v>
      </c>
      <c r="E497" s="2">
        <v>7</v>
      </c>
      <c r="F497" s="2" t="s">
        <v>716</v>
      </c>
      <c r="G497" s="79" t="s">
        <v>921</v>
      </c>
      <c r="H497" s="1" t="s">
        <v>675</v>
      </c>
      <c r="I497" s="1" t="s">
        <v>675</v>
      </c>
      <c r="J497" s="80">
        <v>120</v>
      </c>
      <c r="K497" s="2" t="s">
        <v>202</v>
      </c>
      <c r="L497" s="83"/>
    </row>
    <row r="498" spans="3:12" s="84" customFormat="1" ht="31.5">
      <c r="C498" s="136">
        <v>472</v>
      </c>
      <c r="D498" s="178" t="s">
        <v>3460</v>
      </c>
      <c r="E498" s="2">
        <v>7</v>
      </c>
      <c r="F498" s="2" t="s">
        <v>716</v>
      </c>
      <c r="G498" s="79" t="s">
        <v>921</v>
      </c>
      <c r="H498" s="1" t="s">
        <v>675</v>
      </c>
      <c r="I498" s="1" t="s">
        <v>675</v>
      </c>
      <c r="J498" s="80">
        <v>100</v>
      </c>
      <c r="K498" s="2" t="s">
        <v>297</v>
      </c>
      <c r="L498" s="83"/>
    </row>
    <row r="499" spans="3:12" s="84" customFormat="1" ht="31.5">
      <c r="C499" s="136">
        <v>473</v>
      </c>
      <c r="D499" s="178" t="s">
        <v>3461</v>
      </c>
      <c r="E499" s="2">
        <v>7</v>
      </c>
      <c r="F499" s="2" t="s">
        <v>716</v>
      </c>
      <c r="G499" s="79" t="s">
        <v>921</v>
      </c>
      <c r="H499" s="1" t="s">
        <v>675</v>
      </c>
      <c r="I499" s="1" t="s">
        <v>675</v>
      </c>
      <c r="J499" s="80">
        <v>60</v>
      </c>
      <c r="K499" s="2" t="s">
        <v>177</v>
      </c>
      <c r="L499" s="83"/>
    </row>
    <row r="500" spans="3:12" s="84" customFormat="1" ht="31.5">
      <c r="C500" s="136">
        <v>474</v>
      </c>
      <c r="D500" s="178" t="s">
        <v>3462</v>
      </c>
      <c r="E500" s="2">
        <v>7</v>
      </c>
      <c r="F500" s="2" t="s">
        <v>716</v>
      </c>
      <c r="G500" s="79" t="s">
        <v>921</v>
      </c>
      <c r="H500" s="1" t="s">
        <v>675</v>
      </c>
      <c r="I500" s="1" t="s">
        <v>675</v>
      </c>
      <c r="J500" s="80">
        <v>180</v>
      </c>
      <c r="K500" s="2" t="s">
        <v>296</v>
      </c>
      <c r="L500" s="83"/>
    </row>
    <row r="501" spans="3:12" s="84" customFormat="1" ht="31.5">
      <c r="C501" s="136">
        <v>475</v>
      </c>
      <c r="D501" s="178" t="s">
        <v>3463</v>
      </c>
      <c r="E501" s="2">
        <v>7</v>
      </c>
      <c r="F501" s="2" t="s">
        <v>716</v>
      </c>
      <c r="G501" s="79" t="s">
        <v>921</v>
      </c>
      <c r="H501" s="1" t="s">
        <v>675</v>
      </c>
      <c r="I501" s="1" t="s">
        <v>675</v>
      </c>
      <c r="J501" s="80">
        <v>120</v>
      </c>
      <c r="K501" s="2" t="s">
        <v>296</v>
      </c>
      <c r="L501" s="83"/>
    </row>
    <row r="502" spans="3:12" s="84" customFormat="1" ht="31.5">
      <c r="C502" s="136">
        <v>476</v>
      </c>
      <c r="D502" s="178" t="s">
        <v>3464</v>
      </c>
      <c r="E502" s="2">
        <v>7</v>
      </c>
      <c r="F502" s="2" t="s">
        <v>716</v>
      </c>
      <c r="G502" s="79" t="s">
        <v>921</v>
      </c>
      <c r="H502" s="1" t="s">
        <v>675</v>
      </c>
      <c r="I502" s="1" t="s">
        <v>675</v>
      </c>
      <c r="J502" s="80">
        <v>500</v>
      </c>
      <c r="K502" s="2" t="s">
        <v>295</v>
      </c>
      <c r="L502" s="83"/>
    </row>
    <row r="503" spans="3:12" s="84" customFormat="1" ht="31.5">
      <c r="C503" s="136">
        <v>477</v>
      </c>
      <c r="D503" s="178" t="s">
        <v>3465</v>
      </c>
      <c r="E503" s="2">
        <v>7</v>
      </c>
      <c r="F503" s="2" t="s">
        <v>716</v>
      </c>
      <c r="G503" s="79" t="s">
        <v>921</v>
      </c>
      <c r="H503" s="1" t="s">
        <v>3465</v>
      </c>
      <c r="I503" s="1" t="s">
        <v>294</v>
      </c>
      <c r="J503" s="80">
        <v>620</v>
      </c>
      <c r="K503" s="2" t="s">
        <v>153</v>
      </c>
      <c r="L503" s="83"/>
    </row>
    <row r="504" spans="3:12" s="84" customFormat="1" ht="31.5">
      <c r="C504" s="136">
        <v>478</v>
      </c>
      <c r="D504" s="178" t="s">
        <v>293</v>
      </c>
      <c r="E504" s="2">
        <v>7</v>
      </c>
      <c r="F504" s="2" t="s">
        <v>716</v>
      </c>
      <c r="G504" s="79" t="s">
        <v>921</v>
      </c>
      <c r="H504" s="1" t="s">
        <v>3466</v>
      </c>
      <c r="I504" s="1" t="s">
        <v>685</v>
      </c>
      <c r="J504" s="80">
        <v>340</v>
      </c>
      <c r="K504" s="2" t="s">
        <v>153</v>
      </c>
      <c r="L504" s="83"/>
    </row>
    <row r="505" spans="3:12" s="84" customFormat="1" ht="31.5">
      <c r="C505" s="136">
        <v>479</v>
      </c>
      <c r="D505" s="178" t="s">
        <v>292</v>
      </c>
      <c r="E505" s="2">
        <v>7</v>
      </c>
      <c r="F505" s="2" t="s">
        <v>716</v>
      </c>
      <c r="G505" s="79" t="s">
        <v>921</v>
      </c>
      <c r="H505" s="1" t="s">
        <v>675</v>
      </c>
      <c r="I505" s="1" t="s">
        <v>693</v>
      </c>
      <c r="J505" s="80">
        <v>200</v>
      </c>
      <c r="K505" s="2" t="s">
        <v>210</v>
      </c>
      <c r="L505" s="83"/>
    </row>
    <row r="506" spans="3:12" s="84" customFormat="1" ht="31.5">
      <c r="C506" s="136">
        <v>480</v>
      </c>
      <c r="D506" s="178" t="s">
        <v>291</v>
      </c>
      <c r="E506" s="2">
        <v>7</v>
      </c>
      <c r="F506" s="2" t="s">
        <v>716</v>
      </c>
      <c r="G506" s="79" t="s">
        <v>921</v>
      </c>
      <c r="H506" s="1" t="s">
        <v>675</v>
      </c>
      <c r="I506" s="1" t="s">
        <v>693</v>
      </c>
      <c r="J506" s="80">
        <v>900</v>
      </c>
      <c r="K506" s="2" t="s">
        <v>224</v>
      </c>
      <c r="L506" s="83"/>
    </row>
    <row r="507" spans="3:12" s="84" customFormat="1" ht="31.5">
      <c r="C507" s="136">
        <v>481</v>
      </c>
      <c r="D507" s="178" t="s">
        <v>290</v>
      </c>
      <c r="E507" s="2">
        <v>7</v>
      </c>
      <c r="F507" s="2" t="s">
        <v>716</v>
      </c>
      <c r="G507" s="79" t="s">
        <v>921</v>
      </c>
      <c r="H507" s="1" t="s">
        <v>675</v>
      </c>
      <c r="I507" s="1" t="s">
        <v>693</v>
      </c>
      <c r="J507" s="80">
        <v>700</v>
      </c>
      <c r="K507" s="2" t="s">
        <v>182</v>
      </c>
      <c r="L507" s="83"/>
    </row>
    <row r="508" spans="3:12" s="84" customFormat="1" ht="31.5">
      <c r="C508" s="136">
        <v>482</v>
      </c>
      <c r="D508" s="178" t="s">
        <v>242</v>
      </c>
      <c r="E508" s="2" t="s">
        <v>27</v>
      </c>
      <c r="F508" s="2" t="s">
        <v>716</v>
      </c>
      <c r="G508" s="79" t="s">
        <v>921</v>
      </c>
      <c r="H508" s="1" t="s">
        <v>249</v>
      </c>
      <c r="I508" s="1" t="s">
        <v>248</v>
      </c>
      <c r="J508" s="80">
        <v>1635</v>
      </c>
      <c r="K508" s="2"/>
      <c r="L508" s="83"/>
    </row>
    <row r="509" spans="3:12" s="84" customFormat="1" ht="31.5">
      <c r="C509" s="136">
        <v>483</v>
      </c>
      <c r="D509" s="178" t="s">
        <v>1081</v>
      </c>
      <c r="E509" s="2" t="s">
        <v>27</v>
      </c>
      <c r="F509" s="2" t="s">
        <v>716</v>
      </c>
      <c r="G509" s="79" t="s">
        <v>921</v>
      </c>
      <c r="H509" s="1" t="s">
        <v>1082</v>
      </c>
      <c r="I509" s="1" t="s">
        <v>1083</v>
      </c>
      <c r="J509" s="80">
        <v>6444</v>
      </c>
      <c r="K509" s="2"/>
      <c r="L509" s="83"/>
    </row>
    <row r="510" spans="3:12" s="84" customFormat="1" ht="31.5">
      <c r="C510" s="136">
        <v>484</v>
      </c>
      <c r="D510" s="178" t="s">
        <v>241</v>
      </c>
      <c r="E510" s="2" t="s">
        <v>243</v>
      </c>
      <c r="F510" s="2" t="s">
        <v>716</v>
      </c>
      <c r="G510" s="79" t="s">
        <v>921</v>
      </c>
      <c r="H510" s="1" t="s">
        <v>247</v>
      </c>
      <c r="I510" s="1" t="s">
        <v>246</v>
      </c>
      <c r="J510" s="80">
        <v>5200</v>
      </c>
      <c r="K510" s="2"/>
      <c r="L510" s="83"/>
    </row>
    <row r="511" spans="3:12" s="84" customFormat="1" ht="31.5">
      <c r="C511" s="136">
        <v>485</v>
      </c>
      <c r="D511" s="178" t="s">
        <v>240</v>
      </c>
      <c r="E511" s="2" t="s">
        <v>243</v>
      </c>
      <c r="F511" s="2" t="s">
        <v>716</v>
      </c>
      <c r="G511" s="79" t="s">
        <v>921</v>
      </c>
      <c r="H511" s="1" t="s">
        <v>245</v>
      </c>
      <c r="I511" s="1" t="s">
        <v>244</v>
      </c>
      <c r="J511" s="80">
        <v>3800</v>
      </c>
      <c r="K511" s="2"/>
      <c r="L511" s="83"/>
    </row>
    <row r="512" spans="3:12" s="84" customFormat="1" ht="31.5">
      <c r="C512" s="136">
        <v>486</v>
      </c>
      <c r="D512" s="178" t="s">
        <v>573</v>
      </c>
      <c r="E512" s="2" t="s">
        <v>27</v>
      </c>
      <c r="F512" s="2" t="s">
        <v>716</v>
      </c>
      <c r="G512" s="79" t="s">
        <v>921</v>
      </c>
      <c r="H512" s="1" t="s">
        <v>16</v>
      </c>
      <c r="I512" s="1" t="s">
        <v>17</v>
      </c>
      <c r="J512" s="80">
        <v>2440</v>
      </c>
      <c r="K512" s="2" t="s">
        <v>156</v>
      </c>
      <c r="L512" s="83"/>
    </row>
    <row r="513" spans="3:12" s="157" customFormat="1" ht="31.5">
      <c r="C513" s="152">
        <v>487</v>
      </c>
      <c r="D513" s="178" t="s">
        <v>18</v>
      </c>
      <c r="E513" s="153" t="s">
        <v>27</v>
      </c>
      <c r="F513" s="153" t="s">
        <v>716</v>
      </c>
      <c r="G513" s="154" t="s">
        <v>921</v>
      </c>
      <c r="H513" s="155" t="s">
        <v>19</v>
      </c>
      <c r="I513" s="155" t="s">
        <v>20</v>
      </c>
      <c r="J513" s="156">
        <v>961</v>
      </c>
      <c r="K513" s="153" t="s">
        <v>155</v>
      </c>
      <c r="L513" s="158" t="s">
        <v>3780</v>
      </c>
    </row>
    <row r="514" spans="3:12" s="84" customFormat="1" ht="31.5">
      <c r="C514" s="136">
        <v>488</v>
      </c>
      <c r="D514" s="178" t="s">
        <v>21</v>
      </c>
      <c r="E514" s="2" t="s">
        <v>27</v>
      </c>
      <c r="F514" s="2" t="s">
        <v>716</v>
      </c>
      <c r="G514" s="79" t="s">
        <v>921</v>
      </c>
      <c r="H514" s="1" t="s">
        <v>22</v>
      </c>
      <c r="I514" s="1" t="s">
        <v>23</v>
      </c>
      <c r="J514" s="80">
        <v>1584</v>
      </c>
      <c r="K514" s="2" t="s">
        <v>217</v>
      </c>
      <c r="L514" s="83"/>
    </row>
    <row r="515" spans="3:12" s="157" customFormat="1" ht="31.5">
      <c r="C515" s="152">
        <v>489</v>
      </c>
      <c r="D515" s="178" t="s">
        <v>24</v>
      </c>
      <c r="E515" s="153" t="s">
        <v>27</v>
      </c>
      <c r="F515" s="153" t="s">
        <v>716</v>
      </c>
      <c r="G515" s="154" t="s">
        <v>921</v>
      </c>
      <c r="H515" s="155" t="s">
        <v>25</v>
      </c>
      <c r="I515" s="155" t="s">
        <v>26</v>
      </c>
      <c r="J515" s="156">
        <v>3350</v>
      </c>
      <c r="K515" s="153" t="s">
        <v>218</v>
      </c>
      <c r="L515" s="158" t="s">
        <v>3780</v>
      </c>
    </row>
    <row r="516" spans="3:12" s="84" customFormat="1" ht="31.5">
      <c r="C516" s="136">
        <v>490</v>
      </c>
      <c r="D516" s="178" t="s">
        <v>29</v>
      </c>
      <c r="E516" s="2" t="s">
        <v>27</v>
      </c>
      <c r="F516" s="2" t="s">
        <v>716</v>
      </c>
      <c r="G516" s="79" t="s">
        <v>921</v>
      </c>
      <c r="H516" s="1" t="s">
        <v>17</v>
      </c>
      <c r="I516" s="1" t="s">
        <v>3598</v>
      </c>
      <c r="J516" s="80">
        <v>5032</v>
      </c>
      <c r="K516" s="2" t="s">
        <v>219</v>
      </c>
      <c r="L516" s="83"/>
    </row>
    <row r="517" spans="3:12" s="84" customFormat="1" ht="31.5">
      <c r="C517" s="136">
        <v>491</v>
      </c>
      <c r="D517" s="178" t="s">
        <v>28</v>
      </c>
      <c r="E517" s="2" t="s">
        <v>27</v>
      </c>
      <c r="F517" s="2" t="s">
        <v>716</v>
      </c>
      <c r="G517" s="79" t="s">
        <v>921</v>
      </c>
      <c r="H517" s="1" t="s">
        <v>3364</v>
      </c>
      <c r="I517" s="1" t="s">
        <v>29</v>
      </c>
      <c r="J517" s="80">
        <v>1000</v>
      </c>
      <c r="K517" s="2" t="s">
        <v>220</v>
      </c>
      <c r="L517" s="83"/>
    </row>
    <row r="518" spans="3:12" s="84" customFormat="1" ht="31.5">
      <c r="C518" s="136">
        <v>492</v>
      </c>
      <c r="D518" s="178" t="s">
        <v>30</v>
      </c>
      <c r="E518" s="2" t="s">
        <v>27</v>
      </c>
      <c r="F518" s="2" t="s">
        <v>716</v>
      </c>
      <c r="G518" s="79" t="s">
        <v>921</v>
      </c>
      <c r="H518" s="1" t="s">
        <v>31</v>
      </c>
      <c r="I518" s="1" t="s">
        <v>32</v>
      </c>
      <c r="J518" s="80">
        <v>500</v>
      </c>
      <c r="K518" s="2" t="s">
        <v>33</v>
      </c>
      <c r="L518" s="83"/>
    </row>
    <row r="519" spans="3:12" s="84" customFormat="1" ht="31.5">
      <c r="C519" s="136">
        <v>493</v>
      </c>
      <c r="D519" s="178" t="s">
        <v>34</v>
      </c>
      <c r="E519" s="2" t="s">
        <v>27</v>
      </c>
      <c r="F519" s="2" t="s">
        <v>716</v>
      </c>
      <c r="G519" s="79" t="s">
        <v>921</v>
      </c>
      <c r="H519" s="1" t="s">
        <v>35</v>
      </c>
      <c r="I519" s="1" t="s">
        <v>36</v>
      </c>
      <c r="J519" s="80">
        <v>500</v>
      </c>
      <c r="K519" s="2" t="s">
        <v>205</v>
      </c>
      <c r="L519" s="83"/>
    </row>
    <row r="520" spans="3:12" s="84" customFormat="1" ht="31.5">
      <c r="C520" s="136">
        <v>494</v>
      </c>
      <c r="D520" s="178" t="s">
        <v>37</v>
      </c>
      <c r="E520" s="2" t="s">
        <v>27</v>
      </c>
      <c r="F520" s="2" t="s">
        <v>716</v>
      </c>
      <c r="G520" s="79" t="s">
        <v>921</v>
      </c>
      <c r="H520" s="1" t="s">
        <v>38</v>
      </c>
      <c r="I520" s="1" t="s">
        <v>39</v>
      </c>
      <c r="J520" s="80">
        <v>1100</v>
      </c>
      <c r="K520" s="2" t="s">
        <v>149</v>
      </c>
      <c r="L520" s="83"/>
    </row>
    <row r="521" spans="3:12" s="84" customFormat="1" ht="31.5">
      <c r="C521" s="136">
        <v>495</v>
      </c>
      <c r="D521" s="178" t="s">
        <v>40</v>
      </c>
      <c r="E521" s="2" t="s">
        <v>27</v>
      </c>
      <c r="F521" s="2" t="s">
        <v>716</v>
      </c>
      <c r="G521" s="79" t="s">
        <v>921</v>
      </c>
      <c r="H521" s="1" t="s">
        <v>41</v>
      </c>
      <c r="I521" s="1" t="s">
        <v>232</v>
      </c>
      <c r="J521" s="80">
        <v>500</v>
      </c>
      <c r="K521" s="2" t="s">
        <v>42</v>
      </c>
      <c r="L521" s="83"/>
    </row>
    <row r="522" spans="3:12" s="84" customFormat="1" ht="31.5">
      <c r="C522" s="136">
        <v>496</v>
      </c>
      <c r="D522" s="178" t="s">
        <v>43</v>
      </c>
      <c r="E522" s="2" t="s">
        <v>27</v>
      </c>
      <c r="F522" s="2" t="s">
        <v>716</v>
      </c>
      <c r="G522" s="79" t="s">
        <v>921</v>
      </c>
      <c r="H522" s="1" t="s">
        <v>44</v>
      </c>
      <c r="I522" s="1" t="s">
        <v>45</v>
      </c>
      <c r="J522" s="80">
        <v>1400</v>
      </c>
      <c r="K522" s="2" t="s">
        <v>221</v>
      </c>
      <c r="L522" s="83"/>
    </row>
    <row r="523" spans="3:12" s="84" customFormat="1" ht="31.5">
      <c r="C523" s="136">
        <v>497</v>
      </c>
      <c r="D523" s="178" t="s">
        <v>839</v>
      </c>
      <c r="E523" s="2" t="s">
        <v>27</v>
      </c>
      <c r="F523" s="2" t="s">
        <v>716</v>
      </c>
      <c r="G523" s="79" t="s">
        <v>921</v>
      </c>
      <c r="H523" s="1" t="s">
        <v>3760</v>
      </c>
      <c r="I523" s="1" t="s">
        <v>1082</v>
      </c>
      <c r="J523" s="80">
        <v>3200</v>
      </c>
      <c r="K523" s="2" t="s">
        <v>163</v>
      </c>
      <c r="L523" s="83"/>
    </row>
    <row r="524" spans="3:12" s="84" customFormat="1" ht="31.5">
      <c r="C524" s="136">
        <v>498</v>
      </c>
      <c r="D524" s="178" t="s">
        <v>46</v>
      </c>
      <c r="E524" s="2" t="s">
        <v>27</v>
      </c>
      <c r="F524" s="2" t="s">
        <v>716</v>
      </c>
      <c r="G524" s="79" t="s">
        <v>921</v>
      </c>
      <c r="H524" s="1" t="s">
        <v>3363</v>
      </c>
      <c r="I524" s="1" t="s">
        <v>407</v>
      </c>
      <c r="J524" s="80">
        <v>1500</v>
      </c>
      <c r="K524" s="2" t="s">
        <v>155</v>
      </c>
      <c r="L524" s="83"/>
    </row>
    <row r="525" spans="3:12" s="84" customFormat="1" ht="31.5">
      <c r="C525" s="136">
        <v>499</v>
      </c>
      <c r="D525" s="178" t="s">
        <v>3711</v>
      </c>
      <c r="E525" s="2" t="s">
        <v>27</v>
      </c>
      <c r="F525" s="2" t="s">
        <v>716</v>
      </c>
      <c r="G525" s="79" t="s">
        <v>921</v>
      </c>
      <c r="H525" s="1" t="s">
        <v>3362</v>
      </c>
      <c r="I525" s="1" t="s">
        <v>47</v>
      </c>
      <c r="J525" s="80">
        <v>300</v>
      </c>
      <c r="K525" s="2" t="s">
        <v>222</v>
      </c>
      <c r="L525" s="83"/>
    </row>
    <row r="526" spans="3:12" s="84" customFormat="1" ht="31.5">
      <c r="C526" s="136">
        <v>500</v>
      </c>
      <c r="D526" s="178" t="s">
        <v>3712</v>
      </c>
      <c r="E526" s="2" t="s">
        <v>27</v>
      </c>
      <c r="F526" s="2" t="s">
        <v>716</v>
      </c>
      <c r="G526" s="79" t="s">
        <v>921</v>
      </c>
      <c r="H526" s="1" t="s">
        <v>3761</v>
      </c>
      <c r="I526" s="1" t="s">
        <v>3421</v>
      </c>
      <c r="J526" s="80">
        <v>870</v>
      </c>
      <c r="K526" s="2" t="s">
        <v>223</v>
      </c>
      <c r="L526" s="83"/>
    </row>
    <row r="527" spans="3:12" s="157" customFormat="1" ht="31.5">
      <c r="C527" s="152">
        <v>501</v>
      </c>
      <c r="D527" s="178" t="s">
        <v>3606</v>
      </c>
      <c r="E527" s="153" t="s">
        <v>27</v>
      </c>
      <c r="F527" s="153" t="s">
        <v>716</v>
      </c>
      <c r="G527" s="154" t="s">
        <v>921</v>
      </c>
      <c r="H527" s="155" t="s">
        <v>48</v>
      </c>
      <c r="I527" s="155" t="s">
        <v>49</v>
      </c>
      <c r="J527" s="156">
        <v>6000</v>
      </c>
      <c r="K527" s="153" t="s">
        <v>224</v>
      </c>
      <c r="L527" s="158" t="s">
        <v>3780</v>
      </c>
    </row>
    <row r="528" spans="3:12" s="84" customFormat="1" ht="31.5">
      <c r="C528" s="136">
        <v>502</v>
      </c>
      <c r="D528" s="178" t="s">
        <v>1085</v>
      </c>
      <c r="E528" s="2" t="s">
        <v>27</v>
      </c>
      <c r="F528" s="2" t="s">
        <v>716</v>
      </c>
      <c r="G528" s="79" t="s">
        <v>921</v>
      </c>
      <c r="H528" s="1" t="s">
        <v>1084</v>
      </c>
      <c r="I528" s="1" t="s">
        <v>3420</v>
      </c>
      <c r="J528" s="80">
        <v>2296</v>
      </c>
      <c r="K528" s="2" t="s">
        <v>225</v>
      </c>
      <c r="L528" s="83"/>
    </row>
    <row r="529" spans="3:12" s="84" customFormat="1" ht="31.5">
      <c r="C529" s="136">
        <v>503</v>
      </c>
      <c r="D529" s="178" t="s">
        <v>3262</v>
      </c>
      <c r="E529" s="2" t="s">
        <v>27</v>
      </c>
      <c r="F529" s="2" t="s">
        <v>716</v>
      </c>
      <c r="G529" s="79" t="s">
        <v>921</v>
      </c>
      <c r="H529" s="1" t="s">
        <v>3361</v>
      </c>
      <c r="I529" s="1" t="s">
        <v>367</v>
      </c>
      <c r="J529" s="80">
        <v>2500</v>
      </c>
      <c r="K529" s="2" t="s">
        <v>154</v>
      </c>
      <c r="L529" s="83"/>
    </row>
    <row r="530" spans="3:12" s="84" customFormat="1" ht="31.5">
      <c r="C530" s="136">
        <v>504</v>
      </c>
      <c r="D530" s="178" t="s">
        <v>3467</v>
      </c>
      <c r="E530" s="2" t="s">
        <v>27</v>
      </c>
      <c r="F530" s="2" t="s">
        <v>716</v>
      </c>
      <c r="G530" s="79" t="s">
        <v>921</v>
      </c>
      <c r="H530" s="1" t="s">
        <v>3361</v>
      </c>
      <c r="I530" s="1" t="s">
        <v>994</v>
      </c>
      <c r="J530" s="80">
        <v>3300</v>
      </c>
      <c r="K530" s="2" t="s">
        <v>154</v>
      </c>
      <c r="L530" s="83"/>
    </row>
    <row r="531" spans="3:12" s="84" customFormat="1" ht="31.5">
      <c r="C531" s="136">
        <v>505</v>
      </c>
      <c r="D531" s="178" t="s">
        <v>51</v>
      </c>
      <c r="E531" s="2" t="s">
        <v>27</v>
      </c>
      <c r="F531" s="2" t="s">
        <v>716</v>
      </c>
      <c r="G531" s="79" t="s">
        <v>921</v>
      </c>
      <c r="H531" s="1" t="s">
        <v>50</v>
      </c>
      <c r="I531" s="1" t="s">
        <v>52</v>
      </c>
      <c r="J531" s="80">
        <v>3500</v>
      </c>
      <c r="K531" s="2" t="s">
        <v>176</v>
      </c>
      <c r="L531" s="83"/>
    </row>
    <row r="532" spans="3:12" s="84" customFormat="1" ht="31.5">
      <c r="C532" s="136">
        <v>506</v>
      </c>
      <c r="D532" s="178" t="s">
        <v>53</v>
      </c>
      <c r="E532" s="2" t="s">
        <v>27</v>
      </c>
      <c r="F532" s="2" t="s">
        <v>716</v>
      </c>
      <c r="G532" s="79" t="s">
        <v>921</v>
      </c>
      <c r="H532" s="1" t="s">
        <v>50</v>
      </c>
      <c r="I532" s="1" t="s">
        <v>54</v>
      </c>
      <c r="J532" s="80">
        <v>1000</v>
      </c>
      <c r="K532" s="2" t="s">
        <v>55</v>
      </c>
      <c r="L532" s="83"/>
    </row>
    <row r="533" spans="3:12" s="84" customFormat="1" ht="31.5">
      <c r="C533" s="136">
        <v>507</v>
      </c>
      <c r="D533" s="178" t="s">
        <v>56</v>
      </c>
      <c r="E533" s="2" t="s">
        <v>27</v>
      </c>
      <c r="F533" s="2" t="s">
        <v>716</v>
      </c>
      <c r="G533" s="79" t="s">
        <v>921</v>
      </c>
      <c r="H533" s="1" t="s">
        <v>53</v>
      </c>
      <c r="I533" s="1" t="s">
        <v>3422</v>
      </c>
      <c r="J533" s="80">
        <v>600</v>
      </c>
      <c r="K533" s="2" t="s">
        <v>156</v>
      </c>
      <c r="L533" s="83"/>
    </row>
    <row r="534" spans="3:12" s="84" customFormat="1" ht="31.5">
      <c r="C534" s="136">
        <v>508</v>
      </c>
      <c r="D534" s="178" t="s">
        <v>57</v>
      </c>
      <c r="E534" s="2" t="s">
        <v>27</v>
      </c>
      <c r="F534" s="2" t="s">
        <v>716</v>
      </c>
      <c r="G534" s="79" t="s">
        <v>921</v>
      </c>
      <c r="H534" s="1" t="s">
        <v>50</v>
      </c>
      <c r="I534" s="1" t="s">
        <v>52</v>
      </c>
      <c r="J534" s="80">
        <v>3000</v>
      </c>
      <c r="K534" s="2" t="s">
        <v>226</v>
      </c>
      <c r="L534" s="83"/>
    </row>
    <row r="535" spans="3:12" s="84" customFormat="1" ht="31.5">
      <c r="C535" s="136">
        <v>509</v>
      </c>
      <c r="D535" s="178" t="s">
        <v>58</v>
      </c>
      <c r="E535" s="2" t="s">
        <v>27</v>
      </c>
      <c r="F535" s="2" t="s">
        <v>716</v>
      </c>
      <c r="G535" s="79" t="s">
        <v>921</v>
      </c>
      <c r="H535" s="1" t="s">
        <v>59</v>
      </c>
      <c r="I535" s="1" t="s">
        <v>45</v>
      </c>
      <c r="J535" s="80">
        <v>1439</v>
      </c>
      <c r="K535" s="2" t="s">
        <v>227</v>
      </c>
      <c r="L535" s="83"/>
    </row>
    <row r="536" spans="3:12" s="84" customFormat="1" ht="31.5">
      <c r="C536" s="136">
        <v>510</v>
      </c>
      <c r="D536" s="178" t="s">
        <v>60</v>
      </c>
      <c r="E536" s="2" t="s">
        <v>27</v>
      </c>
      <c r="F536" s="2" t="s">
        <v>716</v>
      </c>
      <c r="G536" s="79" t="s">
        <v>921</v>
      </c>
      <c r="H536" s="1" t="s">
        <v>61</v>
      </c>
      <c r="I536" s="1" t="s">
        <v>62</v>
      </c>
      <c r="J536" s="80">
        <v>2000</v>
      </c>
      <c r="K536" s="2" t="s">
        <v>645</v>
      </c>
      <c r="L536" s="83"/>
    </row>
    <row r="537" spans="3:12" s="84" customFormat="1" ht="31.5">
      <c r="C537" s="136">
        <v>511</v>
      </c>
      <c r="D537" s="178" t="s">
        <v>3263</v>
      </c>
      <c r="E537" s="2" t="s">
        <v>27</v>
      </c>
      <c r="F537" s="2" t="s">
        <v>716</v>
      </c>
      <c r="G537" s="79" t="s">
        <v>921</v>
      </c>
      <c r="H537" s="1" t="s">
        <v>60</v>
      </c>
      <c r="I537" s="1" t="s">
        <v>407</v>
      </c>
      <c r="J537" s="80">
        <v>800</v>
      </c>
      <c r="K537" s="2" t="s">
        <v>156</v>
      </c>
      <c r="L537" s="83"/>
    </row>
    <row r="538" spans="3:12" s="84" customFormat="1" ht="31.5">
      <c r="C538" s="136">
        <v>512</v>
      </c>
      <c r="D538" s="178" t="s">
        <v>3264</v>
      </c>
      <c r="E538" s="2" t="s">
        <v>27</v>
      </c>
      <c r="F538" s="2" t="s">
        <v>716</v>
      </c>
      <c r="G538" s="79" t="s">
        <v>921</v>
      </c>
      <c r="H538" s="1" t="s">
        <v>60</v>
      </c>
      <c r="I538" s="1" t="s">
        <v>407</v>
      </c>
      <c r="J538" s="80">
        <v>600</v>
      </c>
      <c r="K538" s="2" t="s">
        <v>156</v>
      </c>
      <c r="L538" s="83"/>
    </row>
    <row r="539" spans="3:12" s="84" customFormat="1" ht="31.5">
      <c r="C539" s="136">
        <v>513</v>
      </c>
      <c r="D539" s="178" t="s">
        <v>3265</v>
      </c>
      <c r="E539" s="2" t="s">
        <v>27</v>
      </c>
      <c r="F539" s="2" t="s">
        <v>716</v>
      </c>
      <c r="G539" s="79" t="s">
        <v>921</v>
      </c>
      <c r="H539" s="1" t="s">
        <v>60</v>
      </c>
      <c r="I539" s="1" t="s">
        <v>407</v>
      </c>
      <c r="J539" s="80">
        <v>1000</v>
      </c>
      <c r="K539" s="2" t="s">
        <v>156</v>
      </c>
      <c r="L539" s="83"/>
    </row>
    <row r="540" spans="3:12" s="84" customFormat="1" ht="31.5">
      <c r="C540" s="136">
        <v>514</v>
      </c>
      <c r="D540" s="178" t="s">
        <v>3266</v>
      </c>
      <c r="E540" s="2" t="s">
        <v>27</v>
      </c>
      <c r="F540" s="2" t="s">
        <v>716</v>
      </c>
      <c r="G540" s="79" t="s">
        <v>921</v>
      </c>
      <c r="H540" s="1" t="s">
        <v>60</v>
      </c>
      <c r="I540" s="1" t="s">
        <v>407</v>
      </c>
      <c r="J540" s="80">
        <v>400</v>
      </c>
      <c r="K540" s="2" t="s">
        <v>156</v>
      </c>
      <c r="L540" s="83"/>
    </row>
    <row r="541" spans="3:12" s="84" customFormat="1" ht="31.5">
      <c r="C541" s="136">
        <v>515</v>
      </c>
      <c r="D541" s="178" t="s">
        <v>3267</v>
      </c>
      <c r="E541" s="2" t="s">
        <v>27</v>
      </c>
      <c r="F541" s="2" t="s">
        <v>716</v>
      </c>
      <c r="G541" s="79" t="s">
        <v>921</v>
      </c>
      <c r="H541" s="1" t="s">
        <v>60</v>
      </c>
      <c r="I541" s="1" t="s">
        <v>407</v>
      </c>
      <c r="J541" s="80">
        <v>400</v>
      </c>
      <c r="K541" s="2" t="s">
        <v>156</v>
      </c>
      <c r="L541" s="83"/>
    </row>
    <row r="542" spans="3:12" s="84" customFormat="1" ht="31.5">
      <c r="C542" s="136">
        <v>516</v>
      </c>
      <c r="D542" s="178" t="s">
        <v>3268</v>
      </c>
      <c r="E542" s="2" t="s">
        <v>27</v>
      </c>
      <c r="F542" s="2" t="s">
        <v>716</v>
      </c>
      <c r="G542" s="79" t="s">
        <v>921</v>
      </c>
      <c r="H542" s="1" t="s">
        <v>60</v>
      </c>
      <c r="I542" s="1" t="s">
        <v>407</v>
      </c>
      <c r="J542" s="80">
        <v>400</v>
      </c>
      <c r="K542" s="2" t="s">
        <v>156</v>
      </c>
      <c r="L542" s="83"/>
    </row>
    <row r="543" spans="3:12" s="84" customFormat="1" ht="31.5">
      <c r="C543" s="136">
        <v>517</v>
      </c>
      <c r="D543" s="178" t="s">
        <v>396</v>
      </c>
      <c r="E543" s="2" t="s">
        <v>27</v>
      </c>
      <c r="F543" s="2" t="s">
        <v>716</v>
      </c>
      <c r="G543" s="79" t="s">
        <v>921</v>
      </c>
      <c r="H543" s="1" t="s">
        <v>50</v>
      </c>
      <c r="I543" s="1" t="s">
        <v>61</v>
      </c>
      <c r="J543" s="80">
        <v>3000</v>
      </c>
      <c r="K543" s="2" t="s">
        <v>176</v>
      </c>
      <c r="L543" s="83"/>
    </row>
    <row r="544" spans="3:12" s="84" customFormat="1" ht="31.5">
      <c r="C544" s="136">
        <v>518</v>
      </c>
      <c r="D544" s="178" t="s">
        <v>63</v>
      </c>
      <c r="E544" s="2" t="s">
        <v>27</v>
      </c>
      <c r="F544" s="2" t="s">
        <v>716</v>
      </c>
      <c r="G544" s="79" t="s">
        <v>921</v>
      </c>
      <c r="H544" s="1" t="s">
        <v>50</v>
      </c>
      <c r="I544" s="1" t="s">
        <v>54</v>
      </c>
      <c r="J544" s="80">
        <v>3000</v>
      </c>
      <c r="K544" s="2" t="s">
        <v>645</v>
      </c>
      <c r="L544" s="83"/>
    </row>
    <row r="545" spans="3:12" s="84" customFormat="1" ht="31.5">
      <c r="C545" s="136">
        <v>519</v>
      </c>
      <c r="D545" s="178" t="s">
        <v>64</v>
      </c>
      <c r="E545" s="2" t="s">
        <v>27</v>
      </c>
      <c r="F545" s="2" t="s">
        <v>716</v>
      </c>
      <c r="G545" s="79" t="s">
        <v>921</v>
      </c>
      <c r="H545" s="1" t="s">
        <v>3360</v>
      </c>
      <c r="I545" s="1" t="s">
        <v>3423</v>
      </c>
      <c r="J545" s="80">
        <v>800</v>
      </c>
      <c r="K545" s="2" t="s">
        <v>150</v>
      </c>
      <c r="L545" s="83"/>
    </row>
    <row r="546" spans="3:12" s="84" customFormat="1" ht="31.5">
      <c r="C546" s="136">
        <v>520</v>
      </c>
      <c r="D546" s="178" t="s">
        <v>65</v>
      </c>
      <c r="E546" s="2" t="s">
        <v>27</v>
      </c>
      <c r="F546" s="2" t="s">
        <v>716</v>
      </c>
      <c r="G546" s="79" t="s">
        <v>921</v>
      </c>
      <c r="H546" s="1" t="s">
        <v>3360</v>
      </c>
      <c r="I546" s="1" t="s">
        <v>53</v>
      </c>
      <c r="J546" s="80">
        <v>700</v>
      </c>
      <c r="K546" s="2" t="s">
        <v>150</v>
      </c>
      <c r="L546" s="83"/>
    </row>
    <row r="547" spans="3:12" s="84" customFormat="1" ht="31.5">
      <c r="C547" s="136">
        <v>521</v>
      </c>
      <c r="D547" s="178" t="s">
        <v>66</v>
      </c>
      <c r="E547" s="2" t="s">
        <v>27</v>
      </c>
      <c r="F547" s="2" t="s">
        <v>716</v>
      </c>
      <c r="G547" s="79" t="s">
        <v>921</v>
      </c>
      <c r="H547" s="1" t="s">
        <v>3360</v>
      </c>
      <c r="I547" s="1" t="s">
        <v>53</v>
      </c>
      <c r="J547" s="80">
        <v>750</v>
      </c>
      <c r="K547" s="2" t="s">
        <v>154</v>
      </c>
      <c r="L547" s="83"/>
    </row>
    <row r="548" spans="3:12" s="84" customFormat="1" ht="31.5">
      <c r="C548" s="136">
        <v>522</v>
      </c>
      <c r="D548" s="178" t="s">
        <v>67</v>
      </c>
      <c r="E548" s="2" t="s">
        <v>27</v>
      </c>
      <c r="F548" s="2" t="s">
        <v>716</v>
      </c>
      <c r="G548" s="79" t="s">
        <v>921</v>
      </c>
      <c r="H548" s="1" t="s">
        <v>3360</v>
      </c>
      <c r="I548" s="1" t="s">
        <v>3424</v>
      </c>
      <c r="J548" s="80">
        <v>600</v>
      </c>
      <c r="K548" s="2" t="s">
        <v>154</v>
      </c>
      <c r="L548" s="83"/>
    </row>
    <row r="549" spans="3:12" s="84" customFormat="1" ht="31.5">
      <c r="C549" s="136">
        <v>523</v>
      </c>
      <c r="D549" s="178" t="s">
        <v>68</v>
      </c>
      <c r="E549" s="2" t="s">
        <v>27</v>
      </c>
      <c r="F549" s="2" t="s">
        <v>716</v>
      </c>
      <c r="G549" s="79" t="s">
        <v>921</v>
      </c>
      <c r="H549" s="1" t="s">
        <v>69</v>
      </c>
      <c r="I549" s="1" t="s">
        <v>562</v>
      </c>
      <c r="J549" s="80">
        <v>2800</v>
      </c>
      <c r="K549" s="2" t="s">
        <v>152</v>
      </c>
      <c r="L549" s="83"/>
    </row>
    <row r="550" spans="3:12" s="84" customFormat="1" ht="31.5">
      <c r="C550" s="136">
        <v>524</v>
      </c>
      <c r="D550" s="178" t="s">
        <v>70</v>
      </c>
      <c r="E550" s="2" t="s">
        <v>27</v>
      </c>
      <c r="F550" s="2" t="s">
        <v>716</v>
      </c>
      <c r="G550" s="79" t="s">
        <v>921</v>
      </c>
      <c r="H550" s="1" t="s">
        <v>71</v>
      </c>
      <c r="I550" s="1" t="s">
        <v>72</v>
      </c>
      <c r="J550" s="80">
        <v>720</v>
      </c>
      <c r="K550" s="2" t="s">
        <v>224</v>
      </c>
      <c r="L550" s="83"/>
    </row>
    <row r="551" spans="3:12" s="84" customFormat="1" ht="31.5">
      <c r="C551" s="136">
        <v>525</v>
      </c>
      <c r="D551" s="178" t="s">
        <v>73</v>
      </c>
      <c r="E551" s="2" t="s">
        <v>27</v>
      </c>
      <c r="F551" s="2" t="s">
        <v>716</v>
      </c>
      <c r="G551" s="79" t="s">
        <v>921</v>
      </c>
      <c r="H551" s="1" t="s">
        <v>1086</v>
      </c>
      <c r="I551" s="1" t="s">
        <v>407</v>
      </c>
      <c r="J551" s="80">
        <v>1350</v>
      </c>
      <c r="K551" s="2" t="s">
        <v>228</v>
      </c>
      <c r="L551" s="83"/>
    </row>
    <row r="552" spans="3:12" s="84" customFormat="1" ht="31.5">
      <c r="C552" s="136">
        <v>526</v>
      </c>
      <c r="D552" s="178" t="s">
        <v>75</v>
      </c>
      <c r="E552" s="2" t="s">
        <v>27</v>
      </c>
      <c r="F552" s="2" t="s">
        <v>716</v>
      </c>
      <c r="G552" s="79" t="s">
        <v>921</v>
      </c>
      <c r="H552" s="1" t="s">
        <v>74</v>
      </c>
      <c r="I552" s="1" t="s">
        <v>29</v>
      </c>
      <c r="J552" s="80">
        <v>1900</v>
      </c>
      <c r="K552" s="2" t="s">
        <v>228</v>
      </c>
      <c r="L552" s="83"/>
    </row>
    <row r="553" spans="3:12" s="84" customFormat="1" ht="31.5">
      <c r="C553" s="136">
        <v>527</v>
      </c>
      <c r="D553" s="178" t="s">
        <v>76</v>
      </c>
      <c r="E553" s="2" t="s">
        <v>27</v>
      </c>
      <c r="F553" s="2" t="s">
        <v>716</v>
      </c>
      <c r="G553" s="79" t="s">
        <v>921</v>
      </c>
      <c r="H553" s="1" t="s">
        <v>74</v>
      </c>
      <c r="I553" s="1" t="s">
        <v>77</v>
      </c>
      <c r="J553" s="80">
        <v>1000</v>
      </c>
      <c r="K553" s="2" t="s">
        <v>228</v>
      </c>
      <c r="L553" s="83"/>
    </row>
    <row r="554" spans="3:12" s="84" customFormat="1" ht="31.5">
      <c r="C554" s="136">
        <v>528</v>
      </c>
      <c r="D554" s="178" t="s">
        <v>78</v>
      </c>
      <c r="E554" s="2" t="s">
        <v>27</v>
      </c>
      <c r="F554" s="2" t="s">
        <v>716</v>
      </c>
      <c r="G554" s="79" t="s">
        <v>921</v>
      </c>
      <c r="H554" s="1" t="s">
        <v>79</v>
      </c>
      <c r="I554" s="1" t="s">
        <v>80</v>
      </c>
      <c r="J554" s="80">
        <v>350</v>
      </c>
      <c r="K554" s="2" t="s">
        <v>163</v>
      </c>
      <c r="L554" s="83"/>
    </row>
    <row r="555" spans="3:12" s="84" customFormat="1" ht="31.5">
      <c r="C555" s="136">
        <v>529</v>
      </c>
      <c r="D555" s="178" t="s">
        <v>81</v>
      </c>
      <c r="E555" s="2" t="s">
        <v>27</v>
      </c>
      <c r="F555" s="2" t="s">
        <v>716</v>
      </c>
      <c r="G555" s="79" t="s">
        <v>921</v>
      </c>
      <c r="H555" s="1" t="s">
        <v>387</v>
      </c>
      <c r="I555" s="1" t="s">
        <v>80</v>
      </c>
      <c r="J555" s="80">
        <v>1000</v>
      </c>
      <c r="K555" s="2" t="s">
        <v>155</v>
      </c>
      <c r="L555" s="83"/>
    </row>
    <row r="556" spans="3:12" s="84" customFormat="1" ht="31.5">
      <c r="C556" s="136">
        <v>530</v>
      </c>
      <c r="D556" s="178" t="s">
        <v>82</v>
      </c>
      <c r="E556" s="2" t="s">
        <v>27</v>
      </c>
      <c r="F556" s="2" t="s">
        <v>716</v>
      </c>
      <c r="G556" s="79" t="s">
        <v>921</v>
      </c>
      <c r="H556" s="1" t="s">
        <v>387</v>
      </c>
      <c r="I556" s="1" t="s">
        <v>80</v>
      </c>
      <c r="J556" s="80">
        <v>900</v>
      </c>
      <c r="K556" s="2" t="s">
        <v>153</v>
      </c>
      <c r="L556" s="83"/>
    </row>
    <row r="557" spans="3:12" s="84" customFormat="1" ht="31.5">
      <c r="C557" s="136">
        <v>531</v>
      </c>
      <c r="D557" s="178" t="s">
        <v>83</v>
      </c>
      <c r="E557" s="2" t="s">
        <v>27</v>
      </c>
      <c r="F557" s="2" t="s">
        <v>716</v>
      </c>
      <c r="G557" s="79" t="s">
        <v>921</v>
      </c>
      <c r="H557" s="1" t="s">
        <v>84</v>
      </c>
      <c r="I557" s="1" t="s">
        <v>80</v>
      </c>
      <c r="J557" s="80">
        <v>750</v>
      </c>
      <c r="K557" s="2" t="s">
        <v>156</v>
      </c>
      <c r="L557" s="83"/>
    </row>
    <row r="558" spans="3:12" s="84" customFormat="1" ht="31.5">
      <c r="C558" s="136">
        <v>532</v>
      </c>
      <c r="D558" s="178" t="s">
        <v>85</v>
      </c>
      <c r="E558" s="2" t="s">
        <v>27</v>
      </c>
      <c r="F558" s="2" t="s">
        <v>716</v>
      </c>
      <c r="G558" s="79" t="s">
        <v>921</v>
      </c>
      <c r="H558" s="1" t="s">
        <v>387</v>
      </c>
      <c r="I558" s="1" t="s">
        <v>80</v>
      </c>
      <c r="J558" s="80">
        <v>500</v>
      </c>
      <c r="K558" s="2" t="s">
        <v>161</v>
      </c>
      <c r="L558" s="83"/>
    </row>
    <row r="559" spans="3:12" s="84" customFormat="1" ht="31.5">
      <c r="C559" s="136">
        <v>533</v>
      </c>
      <c r="D559" s="178" t="s">
        <v>86</v>
      </c>
      <c r="E559" s="2" t="s">
        <v>27</v>
      </c>
      <c r="F559" s="2" t="s">
        <v>716</v>
      </c>
      <c r="G559" s="79" t="s">
        <v>921</v>
      </c>
      <c r="H559" s="1" t="s">
        <v>3359</v>
      </c>
      <c r="I559" s="1" t="s">
        <v>80</v>
      </c>
      <c r="J559" s="80">
        <v>800</v>
      </c>
      <c r="K559" s="2" t="s">
        <v>157</v>
      </c>
      <c r="L559" s="83"/>
    </row>
    <row r="560" spans="3:12" s="84" customFormat="1" ht="31.5">
      <c r="C560" s="136">
        <v>534</v>
      </c>
      <c r="D560" s="178" t="s">
        <v>87</v>
      </c>
      <c r="E560" s="2" t="s">
        <v>27</v>
      </c>
      <c r="F560" s="2" t="s">
        <v>716</v>
      </c>
      <c r="G560" s="79" t="s">
        <v>921</v>
      </c>
      <c r="H560" s="1" t="s">
        <v>3358</v>
      </c>
      <c r="I560" s="1" t="s">
        <v>407</v>
      </c>
      <c r="J560" s="80">
        <v>500</v>
      </c>
      <c r="K560" s="2" t="s">
        <v>165</v>
      </c>
      <c r="L560" s="83"/>
    </row>
    <row r="561" spans="3:12" s="84" customFormat="1" ht="31.5">
      <c r="C561" s="136">
        <v>535</v>
      </c>
      <c r="D561" s="178" t="s">
        <v>88</v>
      </c>
      <c r="E561" s="2" t="s">
        <v>27</v>
      </c>
      <c r="F561" s="2" t="s">
        <v>716</v>
      </c>
      <c r="G561" s="79" t="s">
        <v>921</v>
      </c>
      <c r="H561" s="1" t="s">
        <v>3358</v>
      </c>
      <c r="I561" s="1" t="s">
        <v>407</v>
      </c>
      <c r="J561" s="80">
        <v>600</v>
      </c>
      <c r="K561" s="2" t="s">
        <v>165</v>
      </c>
      <c r="L561" s="83"/>
    </row>
    <row r="562" spans="3:12" s="84" customFormat="1" ht="31.5">
      <c r="C562" s="136">
        <v>536</v>
      </c>
      <c r="D562" s="178" t="s">
        <v>89</v>
      </c>
      <c r="E562" s="2" t="s">
        <v>27</v>
      </c>
      <c r="F562" s="2" t="s">
        <v>716</v>
      </c>
      <c r="G562" s="79" t="s">
        <v>921</v>
      </c>
      <c r="H562" s="1" t="s">
        <v>3358</v>
      </c>
      <c r="I562" s="1" t="s">
        <v>407</v>
      </c>
      <c r="J562" s="80">
        <v>500</v>
      </c>
      <c r="K562" s="2" t="s">
        <v>154</v>
      </c>
      <c r="L562" s="83"/>
    </row>
    <row r="563" spans="3:12" s="84" customFormat="1" ht="31.5">
      <c r="C563" s="136">
        <v>537</v>
      </c>
      <c r="D563" s="178" t="s">
        <v>90</v>
      </c>
      <c r="E563" s="2" t="s">
        <v>27</v>
      </c>
      <c r="F563" s="2" t="s">
        <v>716</v>
      </c>
      <c r="G563" s="79" t="s">
        <v>921</v>
      </c>
      <c r="H563" s="1" t="s">
        <v>3358</v>
      </c>
      <c r="I563" s="1" t="s">
        <v>407</v>
      </c>
      <c r="J563" s="80">
        <v>400</v>
      </c>
      <c r="K563" s="2" t="s">
        <v>150</v>
      </c>
      <c r="L563" s="83"/>
    </row>
    <row r="564" spans="3:12" s="84" customFormat="1" ht="31.5">
      <c r="C564" s="136">
        <v>538</v>
      </c>
      <c r="D564" s="178" t="s">
        <v>91</v>
      </c>
      <c r="E564" s="2" t="s">
        <v>27</v>
      </c>
      <c r="F564" s="2" t="s">
        <v>716</v>
      </c>
      <c r="G564" s="79" t="s">
        <v>921</v>
      </c>
      <c r="H564" s="1" t="s">
        <v>3358</v>
      </c>
      <c r="I564" s="1" t="s">
        <v>3425</v>
      </c>
      <c r="J564" s="80">
        <v>1200</v>
      </c>
      <c r="K564" s="2" t="s">
        <v>155</v>
      </c>
      <c r="L564" s="83"/>
    </row>
    <row r="565" spans="3:12" s="84" customFormat="1" ht="31.5">
      <c r="C565" s="136">
        <v>539</v>
      </c>
      <c r="D565" s="178" t="s">
        <v>92</v>
      </c>
      <c r="E565" s="2" t="s">
        <v>27</v>
      </c>
      <c r="F565" s="2" t="s">
        <v>716</v>
      </c>
      <c r="G565" s="79" t="s">
        <v>921</v>
      </c>
      <c r="H565" s="1" t="s">
        <v>80</v>
      </c>
      <c r="I565" s="1" t="s">
        <v>407</v>
      </c>
      <c r="J565" s="80">
        <v>3000</v>
      </c>
      <c r="K565" s="2" t="s">
        <v>159</v>
      </c>
      <c r="L565" s="83"/>
    </row>
    <row r="566" spans="3:12" s="84" customFormat="1" ht="31.5">
      <c r="C566" s="136">
        <v>540</v>
      </c>
      <c r="D566" s="178" t="s">
        <v>3468</v>
      </c>
      <c r="E566" s="2" t="s">
        <v>27</v>
      </c>
      <c r="F566" s="2" t="s">
        <v>716</v>
      </c>
      <c r="G566" s="79" t="s">
        <v>921</v>
      </c>
      <c r="H566" s="1" t="s">
        <v>3357</v>
      </c>
      <c r="I566" s="1" t="s">
        <v>407</v>
      </c>
      <c r="J566" s="80">
        <v>3500</v>
      </c>
      <c r="K566" s="2" t="s">
        <v>155</v>
      </c>
      <c r="L566" s="83"/>
    </row>
    <row r="567" spans="3:12" s="84" customFormat="1" ht="31.5">
      <c r="C567" s="136">
        <v>541</v>
      </c>
      <c r="D567" s="178" t="s">
        <v>3469</v>
      </c>
      <c r="E567" s="2" t="s">
        <v>27</v>
      </c>
      <c r="F567" s="2" t="s">
        <v>716</v>
      </c>
      <c r="G567" s="79" t="s">
        <v>921</v>
      </c>
      <c r="H567" s="1" t="s">
        <v>3357</v>
      </c>
      <c r="I567" s="1" t="s">
        <v>407</v>
      </c>
      <c r="J567" s="80">
        <v>500</v>
      </c>
      <c r="K567" s="2" t="s">
        <v>156</v>
      </c>
      <c r="L567" s="83"/>
    </row>
    <row r="568" spans="3:12" s="84" customFormat="1" ht="31.5">
      <c r="C568" s="136">
        <v>542</v>
      </c>
      <c r="D568" s="178" t="s">
        <v>3470</v>
      </c>
      <c r="E568" s="2" t="s">
        <v>27</v>
      </c>
      <c r="F568" s="2" t="s">
        <v>716</v>
      </c>
      <c r="G568" s="79" t="s">
        <v>921</v>
      </c>
      <c r="H568" s="1" t="s">
        <v>3357</v>
      </c>
      <c r="I568" s="1" t="s">
        <v>407</v>
      </c>
      <c r="J568" s="80">
        <v>500</v>
      </c>
      <c r="K568" s="2" t="s">
        <v>156</v>
      </c>
      <c r="L568" s="83"/>
    </row>
    <row r="569" spans="3:12" s="84" customFormat="1" ht="31.5">
      <c r="C569" s="136">
        <v>543</v>
      </c>
      <c r="D569" s="178" t="s">
        <v>3269</v>
      </c>
      <c r="E569" s="2" t="s">
        <v>27</v>
      </c>
      <c r="F569" s="2" t="s">
        <v>716</v>
      </c>
      <c r="G569" s="79" t="s">
        <v>921</v>
      </c>
      <c r="H569" s="1" t="s">
        <v>72</v>
      </c>
      <c r="I569" s="1" t="s">
        <v>407</v>
      </c>
      <c r="J569" s="80">
        <v>500</v>
      </c>
      <c r="K569" s="2" t="s">
        <v>154</v>
      </c>
      <c r="L569" s="83"/>
    </row>
    <row r="570" spans="3:12" s="84" customFormat="1" ht="31.5">
      <c r="C570" s="136">
        <v>544</v>
      </c>
      <c r="D570" s="178" t="s">
        <v>3270</v>
      </c>
      <c r="E570" s="2" t="s">
        <v>27</v>
      </c>
      <c r="F570" s="2" t="s">
        <v>716</v>
      </c>
      <c r="G570" s="79" t="s">
        <v>921</v>
      </c>
      <c r="H570" s="1" t="s">
        <v>72</v>
      </c>
      <c r="I570" s="1" t="s">
        <v>3426</v>
      </c>
      <c r="J570" s="80">
        <v>700</v>
      </c>
      <c r="K570" s="2" t="s">
        <v>153</v>
      </c>
      <c r="L570" s="83"/>
    </row>
    <row r="571" spans="3:12" s="84" customFormat="1" ht="31.5">
      <c r="C571" s="136">
        <v>545</v>
      </c>
      <c r="D571" s="178" t="s">
        <v>3271</v>
      </c>
      <c r="E571" s="2" t="s">
        <v>27</v>
      </c>
      <c r="F571" s="2" t="s">
        <v>716</v>
      </c>
      <c r="G571" s="79" t="s">
        <v>921</v>
      </c>
      <c r="H571" s="1" t="s">
        <v>72</v>
      </c>
      <c r="I571" s="1" t="s">
        <v>407</v>
      </c>
      <c r="J571" s="80">
        <v>350</v>
      </c>
      <c r="K571" s="2" t="s">
        <v>150</v>
      </c>
      <c r="L571" s="83"/>
    </row>
    <row r="572" spans="3:12" s="84" customFormat="1" ht="31.5">
      <c r="C572" s="136">
        <v>546</v>
      </c>
      <c r="D572" s="178" t="s">
        <v>3272</v>
      </c>
      <c r="E572" s="2" t="s">
        <v>27</v>
      </c>
      <c r="F572" s="2" t="s">
        <v>716</v>
      </c>
      <c r="G572" s="79" t="s">
        <v>921</v>
      </c>
      <c r="H572" s="1" t="s">
        <v>72</v>
      </c>
      <c r="I572" s="1" t="s">
        <v>407</v>
      </c>
      <c r="J572" s="80">
        <v>250</v>
      </c>
      <c r="K572" s="2" t="s">
        <v>150</v>
      </c>
      <c r="L572" s="83"/>
    </row>
    <row r="573" spans="3:12" s="84" customFormat="1" ht="31.5">
      <c r="C573" s="136">
        <v>547</v>
      </c>
      <c r="D573" s="178" t="s">
        <v>3273</v>
      </c>
      <c r="E573" s="2" t="s">
        <v>27</v>
      </c>
      <c r="F573" s="2" t="s">
        <v>716</v>
      </c>
      <c r="G573" s="79" t="s">
        <v>921</v>
      </c>
      <c r="H573" s="1" t="s">
        <v>72</v>
      </c>
      <c r="I573" s="1" t="s">
        <v>3427</v>
      </c>
      <c r="J573" s="80">
        <v>1300</v>
      </c>
      <c r="K573" s="2" t="s">
        <v>156</v>
      </c>
      <c r="L573" s="83"/>
    </row>
    <row r="574" spans="3:12" s="84" customFormat="1" ht="31.5">
      <c r="C574" s="136">
        <v>548</v>
      </c>
      <c r="D574" s="178" t="s">
        <v>3274</v>
      </c>
      <c r="E574" s="2" t="s">
        <v>27</v>
      </c>
      <c r="F574" s="2" t="s">
        <v>716</v>
      </c>
      <c r="G574" s="79" t="s">
        <v>921</v>
      </c>
      <c r="H574" s="1" t="s">
        <v>72</v>
      </c>
      <c r="I574" s="1" t="s">
        <v>3426</v>
      </c>
      <c r="J574" s="80">
        <v>700</v>
      </c>
      <c r="K574" s="2" t="s">
        <v>154</v>
      </c>
      <c r="L574" s="83"/>
    </row>
    <row r="575" spans="3:12" s="84" customFormat="1" ht="31.5">
      <c r="C575" s="136">
        <v>549</v>
      </c>
      <c r="D575" s="178" t="s">
        <v>3275</v>
      </c>
      <c r="E575" s="2" t="s">
        <v>27</v>
      </c>
      <c r="F575" s="2" t="s">
        <v>716</v>
      </c>
      <c r="G575" s="79" t="s">
        <v>921</v>
      </c>
      <c r="H575" s="1" t="s">
        <v>72</v>
      </c>
      <c r="I575" s="1" t="s">
        <v>407</v>
      </c>
      <c r="J575" s="80">
        <v>1200</v>
      </c>
      <c r="K575" s="2" t="s">
        <v>150</v>
      </c>
      <c r="L575" s="83"/>
    </row>
    <row r="576" spans="3:12" s="84" customFormat="1" ht="31.5">
      <c r="C576" s="136">
        <v>550</v>
      </c>
      <c r="D576" s="178" t="s">
        <v>3276</v>
      </c>
      <c r="E576" s="2" t="s">
        <v>27</v>
      </c>
      <c r="F576" s="2" t="s">
        <v>716</v>
      </c>
      <c r="G576" s="79" t="s">
        <v>921</v>
      </c>
      <c r="H576" s="1" t="s">
        <v>72</v>
      </c>
      <c r="I576" s="1" t="s">
        <v>407</v>
      </c>
      <c r="J576" s="80">
        <v>500</v>
      </c>
      <c r="K576" s="2" t="s">
        <v>150</v>
      </c>
      <c r="L576" s="83"/>
    </row>
    <row r="577" spans="3:12" s="84" customFormat="1" ht="31.5">
      <c r="C577" s="136">
        <v>551</v>
      </c>
      <c r="D577" s="178" t="s">
        <v>3277</v>
      </c>
      <c r="E577" s="2" t="s">
        <v>27</v>
      </c>
      <c r="F577" s="2" t="s">
        <v>716</v>
      </c>
      <c r="G577" s="79" t="s">
        <v>921</v>
      </c>
      <c r="H577" s="1" t="s">
        <v>72</v>
      </c>
      <c r="I577" s="1" t="s">
        <v>407</v>
      </c>
      <c r="J577" s="80">
        <v>1000</v>
      </c>
      <c r="K577" s="2" t="s">
        <v>153</v>
      </c>
      <c r="L577" s="83"/>
    </row>
    <row r="578" spans="3:12" s="84" customFormat="1" ht="31.5">
      <c r="C578" s="136">
        <v>552</v>
      </c>
      <c r="D578" s="178" t="s">
        <v>3278</v>
      </c>
      <c r="E578" s="2" t="s">
        <v>27</v>
      </c>
      <c r="F578" s="2" t="s">
        <v>716</v>
      </c>
      <c r="G578" s="79" t="s">
        <v>921</v>
      </c>
      <c r="H578" s="1" t="s">
        <v>72</v>
      </c>
      <c r="I578" s="1" t="s">
        <v>3351</v>
      </c>
      <c r="J578" s="80">
        <v>800</v>
      </c>
      <c r="K578" s="2" t="s">
        <v>156</v>
      </c>
      <c r="L578" s="83"/>
    </row>
    <row r="579" spans="3:12" s="84" customFormat="1" ht="31.5">
      <c r="C579" s="136">
        <v>553</v>
      </c>
      <c r="D579" s="178" t="s">
        <v>3279</v>
      </c>
      <c r="E579" s="2" t="s">
        <v>27</v>
      </c>
      <c r="F579" s="2" t="s">
        <v>716</v>
      </c>
      <c r="G579" s="79" t="s">
        <v>921</v>
      </c>
      <c r="H579" s="1" t="s">
        <v>72</v>
      </c>
      <c r="I579" s="1" t="s">
        <v>407</v>
      </c>
      <c r="J579" s="80">
        <v>300</v>
      </c>
      <c r="K579" s="2" t="s">
        <v>150</v>
      </c>
      <c r="L579" s="83"/>
    </row>
    <row r="580" spans="3:12" s="84" customFormat="1" ht="31.5">
      <c r="C580" s="136">
        <v>554</v>
      </c>
      <c r="D580" s="178" t="s">
        <v>3280</v>
      </c>
      <c r="E580" s="2" t="s">
        <v>27</v>
      </c>
      <c r="F580" s="2" t="s">
        <v>716</v>
      </c>
      <c r="G580" s="79" t="s">
        <v>921</v>
      </c>
      <c r="H580" s="1" t="s">
        <v>100</v>
      </c>
      <c r="I580" s="1" t="s">
        <v>407</v>
      </c>
      <c r="J580" s="80">
        <v>400</v>
      </c>
      <c r="K580" s="2" t="s">
        <v>155</v>
      </c>
      <c r="L580" s="83"/>
    </row>
    <row r="581" spans="3:12" s="84" customFormat="1" ht="31.5">
      <c r="C581" s="136">
        <v>555</v>
      </c>
      <c r="D581" s="178" t="s">
        <v>3281</v>
      </c>
      <c r="E581" s="2" t="s">
        <v>27</v>
      </c>
      <c r="F581" s="2" t="s">
        <v>716</v>
      </c>
      <c r="G581" s="79" t="s">
        <v>921</v>
      </c>
      <c r="H581" s="1" t="s">
        <v>100</v>
      </c>
      <c r="I581" s="1" t="s">
        <v>407</v>
      </c>
      <c r="J581" s="80">
        <v>400</v>
      </c>
      <c r="K581" s="2" t="s">
        <v>155</v>
      </c>
      <c r="L581" s="83"/>
    </row>
    <row r="582" spans="3:12" s="84" customFormat="1" ht="31.5">
      <c r="C582" s="136">
        <v>556</v>
      </c>
      <c r="D582" s="178" t="s">
        <v>3282</v>
      </c>
      <c r="E582" s="2" t="s">
        <v>27</v>
      </c>
      <c r="F582" s="2" t="s">
        <v>716</v>
      </c>
      <c r="G582" s="79" t="s">
        <v>921</v>
      </c>
      <c r="H582" s="1" t="s">
        <v>100</v>
      </c>
      <c r="I582" s="1" t="s">
        <v>407</v>
      </c>
      <c r="J582" s="80">
        <v>500</v>
      </c>
      <c r="K582" s="2" t="s">
        <v>155</v>
      </c>
      <c r="L582" s="83"/>
    </row>
    <row r="583" spans="3:12" s="84" customFormat="1" ht="31.5">
      <c r="C583" s="136">
        <v>557</v>
      </c>
      <c r="D583" s="178" t="s">
        <v>3283</v>
      </c>
      <c r="E583" s="2" t="s">
        <v>27</v>
      </c>
      <c r="F583" s="2" t="s">
        <v>716</v>
      </c>
      <c r="G583" s="79" t="s">
        <v>921</v>
      </c>
      <c r="H583" s="1" t="s">
        <v>100</v>
      </c>
      <c r="I583" s="1" t="s">
        <v>407</v>
      </c>
      <c r="J583" s="80">
        <v>300</v>
      </c>
      <c r="K583" s="2" t="s">
        <v>156</v>
      </c>
      <c r="L583" s="83"/>
    </row>
    <row r="584" spans="3:12" s="84" customFormat="1" ht="31.5">
      <c r="C584" s="136">
        <v>558</v>
      </c>
      <c r="D584" s="178" t="s">
        <v>3284</v>
      </c>
      <c r="E584" s="2" t="s">
        <v>27</v>
      </c>
      <c r="F584" s="2" t="s">
        <v>716</v>
      </c>
      <c r="G584" s="79" t="s">
        <v>921</v>
      </c>
      <c r="H584" s="1" t="s">
        <v>2635</v>
      </c>
      <c r="I584" s="1" t="s">
        <v>407</v>
      </c>
      <c r="J584" s="80">
        <v>500</v>
      </c>
      <c r="K584" s="2" t="s">
        <v>156</v>
      </c>
      <c r="L584" s="83"/>
    </row>
    <row r="585" spans="3:12" s="84" customFormat="1" ht="31.5">
      <c r="C585" s="136">
        <v>559</v>
      </c>
      <c r="D585" s="178" t="s">
        <v>3285</v>
      </c>
      <c r="E585" s="2" t="s">
        <v>27</v>
      </c>
      <c r="F585" s="2" t="s">
        <v>716</v>
      </c>
      <c r="G585" s="79" t="s">
        <v>921</v>
      </c>
      <c r="H585" s="1" t="s">
        <v>2635</v>
      </c>
      <c r="I585" s="1" t="s">
        <v>407</v>
      </c>
      <c r="J585" s="80">
        <v>600</v>
      </c>
      <c r="K585" s="2" t="s">
        <v>156</v>
      </c>
      <c r="L585" s="83"/>
    </row>
    <row r="586" spans="3:12" s="84" customFormat="1" ht="31.5">
      <c r="C586" s="136">
        <v>560</v>
      </c>
      <c r="D586" s="178" t="s">
        <v>3286</v>
      </c>
      <c r="E586" s="2" t="s">
        <v>27</v>
      </c>
      <c r="F586" s="2" t="s">
        <v>716</v>
      </c>
      <c r="G586" s="79" t="s">
        <v>921</v>
      </c>
      <c r="H586" s="1" t="s">
        <v>367</v>
      </c>
      <c r="I586" s="1" t="s">
        <v>407</v>
      </c>
      <c r="J586" s="80">
        <v>800</v>
      </c>
      <c r="K586" s="2" t="s">
        <v>154</v>
      </c>
      <c r="L586" s="83"/>
    </row>
    <row r="587" spans="3:12" s="84" customFormat="1" ht="31.5">
      <c r="C587" s="136">
        <v>561</v>
      </c>
      <c r="D587" s="178" t="s">
        <v>3287</v>
      </c>
      <c r="E587" s="2" t="s">
        <v>27</v>
      </c>
      <c r="F587" s="2" t="s">
        <v>716</v>
      </c>
      <c r="G587" s="79" t="s">
        <v>921</v>
      </c>
      <c r="H587" s="1" t="s">
        <v>367</v>
      </c>
      <c r="I587" s="1" t="s">
        <v>407</v>
      </c>
      <c r="J587" s="80">
        <v>700</v>
      </c>
      <c r="K587" s="2" t="s">
        <v>154</v>
      </c>
      <c r="L587" s="83"/>
    </row>
    <row r="588" spans="3:12" s="84" customFormat="1" ht="31.5">
      <c r="C588" s="136">
        <v>562</v>
      </c>
      <c r="D588" s="178" t="s">
        <v>93</v>
      </c>
      <c r="E588" s="2" t="s">
        <v>27</v>
      </c>
      <c r="F588" s="2" t="s">
        <v>716</v>
      </c>
      <c r="G588" s="79" t="s">
        <v>921</v>
      </c>
      <c r="H588" s="1" t="s">
        <v>1082</v>
      </c>
      <c r="I588" s="1" t="s">
        <v>407</v>
      </c>
      <c r="J588" s="80">
        <v>4000</v>
      </c>
      <c r="K588" s="2" t="s">
        <v>154</v>
      </c>
      <c r="L588" s="83"/>
    </row>
    <row r="589" spans="3:12" s="84" customFormat="1" ht="31.5">
      <c r="C589" s="136">
        <v>563</v>
      </c>
      <c r="D589" s="178" t="s">
        <v>94</v>
      </c>
      <c r="E589" s="2" t="s">
        <v>27</v>
      </c>
      <c r="F589" s="2" t="s">
        <v>716</v>
      </c>
      <c r="G589" s="79" t="s">
        <v>921</v>
      </c>
      <c r="H589" s="1" t="s">
        <v>1082</v>
      </c>
      <c r="I589" s="1" t="s">
        <v>407</v>
      </c>
      <c r="J589" s="80">
        <v>2800</v>
      </c>
      <c r="K589" s="2" t="s">
        <v>150</v>
      </c>
      <c r="L589" s="83"/>
    </row>
    <row r="590" spans="3:12" s="84" customFormat="1" ht="31.5">
      <c r="C590" s="136">
        <v>564</v>
      </c>
      <c r="D590" s="178" t="s">
        <v>3288</v>
      </c>
      <c r="E590" s="2" t="s">
        <v>27</v>
      </c>
      <c r="F590" s="2" t="s">
        <v>716</v>
      </c>
      <c r="G590" s="79" t="s">
        <v>921</v>
      </c>
      <c r="H590" s="1" t="s">
        <v>3356</v>
      </c>
      <c r="I590" s="1" t="s">
        <v>79</v>
      </c>
      <c r="J590" s="80">
        <v>1800</v>
      </c>
      <c r="K590" s="2" t="s">
        <v>155</v>
      </c>
      <c r="L590" s="83"/>
    </row>
    <row r="591" spans="3:12" s="84" customFormat="1" ht="31.5">
      <c r="C591" s="136">
        <v>565</v>
      </c>
      <c r="D591" s="178" t="s">
        <v>3289</v>
      </c>
      <c r="E591" s="2" t="s">
        <v>27</v>
      </c>
      <c r="F591" s="2" t="s">
        <v>716</v>
      </c>
      <c r="G591" s="79" t="s">
        <v>921</v>
      </c>
      <c r="H591" s="1" t="s">
        <v>3356</v>
      </c>
      <c r="I591" s="1" t="s">
        <v>407</v>
      </c>
      <c r="J591" s="80">
        <v>1200</v>
      </c>
      <c r="K591" s="2" t="s">
        <v>156</v>
      </c>
      <c r="L591" s="83"/>
    </row>
    <row r="592" spans="3:12" s="84" customFormat="1" ht="31.5">
      <c r="C592" s="136">
        <v>566</v>
      </c>
      <c r="D592" s="178" t="s">
        <v>3290</v>
      </c>
      <c r="E592" s="2" t="s">
        <v>27</v>
      </c>
      <c r="F592" s="2" t="s">
        <v>716</v>
      </c>
      <c r="G592" s="79" t="s">
        <v>921</v>
      </c>
      <c r="H592" s="1" t="s">
        <v>3355</v>
      </c>
      <c r="I592" s="1" t="s">
        <v>407</v>
      </c>
      <c r="J592" s="80">
        <v>500</v>
      </c>
      <c r="K592" s="2" t="s">
        <v>163</v>
      </c>
      <c r="L592" s="83"/>
    </row>
    <row r="593" spans="3:12" s="84" customFormat="1" ht="31.5">
      <c r="C593" s="136">
        <v>567</v>
      </c>
      <c r="D593" s="178" t="s">
        <v>3291</v>
      </c>
      <c r="E593" s="2" t="s">
        <v>27</v>
      </c>
      <c r="F593" s="2" t="s">
        <v>716</v>
      </c>
      <c r="G593" s="79" t="s">
        <v>921</v>
      </c>
      <c r="H593" s="1" t="s">
        <v>3355</v>
      </c>
      <c r="I593" s="1" t="s">
        <v>407</v>
      </c>
      <c r="J593" s="80">
        <v>900</v>
      </c>
      <c r="K593" s="2" t="s">
        <v>163</v>
      </c>
      <c r="L593" s="83"/>
    </row>
    <row r="594" spans="3:12" s="84" customFormat="1" ht="31.5">
      <c r="C594" s="136">
        <v>568</v>
      </c>
      <c r="D594" s="178" t="s">
        <v>3292</v>
      </c>
      <c r="E594" s="2" t="s">
        <v>27</v>
      </c>
      <c r="F594" s="2" t="s">
        <v>716</v>
      </c>
      <c r="G594" s="79" t="s">
        <v>921</v>
      </c>
      <c r="H594" s="1" t="s">
        <v>3355</v>
      </c>
      <c r="I594" s="1" t="s">
        <v>407</v>
      </c>
      <c r="J594" s="80">
        <v>1600</v>
      </c>
      <c r="K594" s="2" t="s">
        <v>163</v>
      </c>
      <c r="L594" s="83"/>
    </row>
    <row r="595" spans="3:12" s="84" customFormat="1" ht="31.5">
      <c r="C595" s="136">
        <v>569</v>
      </c>
      <c r="D595" s="178" t="s">
        <v>3293</v>
      </c>
      <c r="E595" s="2" t="s">
        <v>27</v>
      </c>
      <c r="F595" s="2" t="s">
        <v>716</v>
      </c>
      <c r="G595" s="79" t="s">
        <v>921</v>
      </c>
      <c r="H595" s="1" t="s">
        <v>3355</v>
      </c>
      <c r="I595" s="1" t="s">
        <v>407</v>
      </c>
      <c r="J595" s="80">
        <v>500</v>
      </c>
      <c r="K595" s="2" t="s">
        <v>155</v>
      </c>
      <c r="L595" s="83"/>
    </row>
    <row r="596" spans="3:12" s="84" customFormat="1" ht="31.5">
      <c r="C596" s="136">
        <v>570</v>
      </c>
      <c r="D596" s="178" t="s">
        <v>3294</v>
      </c>
      <c r="E596" s="2" t="s">
        <v>27</v>
      </c>
      <c r="F596" s="2" t="s">
        <v>716</v>
      </c>
      <c r="G596" s="79" t="s">
        <v>921</v>
      </c>
      <c r="H596" s="1" t="s">
        <v>3355</v>
      </c>
      <c r="I596" s="1" t="s">
        <v>407</v>
      </c>
      <c r="J596" s="80">
        <v>400</v>
      </c>
      <c r="K596" s="2" t="s">
        <v>155</v>
      </c>
      <c r="L596" s="83"/>
    </row>
    <row r="597" spans="3:12" s="84" customFormat="1" ht="31.5">
      <c r="C597" s="136">
        <v>571</v>
      </c>
      <c r="D597" s="178" t="s">
        <v>3295</v>
      </c>
      <c r="E597" s="2" t="s">
        <v>27</v>
      </c>
      <c r="F597" s="2" t="s">
        <v>716</v>
      </c>
      <c r="G597" s="79" t="s">
        <v>921</v>
      </c>
      <c r="H597" s="1" t="s">
        <v>3355</v>
      </c>
      <c r="I597" s="1" t="s">
        <v>407</v>
      </c>
      <c r="J597" s="80">
        <v>400</v>
      </c>
      <c r="K597" s="2" t="s">
        <v>155</v>
      </c>
      <c r="L597" s="83"/>
    </row>
    <row r="598" spans="3:12" s="84" customFormat="1" ht="31.5">
      <c r="C598" s="136">
        <v>572</v>
      </c>
      <c r="D598" s="178" t="s">
        <v>3352</v>
      </c>
      <c r="E598" s="2" t="s">
        <v>96</v>
      </c>
      <c r="F598" s="2" t="s">
        <v>716</v>
      </c>
      <c r="G598" s="79" t="s">
        <v>921</v>
      </c>
      <c r="H598" s="1" t="s">
        <v>84</v>
      </c>
      <c r="I598" s="1" t="s">
        <v>262</v>
      </c>
      <c r="J598" s="80">
        <v>4000</v>
      </c>
      <c r="K598" s="2"/>
      <c r="L598" s="83"/>
    </row>
    <row r="599" spans="3:12" s="84" customFormat="1" ht="31.5">
      <c r="C599" s="136">
        <v>573</v>
      </c>
      <c r="D599" s="178" t="s">
        <v>676</v>
      </c>
      <c r="E599" s="2" t="s">
        <v>96</v>
      </c>
      <c r="F599" s="2" t="s">
        <v>716</v>
      </c>
      <c r="G599" s="79" t="s">
        <v>921</v>
      </c>
      <c r="H599" s="1" t="s">
        <v>263</v>
      </c>
      <c r="I599" s="1" t="s">
        <v>244</v>
      </c>
      <c r="J599" s="80">
        <v>3500</v>
      </c>
      <c r="K599" s="2"/>
      <c r="L599" s="83"/>
    </row>
    <row r="600" spans="3:12" s="84" customFormat="1" ht="31.5">
      <c r="C600" s="136">
        <v>574</v>
      </c>
      <c r="D600" s="178" t="s">
        <v>660</v>
      </c>
      <c r="E600" s="2" t="s">
        <v>96</v>
      </c>
      <c r="F600" s="2" t="s">
        <v>716</v>
      </c>
      <c r="G600" s="79" t="s">
        <v>921</v>
      </c>
      <c r="H600" s="1" t="s">
        <v>262</v>
      </c>
      <c r="I600" s="1" t="s">
        <v>261</v>
      </c>
      <c r="J600" s="80">
        <v>3000</v>
      </c>
      <c r="K600" s="2"/>
      <c r="L600" s="83"/>
    </row>
    <row r="601" spans="3:12" s="84" customFormat="1" ht="31.5">
      <c r="C601" s="136">
        <v>575</v>
      </c>
      <c r="D601" s="178" t="s">
        <v>95</v>
      </c>
      <c r="E601" s="2" t="s">
        <v>96</v>
      </c>
      <c r="F601" s="2" t="s">
        <v>716</v>
      </c>
      <c r="G601" s="79" t="s">
        <v>921</v>
      </c>
      <c r="H601" s="1" t="s">
        <v>97</v>
      </c>
      <c r="I601" s="1" t="s">
        <v>98</v>
      </c>
      <c r="J601" s="80">
        <v>5400</v>
      </c>
      <c r="K601" s="2" t="s">
        <v>155</v>
      </c>
      <c r="L601" s="83"/>
    </row>
    <row r="602" spans="3:12" s="84" customFormat="1" ht="31.5">
      <c r="C602" s="136">
        <v>576</v>
      </c>
      <c r="D602" s="178" t="s">
        <v>99</v>
      </c>
      <c r="E602" s="2" t="s">
        <v>96</v>
      </c>
      <c r="F602" s="2" t="s">
        <v>716</v>
      </c>
      <c r="G602" s="79" t="s">
        <v>921</v>
      </c>
      <c r="H602" s="1" t="s">
        <v>661</v>
      </c>
      <c r="I602" s="1" t="s">
        <v>100</v>
      </c>
      <c r="J602" s="80">
        <v>4000</v>
      </c>
      <c r="K602" s="2" t="s">
        <v>670</v>
      </c>
      <c r="L602" s="83"/>
    </row>
    <row r="603" spans="3:12" s="84" customFormat="1" ht="31.5">
      <c r="C603" s="136">
        <v>577</v>
      </c>
      <c r="D603" s="178" t="s">
        <v>3296</v>
      </c>
      <c r="E603" s="2" t="s">
        <v>96</v>
      </c>
      <c r="F603" s="2" t="s">
        <v>716</v>
      </c>
      <c r="G603" s="79" t="s">
        <v>921</v>
      </c>
      <c r="H603" s="1" t="s">
        <v>337</v>
      </c>
      <c r="I603" s="1" t="s">
        <v>407</v>
      </c>
      <c r="J603" s="80">
        <v>400</v>
      </c>
      <c r="K603" s="2" t="s">
        <v>156</v>
      </c>
      <c r="L603" s="83"/>
    </row>
    <row r="604" spans="3:12" s="84" customFormat="1" ht="31.5">
      <c r="C604" s="136">
        <v>578</v>
      </c>
      <c r="D604" s="178" t="s">
        <v>3297</v>
      </c>
      <c r="E604" s="2" t="s">
        <v>96</v>
      </c>
      <c r="F604" s="2" t="s">
        <v>716</v>
      </c>
      <c r="G604" s="79" t="s">
        <v>921</v>
      </c>
      <c r="H604" s="1" t="s">
        <v>337</v>
      </c>
      <c r="I604" s="1" t="s">
        <v>3352</v>
      </c>
      <c r="J604" s="80">
        <v>1140</v>
      </c>
      <c r="K604" s="2" t="s">
        <v>218</v>
      </c>
      <c r="L604" s="83"/>
    </row>
    <row r="605" spans="3:12" s="84" customFormat="1" ht="31.5">
      <c r="C605" s="136">
        <v>579</v>
      </c>
      <c r="D605" s="178" t="s">
        <v>3298</v>
      </c>
      <c r="E605" s="2" t="s">
        <v>96</v>
      </c>
      <c r="F605" s="2" t="s">
        <v>716</v>
      </c>
      <c r="G605" s="79" t="s">
        <v>921</v>
      </c>
      <c r="H605" s="1" t="s">
        <v>3354</v>
      </c>
      <c r="I605" s="1" t="s">
        <v>407</v>
      </c>
      <c r="J605" s="80">
        <v>500</v>
      </c>
      <c r="K605" s="2" t="s">
        <v>150</v>
      </c>
      <c r="L605" s="83"/>
    </row>
    <row r="606" spans="3:12" s="84" customFormat="1" ht="31.5">
      <c r="C606" s="136">
        <v>580</v>
      </c>
      <c r="D606" s="178" t="s">
        <v>101</v>
      </c>
      <c r="E606" s="2" t="s">
        <v>96</v>
      </c>
      <c r="F606" s="2" t="s">
        <v>716</v>
      </c>
      <c r="G606" s="79" t="s">
        <v>921</v>
      </c>
      <c r="H606" s="1" t="s">
        <v>3762</v>
      </c>
      <c r="I606" s="1" t="s">
        <v>102</v>
      </c>
      <c r="J606" s="80">
        <v>500</v>
      </c>
      <c r="K606" s="2" t="s">
        <v>165</v>
      </c>
      <c r="L606" s="83"/>
    </row>
    <row r="607" spans="3:12" s="84" customFormat="1" ht="31.5">
      <c r="C607" s="136">
        <v>581</v>
      </c>
      <c r="D607" s="178" t="s">
        <v>103</v>
      </c>
      <c r="E607" s="2" t="s">
        <v>96</v>
      </c>
      <c r="F607" s="2" t="s">
        <v>716</v>
      </c>
      <c r="G607" s="79" t="s">
        <v>921</v>
      </c>
      <c r="H607" s="1" t="s">
        <v>691</v>
      </c>
      <c r="I607" s="1" t="s">
        <v>3428</v>
      </c>
      <c r="J607" s="80">
        <v>1200</v>
      </c>
      <c r="K607" s="2" t="s">
        <v>150</v>
      </c>
      <c r="L607" s="83"/>
    </row>
    <row r="608" spans="3:12" s="84" customFormat="1" ht="31.5">
      <c r="C608" s="136">
        <v>582</v>
      </c>
      <c r="D608" s="178" t="s">
        <v>104</v>
      </c>
      <c r="E608" s="2" t="s">
        <v>96</v>
      </c>
      <c r="F608" s="2" t="s">
        <v>716</v>
      </c>
      <c r="G608" s="79" t="s">
        <v>921</v>
      </c>
      <c r="H608" s="1" t="s">
        <v>691</v>
      </c>
      <c r="I608" s="1" t="s">
        <v>407</v>
      </c>
      <c r="J608" s="80">
        <v>1500</v>
      </c>
      <c r="K608" s="2" t="s">
        <v>156</v>
      </c>
      <c r="L608" s="83"/>
    </row>
    <row r="609" spans="3:12" s="84" customFormat="1" ht="31.5">
      <c r="C609" s="136">
        <v>583</v>
      </c>
      <c r="D609" s="178" t="s">
        <v>105</v>
      </c>
      <c r="E609" s="2" t="s">
        <v>96</v>
      </c>
      <c r="F609" s="2" t="s">
        <v>716</v>
      </c>
      <c r="G609" s="79" t="s">
        <v>921</v>
      </c>
      <c r="H609" s="1" t="s">
        <v>691</v>
      </c>
      <c r="I609" s="1" t="s">
        <v>407</v>
      </c>
      <c r="J609" s="80">
        <v>900</v>
      </c>
      <c r="K609" s="2" t="s">
        <v>150</v>
      </c>
      <c r="L609" s="83"/>
    </row>
    <row r="610" spans="3:12" s="84" customFormat="1" ht="31.5">
      <c r="C610" s="136">
        <v>584</v>
      </c>
      <c r="D610" s="178" t="s">
        <v>106</v>
      </c>
      <c r="E610" s="2" t="s">
        <v>96</v>
      </c>
      <c r="F610" s="2" t="s">
        <v>716</v>
      </c>
      <c r="G610" s="79" t="s">
        <v>921</v>
      </c>
      <c r="H610" s="1" t="s">
        <v>691</v>
      </c>
      <c r="I610" s="1" t="s">
        <v>407</v>
      </c>
      <c r="J610" s="80">
        <v>800</v>
      </c>
      <c r="K610" s="2" t="s">
        <v>157</v>
      </c>
      <c r="L610" s="83"/>
    </row>
    <row r="611" spans="3:12" s="84" customFormat="1" ht="31.5">
      <c r="C611" s="136">
        <v>585</v>
      </c>
      <c r="D611" s="178" t="s">
        <v>107</v>
      </c>
      <c r="E611" s="2" t="s">
        <v>96</v>
      </c>
      <c r="F611" s="2" t="s">
        <v>716</v>
      </c>
      <c r="G611" s="79" t="s">
        <v>921</v>
      </c>
      <c r="H611" s="1" t="s">
        <v>691</v>
      </c>
      <c r="I611" s="1" t="s">
        <v>3428</v>
      </c>
      <c r="J611" s="80">
        <v>1000</v>
      </c>
      <c r="K611" s="2" t="s">
        <v>150</v>
      </c>
      <c r="L611" s="83"/>
    </row>
    <row r="612" spans="3:12" s="84" customFormat="1" ht="31.5">
      <c r="C612" s="136">
        <v>586</v>
      </c>
      <c r="D612" s="178" t="s">
        <v>108</v>
      </c>
      <c r="E612" s="2" t="s">
        <v>96</v>
      </c>
      <c r="F612" s="2" t="s">
        <v>716</v>
      </c>
      <c r="G612" s="79" t="s">
        <v>921</v>
      </c>
      <c r="H612" s="1" t="s">
        <v>691</v>
      </c>
      <c r="I612" s="1" t="s">
        <v>407</v>
      </c>
      <c r="J612" s="80">
        <v>1000</v>
      </c>
      <c r="K612" s="2" t="s">
        <v>150</v>
      </c>
      <c r="L612" s="83"/>
    </row>
    <row r="613" spans="3:12" s="84" customFormat="1" ht="31.5">
      <c r="C613" s="136">
        <v>587</v>
      </c>
      <c r="D613" s="178" t="s">
        <v>109</v>
      </c>
      <c r="E613" s="2" t="s">
        <v>96</v>
      </c>
      <c r="F613" s="2" t="s">
        <v>716</v>
      </c>
      <c r="G613" s="79" t="s">
        <v>921</v>
      </c>
      <c r="H613" s="1" t="s">
        <v>110</v>
      </c>
      <c r="I613" s="1" t="s">
        <v>253</v>
      </c>
      <c r="J613" s="80">
        <v>700</v>
      </c>
      <c r="K613" s="2" t="s">
        <v>111</v>
      </c>
      <c r="L613" s="83"/>
    </row>
    <row r="614" spans="3:12" s="84" customFormat="1" ht="31.5">
      <c r="C614" s="136">
        <v>588</v>
      </c>
      <c r="D614" s="178" t="s">
        <v>112</v>
      </c>
      <c r="E614" s="2" t="s">
        <v>96</v>
      </c>
      <c r="F614" s="2" t="s">
        <v>716</v>
      </c>
      <c r="G614" s="79" t="s">
        <v>921</v>
      </c>
      <c r="H614" s="1" t="s">
        <v>113</v>
      </c>
      <c r="I614" s="1" t="s">
        <v>691</v>
      </c>
      <c r="J614" s="80">
        <v>1400</v>
      </c>
      <c r="K614" s="2" t="s">
        <v>114</v>
      </c>
      <c r="L614" s="83"/>
    </row>
    <row r="615" spans="3:12" s="84" customFormat="1" ht="31.5">
      <c r="C615" s="136">
        <v>589</v>
      </c>
      <c r="D615" s="178" t="s">
        <v>115</v>
      </c>
      <c r="E615" s="2" t="s">
        <v>96</v>
      </c>
      <c r="F615" s="2" t="s">
        <v>716</v>
      </c>
      <c r="G615" s="79" t="s">
        <v>921</v>
      </c>
      <c r="H615" s="1" t="s">
        <v>116</v>
      </c>
      <c r="I615" s="1" t="s">
        <v>117</v>
      </c>
      <c r="J615" s="80">
        <v>800</v>
      </c>
      <c r="K615" s="2" t="s">
        <v>118</v>
      </c>
      <c r="L615" s="83"/>
    </row>
    <row r="616" spans="3:12" s="84" customFormat="1" ht="31.5">
      <c r="C616" s="136">
        <v>590</v>
      </c>
      <c r="D616" s="178" t="s">
        <v>3299</v>
      </c>
      <c r="E616" s="2" t="s">
        <v>96</v>
      </c>
      <c r="F616" s="2" t="s">
        <v>716</v>
      </c>
      <c r="G616" s="79" t="s">
        <v>921</v>
      </c>
      <c r="H616" s="1" t="s">
        <v>115</v>
      </c>
      <c r="I616" s="1" t="s">
        <v>117</v>
      </c>
      <c r="J616" s="80">
        <v>500</v>
      </c>
      <c r="K616" s="2" t="s">
        <v>152</v>
      </c>
      <c r="L616" s="83"/>
    </row>
    <row r="617" spans="3:12" s="84" customFormat="1" ht="31.5">
      <c r="C617" s="136">
        <v>591</v>
      </c>
      <c r="D617" s="178" t="s">
        <v>3300</v>
      </c>
      <c r="E617" s="2" t="s">
        <v>96</v>
      </c>
      <c r="F617" s="2" t="s">
        <v>716</v>
      </c>
      <c r="G617" s="79" t="s">
        <v>921</v>
      </c>
      <c r="H617" s="1" t="s">
        <v>3353</v>
      </c>
      <c r="I617" s="1" t="s">
        <v>3353</v>
      </c>
      <c r="J617" s="80">
        <v>900</v>
      </c>
      <c r="K617" s="2" t="s">
        <v>150</v>
      </c>
      <c r="L617" s="83"/>
    </row>
    <row r="618" spans="3:12" s="84" customFormat="1" ht="31.5">
      <c r="C618" s="136">
        <v>592</v>
      </c>
      <c r="D618" s="178" t="s">
        <v>119</v>
      </c>
      <c r="E618" s="2" t="s">
        <v>96</v>
      </c>
      <c r="F618" s="2" t="s">
        <v>716</v>
      </c>
      <c r="G618" s="79" t="s">
        <v>921</v>
      </c>
      <c r="H618" s="1" t="s">
        <v>3583</v>
      </c>
      <c r="I618" s="1" t="s">
        <v>127</v>
      </c>
      <c r="J618" s="80">
        <v>500</v>
      </c>
      <c r="K618" s="2" t="s">
        <v>120</v>
      </c>
      <c r="L618" s="83"/>
    </row>
    <row r="619" spans="3:12" s="84" customFormat="1" ht="31.5">
      <c r="C619" s="136">
        <v>593</v>
      </c>
      <c r="D619" s="178" t="s">
        <v>121</v>
      </c>
      <c r="E619" s="2" t="s">
        <v>96</v>
      </c>
      <c r="F619" s="2" t="s">
        <v>716</v>
      </c>
      <c r="G619" s="79" t="s">
        <v>921</v>
      </c>
      <c r="H619" s="1" t="s">
        <v>122</v>
      </c>
      <c r="I619" s="1" t="s">
        <v>407</v>
      </c>
      <c r="J619" s="80">
        <v>2600</v>
      </c>
      <c r="K619" s="2" t="s">
        <v>157</v>
      </c>
      <c r="L619" s="83"/>
    </row>
    <row r="620" spans="3:12" s="84" customFormat="1" ht="31.5">
      <c r="C620" s="136">
        <v>594</v>
      </c>
      <c r="D620" s="178" t="s">
        <v>123</v>
      </c>
      <c r="E620" s="2" t="s">
        <v>96</v>
      </c>
      <c r="F620" s="2" t="s">
        <v>716</v>
      </c>
      <c r="G620" s="79" t="s">
        <v>921</v>
      </c>
      <c r="H620" s="1" t="s">
        <v>387</v>
      </c>
      <c r="I620" s="1" t="s">
        <v>122</v>
      </c>
      <c r="J620" s="80">
        <v>450</v>
      </c>
      <c r="K620" s="2" t="s">
        <v>230</v>
      </c>
      <c r="L620" s="83"/>
    </row>
    <row r="621" spans="3:12" s="84" customFormat="1" ht="31.5">
      <c r="C621" s="136">
        <v>595</v>
      </c>
      <c r="D621" s="178" t="s">
        <v>124</v>
      </c>
      <c r="E621" s="2" t="s">
        <v>96</v>
      </c>
      <c r="F621" s="2" t="s">
        <v>716</v>
      </c>
      <c r="G621" s="79" t="s">
        <v>921</v>
      </c>
      <c r="H621" s="1" t="s">
        <v>387</v>
      </c>
      <c r="I621" s="1" t="s">
        <v>122</v>
      </c>
      <c r="J621" s="80">
        <v>1600</v>
      </c>
      <c r="K621" s="2" t="s">
        <v>203</v>
      </c>
      <c r="L621" s="83"/>
    </row>
    <row r="622" spans="3:12" s="84" customFormat="1" ht="31.5">
      <c r="C622" s="136">
        <v>596</v>
      </c>
      <c r="D622" s="178" t="s">
        <v>125</v>
      </c>
      <c r="E622" s="2" t="s">
        <v>96</v>
      </c>
      <c r="F622" s="2" t="s">
        <v>716</v>
      </c>
      <c r="G622" s="79" t="s">
        <v>921</v>
      </c>
      <c r="H622" s="1" t="s">
        <v>122</v>
      </c>
      <c r="I622" s="1" t="s">
        <v>407</v>
      </c>
      <c r="J622" s="80">
        <v>1000</v>
      </c>
      <c r="K622" s="2" t="s">
        <v>154</v>
      </c>
      <c r="L622" s="83"/>
    </row>
    <row r="623" spans="3:12" s="84" customFormat="1" ht="31.5">
      <c r="C623" s="136">
        <v>597</v>
      </c>
      <c r="D623" s="178" t="s">
        <v>235</v>
      </c>
      <c r="E623" s="2" t="s">
        <v>96</v>
      </c>
      <c r="F623" s="2" t="s">
        <v>716</v>
      </c>
      <c r="G623" s="79" t="s">
        <v>921</v>
      </c>
      <c r="H623" s="1" t="s">
        <v>126</v>
      </c>
      <c r="I623" s="1" t="s">
        <v>127</v>
      </c>
      <c r="J623" s="80">
        <v>3000</v>
      </c>
      <c r="K623" s="2" t="s">
        <v>226</v>
      </c>
      <c r="L623" s="83"/>
    </row>
    <row r="624" spans="3:12" s="84" customFormat="1" ht="31.5">
      <c r="C624" s="136">
        <v>598</v>
      </c>
      <c r="D624" s="178" t="s">
        <v>236</v>
      </c>
      <c r="E624" s="2" t="s">
        <v>96</v>
      </c>
      <c r="F624" s="2" t="s">
        <v>716</v>
      </c>
      <c r="G624" s="79" t="s">
        <v>921</v>
      </c>
      <c r="H624" s="1" t="s">
        <v>128</v>
      </c>
      <c r="I624" s="1" t="s">
        <v>234</v>
      </c>
      <c r="J624" s="80">
        <v>1400</v>
      </c>
      <c r="K624" s="2" t="s">
        <v>224</v>
      </c>
      <c r="L624" s="83"/>
    </row>
    <row r="625" spans="3:12" s="84" customFormat="1" ht="31.5">
      <c r="C625" s="136">
        <v>599</v>
      </c>
      <c r="D625" s="178" t="s">
        <v>3713</v>
      </c>
      <c r="E625" s="2" t="s">
        <v>96</v>
      </c>
      <c r="F625" s="2" t="s">
        <v>716</v>
      </c>
      <c r="G625" s="79" t="s">
        <v>921</v>
      </c>
      <c r="H625" s="1" t="s">
        <v>50</v>
      </c>
      <c r="I625" s="1" t="s">
        <v>144</v>
      </c>
      <c r="J625" s="80">
        <v>700</v>
      </c>
      <c r="K625" s="2" t="s">
        <v>218</v>
      </c>
      <c r="L625" s="83"/>
    </row>
    <row r="626" spans="3:12" s="84" customFormat="1" ht="31.5">
      <c r="C626" s="136">
        <v>600</v>
      </c>
      <c r="D626" s="178" t="s">
        <v>3301</v>
      </c>
      <c r="E626" s="2" t="s">
        <v>96</v>
      </c>
      <c r="F626" s="2" t="s">
        <v>716</v>
      </c>
      <c r="G626" s="79" t="s">
        <v>921</v>
      </c>
      <c r="H626" s="1" t="s">
        <v>3586</v>
      </c>
      <c r="I626" s="1" t="s">
        <v>3429</v>
      </c>
      <c r="J626" s="80">
        <v>540</v>
      </c>
      <c r="K626" s="2" t="s">
        <v>163</v>
      </c>
      <c r="L626" s="83"/>
    </row>
    <row r="627" spans="3:12" s="84" customFormat="1" ht="31.5">
      <c r="C627" s="136">
        <v>601</v>
      </c>
      <c r="D627" s="178" t="s">
        <v>3302</v>
      </c>
      <c r="E627" s="2" t="s">
        <v>96</v>
      </c>
      <c r="F627" s="2" t="s">
        <v>716</v>
      </c>
      <c r="G627" s="79" t="s">
        <v>921</v>
      </c>
      <c r="H627" s="1" t="s">
        <v>132</v>
      </c>
      <c r="I627" s="1" t="s">
        <v>3430</v>
      </c>
      <c r="J627" s="80">
        <v>800</v>
      </c>
      <c r="K627" s="2" t="s">
        <v>155</v>
      </c>
      <c r="L627" s="83"/>
    </row>
    <row r="628" spans="3:12" s="84" customFormat="1" ht="31.5">
      <c r="C628" s="136">
        <v>602</v>
      </c>
      <c r="D628" s="178" t="s">
        <v>129</v>
      </c>
      <c r="E628" s="2" t="s">
        <v>96</v>
      </c>
      <c r="F628" s="2" t="s">
        <v>716</v>
      </c>
      <c r="G628" s="79" t="s">
        <v>921</v>
      </c>
      <c r="H628" s="1" t="s">
        <v>50</v>
      </c>
      <c r="I628" s="1" t="s">
        <v>84</v>
      </c>
      <c r="J628" s="80">
        <v>600</v>
      </c>
      <c r="K628" s="2" t="s">
        <v>156</v>
      </c>
      <c r="L628" s="83"/>
    </row>
    <row r="629" spans="3:12" s="84" customFormat="1" ht="31.5">
      <c r="C629" s="136">
        <v>603</v>
      </c>
      <c r="D629" s="178" t="s">
        <v>130</v>
      </c>
      <c r="E629" s="2" t="s">
        <v>96</v>
      </c>
      <c r="F629" s="2" t="s">
        <v>716</v>
      </c>
      <c r="G629" s="79" t="s">
        <v>921</v>
      </c>
      <c r="H629" s="1" t="s">
        <v>131</v>
      </c>
      <c r="I629" s="1" t="s">
        <v>132</v>
      </c>
      <c r="J629" s="80">
        <v>2200</v>
      </c>
      <c r="K629" s="2" t="s">
        <v>226</v>
      </c>
      <c r="L629" s="83"/>
    </row>
    <row r="630" spans="3:12" s="84" customFormat="1" ht="31.5">
      <c r="C630" s="136">
        <v>604</v>
      </c>
      <c r="D630" s="178" t="s">
        <v>133</v>
      </c>
      <c r="E630" s="2" t="s">
        <v>96</v>
      </c>
      <c r="F630" s="2" t="s">
        <v>716</v>
      </c>
      <c r="G630" s="79" t="s">
        <v>921</v>
      </c>
      <c r="H630" s="1" t="s">
        <v>134</v>
      </c>
      <c r="I630" s="1" t="s">
        <v>128</v>
      </c>
      <c r="J630" s="80">
        <v>2400</v>
      </c>
      <c r="K630" s="2" t="s">
        <v>226</v>
      </c>
      <c r="L630" s="83"/>
    </row>
    <row r="631" spans="3:12" s="84" customFormat="1" ht="31.5">
      <c r="C631" s="136">
        <v>605</v>
      </c>
      <c r="D631" s="178" t="s">
        <v>233</v>
      </c>
      <c r="E631" s="2" t="s">
        <v>96</v>
      </c>
      <c r="F631" s="2" t="s">
        <v>716</v>
      </c>
      <c r="G631" s="79" t="s">
        <v>921</v>
      </c>
      <c r="H631" s="1" t="s">
        <v>135</v>
      </c>
      <c r="I631" s="1" t="s">
        <v>122</v>
      </c>
      <c r="J631" s="80">
        <v>50</v>
      </c>
      <c r="K631" s="2" t="s">
        <v>221</v>
      </c>
      <c r="L631" s="83"/>
    </row>
    <row r="632" spans="3:12" s="84" customFormat="1" ht="31.5">
      <c r="C632" s="136">
        <v>606</v>
      </c>
      <c r="D632" s="178" t="s">
        <v>136</v>
      </c>
      <c r="E632" s="2" t="s">
        <v>96</v>
      </c>
      <c r="F632" s="2" t="s">
        <v>716</v>
      </c>
      <c r="G632" s="79" t="s">
        <v>921</v>
      </c>
      <c r="H632" s="1" t="s">
        <v>137</v>
      </c>
      <c r="I632" s="1" t="s">
        <v>138</v>
      </c>
      <c r="J632" s="80">
        <v>50</v>
      </c>
      <c r="K632" s="2" t="s">
        <v>221</v>
      </c>
      <c r="L632" s="83"/>
    </row>
    <row r="633" spans="3:12" s="84" customFormat="1" ht="31.5">
      <c r="C633" s="136">
        <v>607</v>
      </c>
      <c r="D633" s="178" t="s">
        <v>139</v>
      </c>
      <c r="E633" s="2" t="s">
        <v>96</v>
      </c>
      <c r="F633" s="2" t="s">
        <v>716</v>
      </c>
      <c r="G633" s="79" t="s">
        <v>921</v>
      </c>
      <c r="H633" s="1" t="s">
        <v>140</v>
      </c>
      <c r="I633" s="1" t="s">
        <v>141</v>
      </c>
      <c r="J633" s="80">
        <v>40</v>
      </c>
      <c r="K633" s="2" t="s">
        <v>220</v>
      </c>
      <c r="L633" s="83"/>
    </row>
    <row r="634" spans="3:12" s="84" customFormat="1" ht="31.5">
      <c r="C634" s="136">
        <v>608</v>
      </c>
      <c r="D634" s="178" t="s">
        <v>142</v>
      </c>
      <c r="E634" s="2" t="s">
        <v>96</v>
      </c>
      <c r="F634" s="2" t="s">
        <v>716</v>
      </c>
      <c r="G634" s="79" t="s">
        <v>921</v>
      </c>
      <c r="H634" s="1" t="s">
        <v>143</v>
      </c>
      <c r="I634" s="1" t="s">
        <v>141</v>
      </c>
      <c r="J634" s="80">
        <v>50</v>
      </c>
      <c r="K634" s="2" t="s">
        <v>220</v>
      </c>
      <c r="L634" s="83"/>
    </row>
    <row r="635" spans="3:12" s="84" customFormat="1" ht="31.5">
      <c r="C635" s="136">
        <v>609</v>
      </c>
      <c r="D635" s="178" t="s">
        <v>3303</v>
      </c>
      <c r="E635" s="2" t="s">
        <v>96</v>
      </c>
      <c r="F635" s="2" t="s">
        <v>716</v>
      </c>
      <c r="G635" s="79" t="s">
        <v>921</v>
      </c>
      <c r="H635" s="1" t="s">
        <v>3352</v>
      </c>
      <c r="I635" s="1" t="s">
        <v>407</v>
      </c>
      <c r="J635" s="80">
        <v>600</v>
      </c>
      <c r="K635" s="2" t="s">
        <v>150</v>
      </c>
      <c r="L635" s="83"/>
    </row>
    <row r="636" spans="3:12" s="84" customFormat="1" ht="31.5">
      <c r="C636" s="136">
        <v>610</v>
      </c>
      <c r="D636" s="178" t="s">
        <v>3304</v>
      </c>
      <c r="E636" s="2" t="s">
        <v>96</v>
      </c>
      <c r="F636" s="2" t="s">
        <v>716</v>
      </c>
      <c r="G636" s="79" t="s">
        <v>921</v>
      </c>
      <c r="H636" s="1" t="s">
        <v>3352</v>
      </c>
      <c r="I636" s="1" t="s">
        <v>407</v>
      </c>
      <c r="J636" s="80">
        <v>800</v>
      </c>
      <c r="K636" s="2" t="s">
        <v>150</v>
      </c>
      <c r="L636" s="83"/>
    </row>
    <row r="637" spans="3:12" s="84" customFormat="1" ht="31.5">
      <c r="C637" s="136">
        <v>611</v>
      </c>
      <c r="D637" s="178" t="s">
        <v>3305</v>
      </c>
      <c r="E637" s="2" t="s">
        <v>96</v>
      </c>
      <c r="F637" s="2" t="s">
        <v>716</v>
      </c>
      <c r="G637" s="79" t="s">
        <v>921</v>
      </c>
      <c r="H637" s="1" t="s">
        <v>3352</v>
      </c>
      <c r="I637" s="1" t="s">
        <v>407</v>
      </c>
      <c r="J637" s="80">
        <v>600</v>
      </c>
      <c r="K637" s="2" t="s">
        <v>150</v>
      </c>
      <c r="L637" s="83"/>
    </row>
    <row r="638" spans="3:12" s="84" customFormat="1" ht="31.5">
      <c r="C638" s="136">
        <v>612</v>
      </c>
      <c r="D638" s="178" t="s">
        <v>3306</v>
      </c>
      <c r="E638" s="2" t="s">
        <v>96</v>
      </c>
      <c r="F638" s="2" t="s">
        <v>716</v>
      </c>
      <c r="G638" s="79" t="s">
        <v>921</v>
      </c>
      <c r="H638" s="1" t="s">
        <v>3352</v>
      </c>
      <c r="I638" s="1" t="s">
        <v>407</v>
      </c>
      <c r="J638" s="80">
        <v>300</v>
      </c>
      <c r="K638" s="2" t="s">
        <v>154</v>
      </c>
      <c r="L638" s="83"/>
    </row>
    <row r="639" spans="3:12" s="84" customFormat="1" ht="31.5">
      <c r="C639" s="136">
        <v>613</v>
      </c>
      <c r="D639" s="178" t="s">
        <v>3307</v>
      </c>
      <c r="E639" s="2" t="s">
        <v>96</v>
      </c>
      <c r="F639" s="2" t="s">
        <v>716</v>
      </c>
      <c r="G639" s="79" t="s">
        <v>921</v>
      </c>
      <c r="H639" s="1" t="s">
        <v>3352</v>
      </c>
      <c r="I639" s="1" t="s">
        <v>407</v>
      </c>
      <c r="J639" s="80">
        <v>500</v>
      </c>
      <c r="K639" s="2" t="s">
        <v>156</v>
      </c>
      <c r="L639" s="83"/>
    </row>
    <row r="640" spans="3:12" s="84" customFormat="1" ht="31.5">
      <c r="C640" s="136">
        <v>614</v>
      </c>
      <c r="D640" s="178" t="s">
        <v>3308</v>
      </c>
      <c r="E640" s="2" t="s">
        <v>96</v>
      </c>
      <c r="F640" s="2" t="s">
        <v>716</v>
      </c>
      <c r="G640" s="79" t="s">
        <v>921</v>
      </c>
      <c r="H640" s="1" t="s">
        <v>3352</v>
      </c>
      <c r="I640" s="1" t="s">
        <v>407</v>
      </c>
      <c r="J640" s="80">
        <v>700</v>
      </c>
      <c r="K640" s="2" t="s">
        <v>156</v>
      </c>
      <c r="L640" s="83"/>
    </row>
    <row r="641" spans="3:12" s="84" customFormat="1" ht="31.5">
      <c r="C641" s="136">
        <v>615</v>
      </c>
      <c r="D641" s="178" t="s">
        <v>3309</v>
      </c>
      <c r="E641" s="2" t="s">
        <v>96</v>
      </c>
      <c r="F641" s="2" t="s">
        <v>716</v>
      </c>
      <c r="G641" s="79" t="s">
        <v>921</v>
      </c>
      <c r="H641" s="1" t="s">
        <v>3352</v>
      </c>
      <c r="I641" s="1" t="s">
        <v>407</v>
      </c>
      <c r="J641" s="80">
        <v>500</v>
      </c>
      <c r="K641" s="2" t="s">
        <v>156</v>
      </c>
      <c r="L641" s="83"/>
    </row>
    <row r="642" spans="3:12" s="84" customFormat="1" ht="31.5">
      <c r="C642" s="136">
        <v>616</v>
      </c>
      <c r="D642" s="178" t="s">
        <v>3310</v>
      </c>
      <c r="E642" s="2" t="s">
        <v>96</v>
      </c>
      <c r="F642" s="2" t="s">
        <v>716</v>
      </c>
      <c r="G642" s="79" t="s">
        <v>921</v>
      </c>
      <c r="H642" s="1" t="s">
        <v>3352</v>
      </c>
      <c r="I642" s="1" t="s">
        <v>407</v>
      </c>
      <c r="J642" s="80">
        <v>300</v>
      </c>
      <c r="K642" s="2" t="s">
        <v>150</v>
      </c>
      <c r="L642" s="83"/>
    </row>
    <row r="643" spans="3:12" s="84" customFormat="1" ht="31.5">
      <c r="C643" s="136">
        <v>617</v>
      </c>
      <c r="D643" s="178" t="s">
        <v>3311</v>
      </c>
      <c r="E643" s="2" t="s">
        <v>96</v>
      </c>
      <c r="F643" s="2" t="s">
        <v>716</v>
      </c>
      <c r="G643" s="79" t="s">
        <v>921</v>
      </c>
      <c r="H643" s="1" t="s">
        <v>3352</v>
      </c>
      <c r="I643" s="1" t="s">
        <v>407</v>
      </c>
      <c r="J643" s="80">
        <v>600</v>
      </c>
      <c r="K643" s="2" t="s">
        <v>150</v>
      </c>
      <c r="L643" s="83"/>
    </row>
    <row r="644" spans="3:12" s="84" customFormat="1" ht="31.5">
      <c r="C644" s="136">
        <v>618</v>
      </c>
      <c r="D644" s="178" t="s">
        <v>3312</v>
      </c>
      <c r="E644" s="2" t="s">
        <v>96</v>
      </c>
      <c r="F644" s="2" t="s">
        <v>716</v>
      </c>
      <c r="G644" s="79" t="s">
        <v>921</v>
      </c>
      <c r="H644" s="1" t="s">
        <v>3352</v>
      </c>
      <c r="I644" s="1" t="s">
        <v>407</v>
      </c>
      <c r="J644" s="80">
        <v>800</v>
      </c>
      <c r="K644" s="2" t="s">
        <v>150</v>
      </c>
      <c r="L644" s="83"/>
    </row>
    <row r="645" spans="3:12" s="84" customFormat="1" ht="31.5">
      <c r="C645" s="136">
        <v>619</v>
      </c>
      <c r="D645" s="178" t="s">
        <v>3313</v>
      </c>
      <c r="E645" s="2" t="s">
        <v>96</v>
      </c>
      <c r="F645" s="2" t="s">
        <v>716</v>
      </c>
      <c r="G645" s="79" t="s">
        <v>921</v>
      </c>
      <c r="H645" s="1" t="s">
        <v>3352</v>
      </c>
      <c r="I645" s="1" t="s">
        <v>407</v>
      </c>
      <c r="J645" s="80">
        <v>400</v>
      </c>
      <c r="K645" s="2" t="s">
        <v>150</v>
      </c>
      <c r="L645" s="83"/>
    </row>
    <row r="646" spans="3:12" s="84" customFormat="1" ht="31.5">
      <c r="C646" s="136">
        <v>620</v>
      </c>
      <c r="D646" s="178" t="s">
        <v>3314</v>
      </c>
      <c r="E646" s="2" t="s">
        <v>96</v>
      </c>
      <c r="F646" s="2" t="s">
        <v>716</v>
      </c>
      <c r="G646" s="79" t="s">
        <v>921</v>
      </c>
      <c r="H646" s="1" t="s">
        <v>72</v>
      </c>
      <c r="I646" s="1" t="s">
        <v>407</v>
      </c>
      <c r="J646" s="80">
        <v>500</v>
      </c>
      <c r="K646" s="2" t="s">
        <v>154</v>
      </c>
      <c r="L646" s="83"/>
    </row>
    <row r="647" spans="3:12" s="84" customFormat="1" ht="31.5">
      <c r="C647" s="136">
        <v>621</v>
      </c>
      <c r="D647" s="178" t="s">
        <v>3315</v>
      </c>
      <c r="E647" s="2" t="s">
        <v>96</v>
      </c>
      <c r="F647" s="2" t="s">
        <v>716</v>
      </c>
      <c r="G647" s="79" t="s">
        <v>921</v>
      </c>
      <c r="H647" s="1" t="s">
        <v>72</v>
      </c>
      <c r="I647" s="1" t="s">
        <v>407</v>
      </c>
      <c r="J647" s="80">
        <v>500</v>
      </c>
      <c r="K647" s="2" t="s">
        <v>156</v>
      </c>
      <c r="L647" s="83"/>
    </row>
    <row r="648" spans="3:12" s="84" customFormat="1" ht="31.5">
      <c r="C648" s="136">
        <v>622</v>
      </c>
      <c r="D648" s="178" t="s">
        <v>3316</v>
      </c>
      <c r="E648" s="2" t="s">
        <v>96</v>
      </c>
      <c r="F648" s="2" t="s">
        <v>716</v>
      </c>
      <c r="G648" s="79" t="s">
        <v>921</v>
      </c>
      <c r="H648" s="1" t="s">
        <v>72</v>
      </c>
      <c r="I648" s="1" t="s">
        <v>407</v>
      </c>
      <c r="J648" s="80">
        <v>500</v>
      </c>
      <c r="K648" s="2" t="s">
        <v>157</v>
      </c>
      <c r="L648" s="83"/>
    </row>
    <row r="649" spans="3:12" s="84" customFormat="1" ht="31.5">
      <c r="C649" s="136">
        <v>623</v>
      </c>
      <c r="D649" s="178" t="s">
        <v>3317</v>
      </c>
      <c r="E649" s="2" t="s">
        <v>96</v>
      </c>
      <c r="F649" s="2" t="s">
        <v>716</v>
      </c>
      <c r="G649" s="79" t="s">
        <v>921</v>
      </c>
      <c r="H649" s="1" t="s">
        <v>72</v>
      </c>
      <c r="I649" s="1" t="s">
        <v>407</v>
      </c>
      <c r="J649" s="80">
        <v>300</v>
      </c>
      <c r="K649" s="2" t="s">
        <v>157</v>
      </c>
      <c r="L649" s="83"/>
    </row>
    <row r="650" spans="3:12" s="84" customFormat="1" ht="31.5">
      <c r="C650" s="136">
        <v>624</v>
      </c>
      <c r="D650" s="178" t="s">
        <v>3318</v>
      </c>
      <c r="E650" s="2" t="s">
        <v>96</v>
      </c>
      <c r="F650" s="2" t="s">
        <v>716</v>
      </c>
      <c r="G650" s="79" t="s">
        <v>921</v>
      </c>
      <c r="H650" s="1" t="s">
        <v>3351</v>
      </c>
      <c r="I650" s="1" t="s">
        <v>407</v>
      </c>
      <c r="J650" s="80">
        <v>1000</v>
      </c>
      <c r="K650" s="2" t="s">
        <v>156</v>
      </c>
      <c r="L650" s="83"/>
    </row>
    <row r="651" spans="3:12" s="84" customFormat="1" ht="31.5">
      <c r="C651" s="136">
        <v>625</v>
      </c>
      <c r="D651" s="178" t="s">
        <v>3319</v>
      </c>
      <c r="E651" s="2" t="s">
        <v>96</v>
      </c>
      <c r="F651" s="2" t="s">
        <v>716</v>
      </c>
      <c r="G651" s="79" t="s">
        <v>921</v>
      </c>
      <c r="H651" s="1" t="s">
        <v>100</v>
      </c>
      <c r="I651" s="1" t="s">
        <v>337</v>
      </c>
      <c r="J651" s="80">
        <v>500</v>
      </c>
      <c r="K651" s="2" t="s">
        <v>150</v>
      </c>
      <c r="L651" s="83"/>
    </row>
    <row r="652" spans="3:12" s="84" customFormat="1" ht="31.5">
      <c r="C652" s="136">
        <v>626</v>
      </c>
      <c r="D652" s="178" t="s">
        <v>3320</v>
      </c>
      <c r="E652" s="2" t="s">
        <v>96</v>
      </c>
      <c r="F652" s="2" t="s">
        <v>716</v>
      </c>
      <c r="G652" s="79" t="s">
        <v>921</v>
      </c>
      <c r="H652" s="1" t="s">
        <v>100</v>
      </c>
      <c r="I652" s="1" t="s">
        <v>407</v>
      </c>
      <c r="J652" s="80">
        <v>300</v>
      </c>
      <c r="K652" s="2" t="s">
        <v>150</v>
      </c>
      <c r="L652" s="83"/>
    </row>
    <row r="653" spans="3:12" s="84" customFormat="1" ht="31.5">
      <c r="C653" s="136">
        <v>627</v>
      </c>
      <c r="D653" s="178" t="s">
        <v>3321</v>
      </c>
      <c r="E653" s="2" t="s">
        <v>96</v>
      </c>
      <c r="F653" s="2" t="s">
        <v>716</v>
      </c>
      <c r="G653" s="79" t="s">
        <v>921</v>
      </c>
      <c r="H653" s="1" t="s">
        <v>100</v>
      </c>
      <c r="I653" s="1" t="s">
        <v>407</v>
      </c>
      <c r="J653" s="80">
        <v>600</v>
      </c>
      <c r="K653" s="2" t="s">
        <v>150</v>
      </c>
      <c r="L653" s="83"/>
    </row>
    <row r="654" spans="3:12" s="84" customFormat="1" ht="31.5">
      <c r="C654" s="136">
        <v>628</v>
      </c>
      <c r="D654" s="178" t="s">
        <v>3322</v>
      </c>
      <c r="E654" s="2" t="s">
        <v>96</v>
      </c>
      <c r="F654" s="2" t="s">
        <v>716</v>
      </c>
      <c r="G654" s="79" t="s">
        <v>921</v>
      </c>
      <c r="H654" s="1" t="s">
        <v>100</v>
      </c>
      <c r="I654" s="1" t="s">
        <v>407</v>
      </c>
      <c r="J654" s="80">
        <v>800</v>
      </c>
      <c r="K654" s="2" t="s">
        <v>154</v>
      </c>
      <c r="L654" s="83"/>
    </row>
    <row r="655" spans="3:12" s="84" customFormat="1" ht="31.5">
      <c r="C655" s="136">
        <v>629</v>
      </c>
      <c r="D655" s="178" t="s">
        <v>3323</v>
      </c>
      <c r="E655" s="2" t="s">
        <v>96</v>
      </c>
      <c r="F655" s="2" t="s">
        <v>716</v>
      </c>
      <c r="G655" s="79" t="s">
        <v>921</v>
      </c>
      <c r="H655" s="1" t="s">
        <v>100</v>
      </c>
      <c r="I655" s="1" t="s">
        <v>84</v>
      </c>
      <c r="J655" s="80">
        <v>800</v>
      </c>
      <c r="K655" s="2" t="s">
        <v>154</v>
      </c>
      <c r="L655" s="83"/>
    </row>
    <row r="656" spans="3:12" s="84" customFormat="1" ht="31.5">
      <c r="C656" s="136">
        <v>630</v>
      </c>
      <c r="D656" s="178" t="s">
        <v>3324</v>
      </c>
      <c r="E656" s="2" t="s">
        <v>96</v>
      </c>
      <c r="F656" s="2" t="s">
        <v>716</v>
      </c>
      <c r="G656" s="79" t="s">
        <v>921</v>
      </c>
      <c r="H656" s="1" t="s">
        <v>3350</v>
      </c>
      <c r="I656" s="1" t="s">
        <v>407</v>
      </c>
      <c r="J656" s="80">
        <v>1200</v>
      </c>
      <c r="K656" s="2" t="s">
        <v>157</v>
      </c>
      <c r="L656" s="83"/>
    </row>
    <row r="657" spans="3:12" s="84" customFormat="1" ht="31.5">
      <c r="C657" s="136">
        <v>631</v>
      </c>
      <c r="D657" s="178" t="s">
        <v>144</v>
      </c>
      <c r="E657" s="2" t="s">
        <v>96</v>
      </c>
      <c r="F657" s="2" t="s">
        <v>716</v>
      </c>
      <c r="G657" s="79" t="s">
        <v>921</v>
      </c>
      <c r="H657" s="1" t="s">
        <v>1126</v>
      </c>
      <c r="I657" s="1" t="s">
        <v>407</v>
      </c>
      <c r="J657" s="80">
        <v>2600</v>
      </c>
      <c r="K657" s="2" t="s">
        <v>212</v>
      </c>
      <c r="L657" s="83"/>
    </row>
    <row r="658" spans="3:12" s="84" customFormat="1" ht="31.5">
      <c r="C658" s="136">
        <v>632</v>
      </c>
      <c r="D658" s="178" t="s">
        <v>3325</v>
      </c>
      <c r="E658" s="2" t="s">
        <v>96</v>
      </c>
      <c r="F658" s="2" t="s">
        <v>716</v>
      </c>
      <c r="G658" s="79" t="s">
        <v>921</v>
      </c>
      <c r="H658" s="1" t="s">
        <v>144</v>
      </c>
      <c r="I658" s="1" t="s">
        <v>407</v>
      </c>
      <c r="J658" s="80">
        <v>10500</v>
      </c>
      <c r="K658" s="2" t="s">
        <v>155</v>
      </c>
      <c r="L658" s="83"/>
    </row>
    <row r="659" spans="3:12" s="84" customFormat="1" ht="31.5">
      <c r="C659" s="136">
        <v>633</v>
      </c>
      <c r="D659" s="178" t="s">
        <v>3471</v>
      </c>
      <c r="E659" s="2" t="s">
        <v>96</v>
      </c>
      <c r="F659" s="2" t="s">
        <v>716</v>
      </c>
      <c r="G659" s="79" t="s">
        <v>921</v>
      </c>
      <c r="H659" s="1" t="s">
        <v>689</v>
      </c>
      <c r="I659" s="1" t="s">
        <v>407</v>
      </c>
      <c r="J659" s="80">
        <v>1900</v>
      </c>
      <c r="K659" s="2" t="s">
        <v>156</v>
      </c>
      <c r="L659" s="83"/>
    </row>
    <row r="660" spans="3:12" s="84" customFormat="1" ht="31.5">
      <c r="C660" s="136">
        <v>634</v>
      </c>
      <c r="D660" s="178" t="s">
        <v>3326</v>
      </c>
      <c r="E660" s="2" t="s">
        <v>96</v>
      </c>
      <c r="F660" s="2" t="s">
        <v>716</v>
      </c>
      <c r="G660" s="79" t="s">
        <v>921</v>
      </c>
      <c r="H660" s="1" t="s">
        <v>689</v>
      </c>
      <c r="I660" s="1" t="s">
        <v>407</v>
      </c>
      <c r="J660" s="80">
        <v>1000</v>
      </c>
      <c r="K660" s="2" t="s">
        <v>156</v>
      </c>
      <c r="L660" s="83"/>
    </row>
    <row r="661" spans="3:12" s="84" customFormat="1" ht="31.5">
      <c r="C661" s="136">
        <v>635</v>
      </c>
      <c r="D661" s="178" t="s">
        <v>3327</v>
      </c>
      <c r="E661" s="2" t="s">
        <v>96</v>
      </c>
      <c r="F661" s="2" t="s">
        <v>716</v>
      </c>
      <c r="G661" s="79" t="s">
        <v>921</v>
      </c>
      <c r="H661" s="1" t="s">
        <v>689</v>
      </c>
      <c r="I661" s="1" t="s">
        <v>669</v>
      </c>
      <c r="J661" s="80">
        <v>800</v>
      </c>
      <c r="K661" s="2" t="s">
        <v>163</v>
      </c>
      <c r="L661" s="83"/>
    </row>
    <row r="662" spans="3:12" s="84" customFormat="1" ht="31.5">
      <c r="C662" s="136">
        <v>636</v>
      </c>
      <c r="D662" s="178" t="s">
        <v>145</v>
      </c>
      <c r="E662" s="2" t="s">
        <v>96</v>
      </c>
      <c r="F662" s="2" t="s">
        <v>716</v>
      </c>
      <c r="G662" s="79" t="s">
        <v>921</v>
      </c>
      <c r="H662" s="1" t="s">
        <v>669</v>
      </c>
      <c r="I662" s="1" t="s">
        <v>407</v>
      </c>
      <c r="J662" s="80">
        <v>700</v>
      </c>
      <c r="K662" s="2" t="s">
        <v>156</v>
      </c>
      <c r="L662" s="83"/>
    </row>
    <row r="663" spans="3:12" s="84" customFormat="1" ht="31.5">
      <c r="C663" s="136">
        <v>637</v>
      </c>
      <c r="D663" s="178" t="s">
        <v>146</v>
      </c>
      <c r="E663" s="2" t="s">
        <v>96</v>
      </c>
      <c r="F663" s="2" t="s">
        <v>716</v>
      </c>
      <c r="G663" s="79" t="s">
        <v>921</v>
      </c>
      <c r="H663" s="1" t="s">
        <v>669</v>
      </c>
      <c r="I663" s="1" t="s">
        <v>691</v>
      </c>
      <c r="J663" s="80">
        <v>3000</v>
      </c>
      <c r="K663" s="2" t="s">
        <v>150</v>
      </c>
      <c r="L663" s="83"/>
    </row>
    <row r="664" spans="3:12" s="84" customFormat="1" ht="31.5">
      <c r="C664" s="136">
        <v>638</v>
      </c>
      <c r="D664" s="178" t="s">
        <v>3328</v>
      </c>
      <c r="E664" s="2" t="s">
        <v>96</v>
      </c>
      <c r="F664" s="2" t="s">
        <v>716</v>
      </c>
      <c r="G664" s="79" t="s">
        <v>921</v>
      </c>
      <c r="H664" s="1" t="s">
        <v>3437</v>
      </c>
      <c r="I664" s="1" t="s">
        <v>102</v>
      </c>
      <c r="J664" s="80">
        <v>980</v>
      </c>
      <c r="K664" s="2" t="s">
        <v>154</v>
      </c>
      <c r="L664" s="83"/>
    </row>
    <row r="665" spans="3:12" s="84" customFormat="1" ht="31.5">
      <c r="C665" s="136">
        <v>639</v>
      </c>
      <c r="D665" s="178" t="s">
        <v>3329</v>
      </c>
      <c r="E665" s="89" t="s">
        <v>96</v>
      </c>
      <c r="F665" s="2" t="s">
        <v>716</v>
      </c>
      <c r="G665" s="79" t="s">
        <v>921</v>
      </c>
      <c r="H665" s="90" t="s">
        <v>132</v>
      </c>
      <c r="I665" s="90" t="s">
        <v>3584</v>
      </c>
      <c r="J665" s="80">
        <v>860</v>
      </c>
      <c r="K665" s="2" t="s">
        <v>150</v>
      </c>
      <c r="L665" s="83"/>
    </row>
    <row r="666" spans="3:12" s="84" customFormat="1" ht="31.5">
      <c r="C666" s="136">
        <v>640</v>
      </c>
      <c r="D666" s="178" t="s">
        <v>3714</v>
      </c>
      <c r="E666" s="89" t="s">
        <v>96</v>
      </c>
      <c r="F666" s="2" t="s">
        <v>716</v>
      </c>
      <c r="G666" s="79" t="s">
        <v>921</v>
      </c>
      <c r="H666" s="90" t="s">
        <v>50</v>
      </c>
      <c r="I666" s="90" t="s">
        <v>691</v>
      </c>
      <c r="J666" s="80">
        <v>480</v>
      </c>
      <c r="K666" s="2" t="s">
        <v>152</v>
      </c>
      <c r="L666" s="83"/>
    </row>
    <row r="667" spans="3:12" s="84" customFormat="1" ht="31.5">
      <c r="C667" s="136">
        <v>641</v>
      </c>
      <c r="D667" s="178" t="s">
        <v>3715</v>
      </c>
      <c r="E667" s="89" t="s">
        <v>96</v>
      </c>
      <c r="F667" s="2" t="s">
        <v>716</v>
      </c>
      <c r="G667" s="79" t="s">
        <v>921</v>
      </c>
      <c r="H667" s="90" t="s">
        <v>50</v>
      </c>
      <c r="I667" s="90" t="s">
        <v>691</v>
      </c>
      <c r="J667" s="80">
        <v>220</v>
      </c>
      <c r="K667" s="2" t="s">
        <v>184</v>
      </c>
      <c r="L667" s="83"/>
    </row>
    <row r="668" spans="3:12" s="84" customFormat="1" ht="31.5">
      <c r="C668" s="136">
        <v>642</v>
      </c>
      <c r="D668" s="178" t="s">
        <v>3716</v>
      </c>
      <c r="E668" s="89" t="s">
        <v>96</v>
      </c>
      <c r="F668" s="2" t="s">
        <v>716</v>
      </c>
      <c r="G668" s="79" t="s">
        <v>921</v>
      </c>
      <c r="H668" s="90" t="s">
        <v>50</v>
      </c>
      <c r="I668" s="90" t="s">
        <v>691</v>
      </c>
      <c r="J668" s="80">
        <v>340</v>
      </c>
      <c r="K668" s="2" t="s">
        <v>152</v>
      </c>
      <c r="L668" s="83"/>
    </row>
    <row r="669" spans="3:12" s="84" customFormat="1" ht="31.5">
      <c r="C669" s="136">
        <v>643</v>
      </c>
      <c r="D669" s="178" t="s">
        <v>3717</v>
      </c>
      <c r="E669" s="89" t="s">
        <v>96</v>
      </c>
      <c r="F669" s="2" t="s">
        <v>716</v>
      </c>
      <c r="G669" s="79" t="s">
        <v>921</v>
      </c>
      <c r="H669" s="90" t="s">
        <v>50</v>
      </c>
      <c r="I669" s="90" t="s">
        <v>691</v>
      </c>
      <c r="J669" s="80">
        <v>110</v>
      </c>
      <c r="K669" s="2" t="s">
        <v>164</v>
      </c>
      <c r="L669" s="83"/>
    </row>
    <row r="670" spans="3:12" s="84" customFormat="1" ht="31.5">
      <c r="C670" s="136">
        <v>644</v>
      </c>
      <c r="D670" s="178" t="s">
        <v>3718</v>
      </c>
      <c r="E670" s="89" t="s">
        <v>96</v>
      </c>
      <c r="F670" s="2" t="s">
        <v>716</v>
      </c>
      <c r="G670" s="79" t="s">
        <v>921</v>
      </c>
      <c r="H670" s="90" t="s">
        <v>50</v>
      </c>
      <c r="I670" s="90" t="s">
        <v>691</v>
      </c>
      <c r="J670" s="80">
        <v>90</v>
      </c>
      <c r="K670" s="2" t="s">
        <v>164</v>
      </c>
      <c r="L670" s="83"/>
    </row>
    <row r="671" spans="3:12" s="84" customFormat="1" ht="31.5">
      <c r="C671" s="136">
        <v>645</v>
      </c>
      <c r="D671" s="178" t="s">
        <v>3719</v>
      </c>
      <c r="E671" s="89" t="s">
        <v>96</v>
      </c>
      <c r="F671" s="2" t="s">
        <v>716</v>
      </c>
      <c r="G671" s="79" t="s">
        <v>921</v>
      </c>
      <c r="H671" s="90" t="s">
        <v>691</v>
      </c>
      <c r="I671" s="90" t="s">
        <v>3353</v>
      </c>
      <c r="J671" s="80">
        <v>500</v>
      </c>
      <c r="K671" s="2" t="s">
        <v>306</v>
      </c>
      <c r="L671" s="83"/>
    </row>
    <row r="672" spans="3:12" s="84" customFormat="1" ht="31.5">
      <c r="C672" s="136">
        <v>646</v>
      </c>
      <c r="D672" s="178" t="s">
        <v>3720</v>
      </c>
      <c r="E672" s="89" t="s">
        <v>96</v>
      </c>
      <c r="F672" s="2" t="s">
        <v>716</v>
      </c>
      <c r="G672" s="79" t="s">
        <v>921</v>
      </c>
      <c r="H672" s="90" t="s">
        <v>50</v>
      </c>
      <c r="I672" s="90" t="s">
        <v>691</v>
      </c>
      <c r="J672" s="80">
        <v>470</v>
      </c>
      <c r="K672" s="2" t="s">
        <v>165</v>
      </c>
      <c r="L672" s="83"/>
    </row>
    <row r="673" spans="3:12" s="84" customFormat="1" ht="31.5">
      <c r="C673" s="136">
        <v>647</v>
      </c>
      <c r="D673" s="178" t="s">
        <v>3330</v>
      </c>
      <c r="E673" s="89" t="s">
        <v>96</v>
      </c>
      <c r="F673" s="2" t="s">
        <v>716</v>
      </c>
      <c r="G673" s="79" t="s">
        <v>921</v>
      </c>
      <c r="H673" s="90" t="s">
        <v>50</v>
      </c>
      <c r="I673" s="90" t="s">
        <v>3353</v>
      </c>
      <c r="J673" s="80">
        <v>1200</v>
      </c>
      <c r="K673" s="2" t="s">
        <v>346</v>
      </c>
      <c r="L673" s="83"/>
    </row>
    <row r="674" spans="3:12" s="84" customFormat="1" ht="31.5">
      <c r="C674" s="136">
        <v>648</v>
      </c>
      <c r="D674" s="178" t="s">
        <v>345</v>
      </c>
      <c r="E674" s="2" t="s">
        <v>96</v>
      </c>
      <c r="F674" s="2" t="s">
        <v>716</v>
      </c>
      <c r="G674" s="79" t="s">
        <v>921</v>
      </c>
      <c r="H674" s="1" t="s">
        <v>333</v>
      </c>
      <c r="I674" s="1" t="s">
        <v>122</v>
      </c>
      <c r="J674" s="80">
        <v>800</v>
      </c>
      <c r="K674" s="2" t="s">
        <v>156</v>
      </c>
      <c r="L674" s="83"/>
    </row>
    <row r="675" spans="3:12" s="84" customFormat="1" ht="31.5">
      <c r="C675" s="136">
        <v>649</v>
      </c>
      <c r="D675" s="178" t="s">
        <v>344</v>
      </c>
      <c r="E675" s="2" t="s">
        <v>96</v>
      </c>
      <c r="F675" s="2" t="s">
        <v>716</v>
      </c>
      <c r="G675" s="79" t="s">
        <v>921</v>
      </c>
      <c r="H675" s="1" t="s">
        <v>132</v>
      </c>
      <c r="I675" s="1" t="s">
        <v>333</v>
      </c>
      <c r="J675" s="80">
        <v>650</v>
      </c>
      <c r="K675" s="2" t="s">
        <v>153</v>
      </c>
      <c r="L675" s="83"/>
    </row>
    <row r="676" spans="3:12" s="84" customFormat="1" ht="31.5">
      <c r="C676" s="136">
        <v>650</v>
      </c>
      <c r="D676" s="178" t="s">
        <v>343</v>
      </c>
      <c r="E676" s="2" t="s">
        <v>96</v>
      </c>
      <c r="F676" s="2" t="s">
        <v>716</v>
      </c>
      <c r="G676" s="79" t="s">
        <v>921</v>
      </c>
      <c r="H676" s="1" t="s">
        <v>387</v>
      </c>
      <c r="I676" s="1" t="s">
        <v>333</v>
      </c>
      <c r="J676" s="80">
        <v>150</v>
      </c>
      <c r="K676" s="2" t="s">
        <v>152</v>
      </c>
      <c r="L676" s="83"/>
    </row>
    <row r="677" spans="3:12" s="84" customFormat="1" ht="31.5">
      <c r="C677" s="136">
        <v>651</v>
      </c>
      <c r="D677" s="178" t="s">
        <v>342</v>
      </c>
      <c r="E677" s="2" t="s">
        <v>96</v>
      </c>
      <c r="F677" s="2" t="s">
        <v>716</v>
      </c>
      <c r="G677" s="79" t="s">
        <v>921</v>
      </c>
      <c r="H677" s="1" t="s">
        <v>132</v>
      </c>
      <c r="I677" s="1" t="s">
        <v>333</v>
      </c>
      <c r="J677" s="80">
        <v>180</v>
      </c>
      <c r="K677" s="2" t="s">
        <v>162</v>
      </c>
      <c r="L677" s="83"/>
    </row>
    <row r="678" spans="3:12" s="84" customFormat="1" ht="31.5">
      <c r="C678" s="136">
        <v>652</v>
      </c>
      <c r="D678" s="178" t="s">
        <v>341</v>
      </c>
      <c r="E678" s="2" t="s">
        <v>96</v>
      </c>
      <c r="F678" s="2" t="s">
        <v>716</v>
      </c>
      <c r="G678" s="79" t="s">
        <v>921</v>
      </c>
      <c r="H678" s="1" t="s">
        <v>132</v>
      </c>
      <c r="I678" s="1" t="s">
        <v>333</v>
      </c>
      <c r="J678" s="80">
        <v>120</v>
      </c>
      <c r="K678" s="2" t="s">
        <v>154</v>
      </c>
      <c r="L678" s="83"/>
    </row>
    <row r="679" spans="3:12" s="84" customFormat="1" ht="31.5">
      <c r="C679" s="136">
        <v>653</v>
      </c>
      <c r="D679" s="178" t="s">
        <v>340</v>
      </c>
      <c r="E679" s="2" t="s">
        <v>96</v>
      </c>
      <c r="F679" s="2" t="s">
        <v>716</v>
      </c>
      <c r="G679" s="79" t="s">
        <v>921</v>
      </c>
      <c r="H679" s="1" t="s">
        <v>333</v>
      </c>
      <c r="I679" s="1" t="s">
        <v>333</v>
      </c>
      <c r="J679" s="80">
        <v>230</v>
      </c>
      <c r="K679" s="2" t="s">
        <v>203</v>
      </c>
      <c r="L679" s="83"/>
    </row>
    <row r="680" spans="3:12" s="84" customFormat="1" ht="31.5">
      <c r="C680" s="136">
        <v>654</v>
      </c>
      <c r="D680" s="178" t="s">
        <v>339</v>
      </c>
      <c r="E680" s="2" t="s">
        <v>96</v>
      </c>
      <c r="F680" s="2" t="s">
        <v>716</v>
      </c>
      <c r="G680" s="79" t="s">
        <v>921</v>
      </c>
      <c r="H680" s="1" t="s">
        <v>333</v>
      </c>
      <c r="I680" s="1" t="s">
        <v>122</v>
      </c>
      <c r="J680" s="80">
        <v>500</v>
      </c>
      <c r="K680" s="2" t="s">
        <v>165</v>
      </c>
      <c r="L680" s="83"/>
    </row>
    <row r="681" spans="3:12" s="84" customFormat="1" ht="31.5">
      <c r="C681" s="136">
        <v>655</v>
      </c>
      <c r="D681" s="178" t="s">
        <v>338</v>
      </c>
      <c r="E681" s="2" t="s">
        <v>96</v>
      </c>
      <c r="F681" s="2" t="s">
        <v>716</v>
      </c>
      <c r="G681" s="79" t="s">
        <v>921</v>
      </c>
      <c r="H681" s="1" t="s">
        <v>337</v>
      </c>
      <c r="I681" s="1" t="s">
        <v>333</v>
      </c>
      <c r="J681" s="80">
        <v>420</v>
      </c>
      <c r="K681" s="2" t="s">
        <v>157</v>
      </c>
      <c r="L681" s="83"/>
    </row>
    <row r="682" spans="3:12" s="84" customFormat="1" ht="31.5">
      <c r="C682" s="136">
        <v>656</v>
      </c>
      <c r="D682" s="178" t="s">
        <v>336</v>
      </c>
      <c r="E682" s="2" t="s">
        <v>96</v>
      </c>
      <c r="F682" s="2" t="s">
        <v>716</v>
      </c>
      <c r="G682" s="79" t="s">
        <v>921</v>
      </c>
      <c r="H682" s="1" t="s">
        <v>333</v>
      </c>
      <c r="I682" s="1" t="s">
        <v>122</v>
      </c>
      <c r="J682" s="80">
        <v>1300</v>
      </c>
      <c r="K682" s="2" t="s">
        <v>150</v>
      </c>
      <c r="L682" s="83"/>
    </row>
    <row r="683" spans="3:12" s="84" customFormat="1" ht="31.5">
      <c r="C683" s="136">
        <v>657</v>
      </c>
      <c r="D683" s="178" t="s">
        <v>335</v>
      </c>
      <c r="E683" s="2" t="s">
        <v>96</v>
      </c>
      <c r="F683" s="2" t="s">
        <v>716</v>
      </c>
      <c r="G683" s="79" t="s">
        <v>921</v>
      </c>
      <c r="H683" s="1" t="s">
        <v>387</v>
      </c>
      <c r="I683" s="1" t="s">
        <v>333</v>
      </c>
      <c r="J683" s="80">
        <v>300</v>
      </c>
      <c r="K683" s="2" t="s">
        <v>153</v>
      </c>
      <c r="L683" s="83"/>
    </row>
    <row r="684" spans="3:12" s="84" customFormat="1" ht="31.5">
      <c r="C684" s="136">
        <v>658</v>
      </c>
      <c r="D684" s="178" t="s">
        <v>334</v>
      </c>
      <c r="E684" s="2" t="s">
        <v>96</v>
      </c>
      <c r="F684" s="2" t="s">
        <v>716</v>
      </c>
      <c r="G684" s="79" t="s">
        <v>921</v>
      </c>
      <c r="H684" s="1" t="s">
        <v>387</v>
      </c>
      <c r="I684" s="1" t="s">
        <v>333</v>
      </c>
      <c r="J684" s="80">
        <v>550</v>
      </c>
      <c r="K684" s="2" t="s">
        <v>157</v>
      </c>
      <c r="L684" s="83"/>
    </row>
    <row r="685" spans="3:12" s="84" customFormat="1" ht="31.5">
      <c r="C685" s="136">
        <v>659</v>
      </c>
      <c r="D685" s="178" t="s">
        <v>3331</v>
      </c>
      <c r="E685" s="89" t="s">
        <v>96</v>
      </c>
      <c r="F685" s="2" t="s">
        <v>716</v>
      </c>
      <c r="G685" s="79" t="s">
        <v>921</v>
      </c>
      <c r="H685" s="90" t="s">
        <v>337</v>
      </c>
      <c r="I685" s="90" t="s">
        <v>337</v>
      </c>
      <c r="J685" s="80">
        <v>250</v>
      </c>
      <c r="K685" s="2" t="s">
        <v>154</v>
      </c>
      <c r="L685" s="83"/>
    </row>
    <row r="686" spans="3:12" s="84" customFormat="1" ht="31.5">
      <c r="C686" s="136">
        <v>660</v>
      </c>
      <c r="D686" s="178" t="s">
        <v>3332</v>
      </c>
      <c r="E686" s="89" t="s">
        <v>96</v>
      </c>
      <c r="F686" s="2" t="s">
        <v>716</v>
      </c>
      <c r="G686" s="79" t="s">
        <v>921</v>
      </c>
      <c r="H686" s="90" t="s">
        <v>50</v>
      </c>
      <c r="I686" s="90" t="s">
        <v>337</v>
      </c>
      <c r="J686" s="80">
        <v>310</v>
      </c>
      <c r="K686" s="2" t="s">
        <v>153</v>
      </c>
      <c r="L686" s="83"/>
    </row>
    <row r="687" spans="3:12" s="84" customFormat="1" ht="31.5">
      <c r="C687" s="136">
        <v>661</v>
      </c>
      <c r="D687" s="178" t="s">
        <v>3333</v>
      </c>
      <c r="E687" s="89" t="s">
        <v>96</v>
      </c>
      <c r="F687" s="2" t="s">
        <v>716</v>
      </c>
      <c r="G687" s="79" t="s">
        <v>921</v>
      </c>
      <c r="H687" s="90" t="s">
        <v>50</v>
      </c>
      <c r="I687" s="90" t="s">
        <v>337</v>
      </c>
      <c r="J687" s="80">
        <v>400</v>
      </c>
      <c r="K687" s="2" t="s">
        <v>162</v>
      </c>
      <c r="L687" s="83"/>
    </row>
    <row r="688" spans="3:12" s="84" customFormat="1" ht="31.5">
      <c r="C688" s="136">
        <v>662</v>
      </c>
      <c r="D688" s="178" t="s">
        <v>3334</v>
      </c>
      <c r="E688" s="89" t="s">
        <v>96</v>
      </c>
      <c r="F688" s="2" t="s">
        <v>716</v>
      </c>
      <c r="G688" s="79" t="s">
        <v>921</v>
      </c>
      <c r="H688" s="90" t="s">
        <v>337</v>
      </c>
      <c r="I688" s="90" t="s">
        <v>100</v>
      </c>
      <c r="J688" s="80">
        <v>270</v>
      </c>
      <c r="K688" s="2" t="s">
        <v>152</v>
      </c>
      <c r="L688" s="83"/>
    </row>
    <row r="689" spans="3:12" s="84" customFormat="1" ht="31.5">
      <c r="C689" s="136">
        <v>663</v>
      </c>
      <c r="D689" s="178" t="s">
        <v>3335</v>
      </c>
      <c r="E689" s="89" t="s">
        <v>96</v>
      </c>
      <c r="F689" s="2" t="s">
        <v>716</v>
      </c>
      <c r="G689" s="79" t="s">
        <v>921</v>
      </c>
      <c r="H689" s="90" t="s">
        <v>3354</v>
      </c>
      <c r="I689" s="90" t="s">
        <v>100</v>
      </c>
      <c r="J689" s="80">
        <v>180</v>
      </c>
      <c r="K689" s="2" t="s">
        <v>306</v>
      </c>
      <c r="L689" s="83"/>
    </row>
    <row r="690" spans="3:12" s="84" customFormat="1" ht="31.5">
      <c r="C690" s="136">
        <v>664</v>
      </c>
      <c r="D690" s="178" t="s">
        <v>3336</v>
      </c>
      <c r="E690" s="89" t="s">
        <v>96</v>
      </c>
      <c r="F690" s="2" t="s">
        <v>716</v>
      </c>
      <c r="G690" s="79" t="s">
        <v>921</v>
      </c>
      <c r="H690" s="90" t="s">
        <v>50</v>
      </c>
      <c r="I690" s="90" t="s">
        <v>3354</v>
      </c>
      <c r="J690" s="80">
        <v>360</v>
      </c>
      <c r="K690" s="2" t="s">
        <v>306</v>
      </c>
      <c r="L690" s="83"/>
    </row>
    <row r="691" spans="3:12" s="84" customFormat="1" ht="31.5">
      <c r="C691" s="136">
        <v>665</v>
      </c>
      <c r="D691" s="178" t="s">
        <v>3337</v>
      </c>
      <c r="E691" s="89" t="s">
        <v>96</v>
      </c>
      <c r="F691" s="2" t="s">
        <v>716</v>
      </c>
      <c r="G691" s="79" t="s">
        <v>921</v>
      </c>
      <c r="H691" s="90" t="s">
        <v>3354</v>
      </c>
      <c r="I691" s="90" t="s">
        <v>1126</v>
      </c>
      <c r="J691" s="80">
        <v>460</v>
      </c>
      <c r="K691" s="2" t="s">
        <v>154</v>
      </c>
      <c r="L691" s="83"/>
    </row>
    <row r="692" spans="3:12" s="84" customFormat="1" ht="31.5">
      <c r="C692" s="136">
        <v>666</v>
      </c>
      <c r="D692" s="178" t="s">
        <v>3338</v>
      </c>
      <c r="E692" s="89" t="s">
        <v>96</v>
      </c>
      <c r="F692" s="2" t="s">
        <v>716</v>
      </c>
      <c r="G692" s="79" t="s">
        <v>921</v>
      </c>
      <c r="H692" s="90" t="s">
        <v>3354</v>
      </c>
      <c r="I692" s="90" t="s">
        <v>1126</v>
      </c>
      <c r="J692" s="80">
        <v>300</v>
      </c>
      <c r="K692" s="2" t="s">
        <v>306</v>
      </c>
      <c r="L692" s="83"/>
    </row>
    <row r="693" spans="3:12" s="84" customFormat="1" ht="31.5">
      <c r="C693" s="136">
        <v>667</v>
      </c>
      <c r="D693" s="178" t="s">
        <v>3721</v>
      </c>
      <c r="E693" s="89" t="s">
        <v>96</v>
      </c>
      <c r="F693" s="2" t="s">
        <v>716</v>
      </c>
      <c r="G693" s="79" t="s">
        <v>921</v>
      </c>
      <c r="H693" s="90" t="s">
        <v>50</v>
      </c>
      <c r="I693" s="90" t="s">
        <v>100</v>
      </c>
      <c r="J693" s="80">
        <v>620</v>
      </c>
      <c r="K693" s="2" t="s">
        <v>153</v>
      </c>
      <c r="L693" s="83"/>
    </row>
    <row r="694" spans="3:12" s="84" customFormat="1" ht="31.5">
      <c r="C694" s="136">
        <v>668</v>
      </c>
      <c r="D694" s="178" t="s">
        <v>3722</v>
      </c>
      <c r="E694" s="89" t="s">
        <v>96</v>
      </c>
      <c r="F694" s="2" t="s">
        <v>716</v>
      </c>
      <c r="G694" s="79" t="s">
        <v>921</v>
      </c>
      <c r="H694" s="90" t="s">
        <v>50</v>
      </c>
      <c r="I694" s="90" t="s">
        <v>100</v>
      </c>
      <c r="J694" s="80">
        <v>760</v>
      </c>
      <c r="K694" s="2" t="s">
        <v>162</v>
      </c>
      <c r="L694" s="83"/>
    </row>
    <row r="695" spans="3:12" s="84" customFormat="1" ht="31.5">
      <c r="C695" s="136">
        <v>669</v>
      </c>
      <c r="D695" s="178" t="s">
        <v>3723</v>
      </c>
      <c r="E695" s="89" t="s">
        <v>96</v>
      </c>
      <c r="F695" s="2" t="s">
        <v>716</v>
      </c>
      <c r="G695" s="79" t="s">
        <v>921</v>
      </c>
      <c r="H695" s="90" t="s">
        <v>50</v>
      </c>
      <c r="I695" s="90" t="s">
        <v>100</v>
      </c>
      <c r="J695" s="80">
        <v>1200</v>
      </c>
      <c r="K695" s="2" t="s">
        <v>154</v>
      </c>
      <c r="L695" s="83"/>
    </row>
    <row r="696" spans="3:12" s="84" customFormat="1" ht="31.5">
      <c r="C696" s="136">
        <v>670</v>
      </c>
      <c r="D696" s="178" t="s">
        <v>3727</v>
      </c>
      <c r="E696" s="89" t="s">
        <v>96</v>
      </c>
      <c r="F696" s="2" t="s">
        <v>716</v>
      </c>
      <c r="G696" s="79" t="s">
        <v>921</v>
      </c>
      <c r="H696" s="90" t="s">
        <v>50</v>
      </c>
      <c r="I696" s="90" t="s">
        <v>100</v>
      </c>
      <c r="J696" s="80">
        <v>300</v>
      </c>
      <c r="K696" s="2" t="s">
        <v>203</v>
      </c>
      <c r="L696" s="83"/>
    </row>
    <row r="697" spans="3:12" s="84" customFormat="1" ht="31.5">
      <c r="C697" s="136">
        <v>671</v>
      </c>
      <c r="D697" s="178" t="s">
        <v>3728</v>
      </c>
      <c r="E697" s="89" t="s">
        <v>96</v>
      </c>
      <c r="F697" s="2" t="s">
        <v>716</v>
      </c>
      <c r="G697" s="79" t="s">
        <v>921</v>
      </c>
      <c r="H697" s="90" t="s">
        <v>50</v>
      </c>
      <c r="I697" s="90" t="s">
        <v>100</v>
      </c>
      <c r="J697" s="80">
        <v>170</v>
      </c>
      <c r="K697" s="2" t="s">
        <v>154</v>
      </c>
      <c r="L697" s="83"/>
    </row>
    <row r="698" spans="3:12" s="84" customFormat="1" ht="31.5">
      <c r="C698" s="136">
        <v>672</v>
      </c>
      <c r="D698" s="178" t="s">
        <v>3724</v>
      </c>
      <c r="E698" s="89" t="s">
        <v>96</v>
      </c>
      <c r="F698" s="2" t="s">
        <v>716</v>
      </c>
      <c r="G698" s="79" t="s">
        <v>921</v>
      </c>
      <c r="H698" s="90" t="s">
        <v>50</v>
      </c>
      <c r="I698" s="90" t="s">
        <v>3432</v>
      </c>
      <c r="J698" s="80">
        <v>700</v>
      </c>
      <c r="K698" s="2" t="s">
        <v>156</v>
      </c>
      <c r="L698" s="83"/>
    </row>
    <row r="699" spans="3:12" s="84" customFormat="1" ht="31.5">
      <c r="C699" s="136">
        <v>673</v>
      </c>
      <c r="D699" s="178" t="s">
        <v>3725</v>
      </c>
      <c r="E699" s="89" t="s">
        <v>96</v>
      </c>
      <c r="F699" s="2" t="s">
        <v>716</v>
      </c>
      <c r="G699" s="79" t="s">
        <v>921</v>
      </c>
      <c r="H699" s="90" t="s">
        <v>50</v>
      </c>
      <c r="I699" s="90" t="s">
        <v>3432</v>
      </c>
      <c r="J699" s="80">
        <v>800</v>
      </c>
      <c r="K699" s="2" t="s">
        <v>165</v>
      </c>
      <c r="L699" s="83"/>
    </row>
    <row r="700" spans="3:12" s="84" customFormat="1" ht="31.5">
      <c r="C700" s="136">
        <v>674</v>
      </c>
      <c r="D700" s="178" t="s">
        <v>3726</v>
      </c>
      <c r="E700" s="89" t="s">
        <v>96</v>
      </c>
      <c r="F700" s="2" t="s">
        <v>716</v>
      </c>
      <c r="G700" s="79" t="s">
        <v>921</v>
      </c>
      <c r="H700" s="90" t="s">
        <v>50</v>
      </c>
      <c r="I700" s="90" t="s">
        <v>3433</v>
      </c>
      <c r="J700" s="80">
        <v>850</v>
      </c>
      <c r="K700" s="2" t="s">
        <v>306</v>
      </c>
      <c r="L700" s="83"/>
    </row>
    <row r="701" spans="3:12" s="84" customFormat="1" ht="31.5">
      <c r="C701" s="136">
        <v>675</v>
      </c>
      <c r="D701" s="178" t="s">
        <v>330</v>
      </c>
      <c r="E701" s="89" t="s">
        <v>96</v>
      </c>
      <c r="F701" s="2" t="s">
        <v>716</v>
      </c>
      <c r="G701" s="79" t="s">
        <v>921</v>
      </c>
      <c r="H701" s="90" t="s">
        <v>50</v>
      </c>
      <c r="I701" s="90" t="s">
        <v>3434</v>
      </c>
      <c r="J701" s="80">
        <v>100</v>
      </c>
      <c r="K701" s="2" t="s">
        <v>329</v>
      </c>
      <c r="L701" s="83"/>
    </row>
    <row r="702" spans="3:12" s="84" customFormat="1" ht="31.5">
      <c r="C702" s="136">
        <v>676</v>
      </c>
      <c r="D702" s="178" t="s">
        <v>328</v>
      </c>
      <c r="E702" s="89" t="s">
        <v>96</v>
      </c>
      <c r="F702" s="2" t="s">
        <v>716</v>
      </c>
      <c r="G702" s="79" t="s">
        <v>921</v>
      </c>
      <c r="H702" s="90" t="s">
        <v>50</v>
      </c>
      <c r="I702" s="90" t="s">
        <v>3434</v>
      </c>
      <c r="J702" s="80">
        <v>230</v>
      </c>
      <c r="K702" s="2" t="s">
        <v>202</v>
      </c>
      <c r="L702" s="83"/>
    </row>
    <row r="703" spans="3:12" s="84" customFormat="1" ht="31.5">
      <c r="C703" s="136">
        <v>677</v>
      </c>
      <c r="D703" s="178" t="s">
        <v>327</v>
      </c>
      <c r="E703" s="89" t="s">
        <v>96</v>
      </c>
      <c r="F703" s="2" t="s">
        <v>716</v>
      </c>
      <c r="G703" s="79" t="s">
        <v>921</v>
      </c>
      <c r="H703" s="90" t="s">
        <v>79</v>
      </c>
      <c r="I703" s="90" t="s">
        <v>3434</v>
      </c>
      <c r="J703" s="80">
        <v>580</v>
      </c>
      <c r="K703" s="2" t="s">
        <v>326</v>
      </c>
      <c r="L703" s="83"/>
    </row>
    <row r="704" spans="3:12" s="84" customFormat="1" ht="31.5">
      <c r="C704" s="136">
        <v>678</v>
      </c>
      <c r="D704" s="178" t="s">
        <v>325</v>
      </c>
      <c r="E704" s="89" t="s">
        <v>96</v>
      </c>
      <c r="F704" s="2" t="s">
        <v>716</v>
      </c>
      <c r="G704" s="79" t="s">
        <v>921</v>
      </c>
      <c r="H704" s="90" t="s">
        <v>50</v>
      </c>
      <c r="I704" s="90" t="s">
        <v>3434</v>
      </c>
      <c r="J704" s="80">
        <v>520</v>
      </c>
      <c r="K704" s="2" t="s">
        <v>203</v>
      </c>
      <c r="L704" s="83"/>
    </row>
    <row r="705" spans="3:12" s="84" customFormat="1" ht="31.5">
      <c r="C705" s="136">
        <v>679</v>
      </c>
      <c r="D705" s="178" t="s">
        <v>324</v>
      </c>
      <c r="E705" s="89" t="s">
        <v>96</v>
      </c>
      <c r="F705" s="2" t="s">
        <v>716</v>
      </c>
      <c r="G705" s="79" t="s">
        <v>921</v>
      </c>
      <c r="H705" s="90" t="s">
        <v>50</v>
      </c>
      <c r="I705" s="90" t="s">
        <v>3434</v>
      </c>
      <c r="J705" s="80">
        <v>175</v>
      </c>
      <c r="K705" s="2" t="s">
        <v>152</v>
      </c>
      <c r="L705" s="83"/>
    </row>
    <row r="706" spans="3:12" s="84" customFormat="1" ht="31.5">
      <c r="C706" s="136">
        <v>680</v>
      </c>
      <c r="D706" s="178" t="s">
        <v>323</v>
      </c>
      <c r="E706" s="89" t="s">
        <v>96</v>
      </c>
      <c r="F706" s="2" t="s">
        <v>716</v>
      </c>
      <c r="G706" s="79" t="s">
        <v>921</v>
      </c>
      <c r="H706" s="90" t="s">
        <v>50</v>
      </c>
      <c r="I706" s="90" t="s">
        <v>3434</v>
      </c>
      <c r="J706" s="80">
        <v>800</v>
      </c>
      <c r="K706" s="2" t="s">
        <v>154</v>
      </c>
      <c r="L706" s="83"/>
    </row>
    <row r="707" spans="3:12" s="84" customFormat="1" ht="31.5">
      <c r="C707" s="136">
        <v>681</v>
      </c>
      <c r="D707" s="178" t="s">
        <v>3729</v>
      </c>
      <c r="E707" s="89" t="s">
        <v>96</v>
      </c>
      <c r="F707" s="2" t="s">
        <v>716</v>
      </c>
      <c r="G707" s="79" t="s">
        <v>921</v>
      </c>
      <c r="H707" s="90" t="s">
        <v>3349</v>
      </c>
      <c r="I707" s="90" t="s">
        <v>3434</v>
      </c>
      <c r="J707" s="80">
        <v>600</v>
      </c>
      <c r="K707" s="2" t="s">
        <v>154</v>
      </c>
      <c r="L707" s="83"/>
    </row>
    <row r="708" spans="3:12" s="84" customFormat="1" ht="31.5">
      <c r="C708" s="136">
        <v>682</v>
      </c>
      <c r="D708" s="178" t="s">
        <v>322</v>
      </c>
      <c r="E708" s="89" t="s">
        <v>96</v>
      </c>
      <c r="F708" s="2" t="s">
        <v>716</v>
      </c>
      <c r="G708" s="79" t="s">
        <v>921</v>
      </c>
      <c r="H708" s="90" t="s">
        <v>50</v>
      </c>
      <c r="I708" s="90" t="s">
        <v>3434</v>
      </c>
      <c r="J708" s="80">
        <v>460</v>
      </c>
      <c r="K708" s="2" t="s">
        <v>153</v>
      </c>
      <c r="L708" s="83"/>
    </row>
    <row r="709" spans="3:12" s="84" customFormat="1" ht="31.5">
      <c r="C709" s="136">
        <v>683</v>
      </c>
      <c r="D709" s="178" t="s">
        <v>321</v>
      </c>
      <c r="E709" s="89" t="s">
        <v>96</v>
      </c>
      <c r="F709" s="2" t="s">
        <v>716</v>
      </c>
      <c r="G709" s="79" t="s">
        <v>921</v>
      </c>
      <c r="H709" s="88" t="s">
        <v>3585</v>
      </c>
      <c r="I709" s="90" t="s">
        <v>3434</v>
      </c>
      <c r="J709" s="80">
        <v>500</v>
      </c>
      <c r="K709" s="2" t="s">
        <v>156</v>
      </c>
      <c r="L709" s="83"/>
    </row>
    <row r="710" spans="3:12" s="84" customFormat="1" ht="31.5">
      <c r="C710" s="136">
        <v>684</v>
      </c>
      <c r="D710" s="178" t="s">
        <v>320</v>
      </c>
      <c r="E710" s="89" t="s">
        <v>96</v>
      </c>
      <c r="F710" s="2" t="s">
        <v>716</v>
      </c>
      <c r="G710" s="79" t="s">
        <v>921</v>
      </c>
      <c r="H710" s="90" t="s">
        <v>50</v>
      </c>
      <c r="I710" s="90" t="s">
        <v>3434</v>
      </c>
      <c r="J710" s="80">
        <v>370</v>
      </c>
      <c r="K710" s="2" t="s">
        <v>154</v>
      </c>
      <c r="L710" s="83"/>
    </row>
    <row r="711" spans="3:12" s="84" customFormat="1" ht="31.5">
      <c r="C711" s="136">
        <v>685</v>
      </c>
      <c r="D711" s="178" t="s">
        <v>319</v>
      </c>
      <c r="E711" s="89" t="s">
        <v>96</v>
      </c>
      <c r="F711" s="2" t="s">
        <v>716</v>
      </c>
      <c r="G711" s="79" t="s">
        <v>921</v>
      </c>
      <c r="H711" s="90" t="s">
        <v>50</v>
      </c>
      <c r="I711" s="90" t="s">
        <v>3434</v>
      </c>
      <c r="J711" s="80">
        <v>1200</v>
      </c>
      <c r="K711" s="2" t="s">
        <v>156</v>
      </c>
      <c r="L711" s="83"/>
    </row>
    <row r="712" spans="3:12" s="84" customFormat="1" ht="31.5">
      <c r="C712" s="136">
        <v>686</v>
      </c>
      <c r="D712" s="178" t="s">
        <v>3339</v>
      </c>
      <c r="E712" s="89" t="s">
        <v>96</v>
      </c>
      <c r="F712" s="2" t="s">
        <v>716</v>
      </c>
      <c r="G712" s="79" t="s">
        <v>921</v>
      </c>
      <c r="H712" s="90" t="s">
        <v>50</v>
      </c>
      <c r="I712" s="90" t="s">
        <v>3352</v>
      </c>
      <c r="J712" s="80">
        <v>300</v>
      </c>
      <c r="K712" s="2" t="s">
        <v>162</v>
      </c>
      <c r="L712" s="83"/>
    </row>
    <row r="713" spans="3:12" s="84" customFormat="1" ht="31.5">
      <c r="C713" s="136">
        <v>687</v>
      </c>
      <c r="D713" s="178" t="s">
        <v>3340</v>
      </c>
      <c r="E713" s="89" t="s">
        <v>96</v>
      </c>
      <c r="F713" s="2" t="s">
        <v>716</v>
      </c>
      <c r="G713" s="79" t="s">
        <v>921</v>
      </c>
      <c r="H713" s="90" t="s">
        <v>50</v>
      </c>
      <c r="I713" s="90" t="s">
        <v>3352</v>
      </c>
      <c r="J713" s="80">
        <v>130</v>
      </c>
      <c r="K713" s="2" t="s">
        <v>202</v>
      </c>
      <c r="L713" s="83"/>
    </row>
    <row r="714" spans="3:12" s="84" customFormat="1" ht="31.5">
      <c r="C714" s="136">
        <v>688</v>
      </c>
      <c r="D714" s="178" t="s">
        <v>3341</v>
      </c>
      <c r="E714" s="89" t="s">
        <v>96</v>
      </c>
      <c r="F714" s="2" t="s">
        <v>716</v>
      </c>
      <c r="G714" s="79" t="s">
        <v>921</v>
      </c>
      <c r="H714" s="90" t="s">
        <v>50</v>
      </c>
      <c r="I714" s="90" t="s">
        <v>3352</v>
      </c>
      <c r="J714" s="80">
        <v>560</v>
      </c>
      <c r="K714" s="2" t="s">
        <v>202</v>
      </c>
      <c r="L714" s="83"/>
    </row>
    <row r="715" spans="3:12" s="84" customFormat="1" ht="31.5">
      <c r="C715" s="136">
        <v>689</v>
      </c>
      <c r="D715" s="178" t="s">
        <v>3342</v>
      </c>
      <c r="E715" s="89" t="s">
        <v>96</v>
      </c>
      <c r="F715" s="2" t="s">
        <v>716</v>
      </c>
      <c r="G715" s="79" t="s">
        <v>921</v>
      </c>
      <c r="H715" s="90" t="s">
        <v>50</v>
      </c>
      <c r="I715" s="90" t="s">
        <v>3352</v>
      </c>
      <c r="J715" s="80">
        <v>460</v>
      </c>
      <c r="K715" s="2" t="s">
        <v>202</v>
      </c>
      <c r="L715" s="83"/>
    </row>
    <row r="716" spans="3:12" s="84" customFormat="1" ht="31.5">
      <c r="C716" s="136">
        <v>690</v>
      </c>
      <c r="D716" s="178" t="s">
        <v>3343</v>
      </c>
      <c r="E716" s="89" t="s">
        <v>96</v>
      </c>
      <c r="F716" s="2" t="s">
        <v>716</v>
      </c>
      <c r="G716" s="79" t="s">
        <v>921</v>
      </c>
      <c r="H716" s="90" t="s">
        <v>50</v>
      </c>
      <c r="I716" s="90" t="s">
        <v>3352</v>
      </c>
      <c r="J716" s="80">
        <v>480</v>
      </c>
      <c r="K716" s="2" t="s">
        <v>153</v>
      </c>
      <c r="L716" s="83"/>
    </row>
    <row r="717" spans="3:12" s="84" customFormat="1" ht="31.5">
      <c r="C717" s="136">
        <v>691</v>
      </c>
      <c r="D717" s="178" t="s">
        <v>3344</v>
      </c>
      <c r="E717" s="89" t="s">
        <v>96</v>
      </c>
      <c r="F717" s="2" t="s">
        <v>716</v>
      </c>
      <c r="G717" s="79" t="s">
        <v>921</v>
      </c>
      <c r="H717" s="90" t="s">
        <v>50</v>
      </c>
      <c r="I717" s="90" t="s">
        <v>132</v>
      </c>
      <c r="J717" s="80">
        <v>370</v>
      </c>
      <c r="K717" s="2" t="s">
        <v>153</v>
      </c>
      <c r="L717" s="83"/>
    </row>
    <row r="718" spans="3:12" s="84" customFormat="1" ht="31.5">
      <c r="C718" s="136">
        <v>692</v>
      </c>
      <c r="D718" s="178" t="s">
        <v>3345</v>
      </c>
      <c r="E718" s="89" t="s">
        <v>96</v>
      </c>
      <c r="F718" s="2" t="s">
        <v>716</v>
      </c>
      <c r="G718" s="79" t="s">
        <v>921</v>
      </c>
      <c r="H718" s="90" t="s">
        <v>50</v>
      </c>
      <c r="I718" s="90" t="s">
        <v>132</v>
      </c>
      <c r="J718" s="80">
        <v>340</v>
      </c>
      <c r="K718" s="2" t="s">
        <v>162</v>
      </c>
      <c r="L718" s="83"/>
    </row>
    <row r="719" spans="3:12" s="84" customFormat="1" ht="31.5">
      <c r="C719" s="136">
        <v>693</v>
      </c>
      <c r="D719" s="178" t="s">
        <v>3346</v>
      </c>
      <c r="E719" s="89" t="s">
        <v>96</v>
      </c>
      <c r="F719" s="2" t="s">
        <v>716</v>
      </c>
      <c r="G719" s="79" t="s">
        <v>921</v>
      </c>
      <c r="H719" s="88" t="s">
        <v>3586</v>
      </c>
      <c r="I719" s="90" t="s">
        <v>132</v>
      </c>
      <c r="J719" s="80">
        <v>300</v>
      </c>
      <c r="K719" s="2" t="s">
        <v>152</v>
      </c>
      <c r="L719" s="83"/>
    </row>
    <row r="720" spans="3:12" s="84" customFormat="1" ht="31.5">
      <c r="C720" s="136">
        <v>694</v>
      </c>
      <c r="D720" s="178" t="s">
        <v>318</v>
      </c>
      <c r="E720" s="89" t="s">
        <v>96</v>
      </c>
      <c r="F720" s="2" t="s">
        <v>716</v>
      </c>
      <c r="G720" s="79" t="s">
        <v>921</v>
      </c>
      <c r="H720" s="90" t="s">
        <v>50</v>
      </c>
      <c r="I720" s="90" t="s">
        <v>80</v>
      </c>
      <c r="J720" s="80">
        <v>550</v>
      </c>
      <c r="K720" s="2" t="s">
        <v>153</v>
      </c>
      <c r="L720" s="83"/>
    </row>
    <row r="721" spans="1:12" s="84" customFormat="1" ht="31.5">
      <c r="C721" s="136">
        <v>695</v>
      </c>
      <c r="D721" s="178" t="s">
        <v>3730</v>
      </c>
      <c r="E721" s="89" t="s">
        <v>96</v>
      </c>
      <c r="F721" s="2" t="s">
        <v>716</v>
      </c>
      <c r="G721" s="79" t="s">
        <v>921</v>
      </c>
      <c r="H721" s="90" t="s">
        <v>3763</v>
      </c>
      <c r="I721" s="90" t="s">
        <v>72</v>
      </c>
      <c r="J721" s="80">
        <v>1300</v>
      </c>
      <c r="K721" s="2" t="s">
        <v>153</v>
      </c>
      <c r="L721" s="83"/>
    </row>
    <row r="722" spans="1:12" s="84" customFormat="1" ht="31.5">
      <c r="C722" s="136">
        <v>696</v>
      </c>
      <c r="D722" s="178" t="s">
        <v>3731</v>
      </c>
      <c r="E722" s="89" t="s">
        <v>96</v>
      </c>
      <c r="F722" s="2" t="s">
        <v>716</v>
      </c>
      <c r="G722" s="79" t="s">
        <v>921</v>
      </c>
      <c r="H722" s="90" t="s">
        <v>3763</v>
      </c>
      <c r="I722" s="90" t="s">
        <v>72</v>
      </c>
      <c r="J722" s="80">
        <v>650</v>
      </c>
      <c r="K722" s="2" t="s">
        <v>306</v>
      </c>
      <c r="L722" s="83"/>
    </row>
    <row r="723" spans="1:12" s="84" customFormat="1" ht="31.5">
      <c r="C723" s="136">
        <v>697</v>
      </c>
      <c r="D723" s="178" t="s">
        <v>3732</v>
      </c>
      <c r="E723" s="89" t="s">
        <v>96</v>
      </c>
      <c r="F723" s="2" t="s">
        <v>716</v>
      </c>
      <c r="G723" s="79" t="s">
        <v>921</v>
      </c>
      <c r="H723" s="90" t="s">
        <v>3763</v>
      </c>
      <c r="I723" s="90" t="s">
        <v>72</v>
      </c>
      <c r="J723" s="80">
        <v>560</v>
      </c>
      <c r="K723" s="2" t="s">
        <v>154</v>
      </c>
      <c r="L723" s="83"/>
    </row>
    <row r="724" spans="1:12" s="84" customFormat="1" ht="31.5">
      <c r="C724" s="136">
        <v>698</v>
      </c>
      <c r="D724" s="178" t="s">
        <v>317</v>
      </c>
      <c r="E724" s="89" t="s">
        <v>96</v>
      </c>
      <c r="F724" s="2" t="s">
        <v>716</v>
      </c>
      <c r="G724" s="79" t="s">
        <v>921</v>
      </c>
      <c r="H724" s="90" t="s">
        <v>50</v>
      </c>
      <c r="I724" s="90" t="s">
        <v>84</v>
      </c>
      <c r="J724" s="80">
        <v>820</v>
      </c>
      <c r="K724" s="2" t="s">
        <v>153</v>
      </c>
      <c r="L724" s="83"/>
    </row>
    <row r="725" spans="1:12" s="84" customFormat="1" ht="31.5">
      <c r="C725" s="136">
        <v>699</v>
      </c>
      <c r="D725" s="178" t="s">
        <v>316</v>
      </c>
      <c r="E725" s="89" t="s">
        <v>96</v>
      </c>
      <c r="F725" s="2" t="s">
        <v>716</v>
      </c>
      <c r="G725" s="79" t="s">
        <v>921</v>
      </c>
      <c r="H725" s="90" t="s">
        <v>50</v>
      </c>
      <c r="I725" s="90" t="s">
        <v>84</v>
      </c>
      <c r="J725" s="80">
        <v>120</v>
      </c>
      <c r="K725" s="2" t="s">
        <v>154</v>
      </c>
      <c r="L725" s="83"/>
    </row>
    <row r="726" spans="1:12" s="84" customFormat="1" ht="31.5">
      <c r="B726" s="137">
        <f>SUM(B727:B729)</f>
        <v>1095130.74</v>
      </c>
      <c r="C726" s="136">
        <v>700</v>
      </c>
      <c r="D726" s="178" t="s">
        <v>315</v>
      </c>
      <c r="E726" s="89" t="s">
        <v>96</v>
      </c>
      <c r="F726" s="2" t="s">
        <v>716</v>
      </c>
      <c r="G726" s="79" t="s">
        <v>921</v>
      </c>
      <c r="H726" s="90" t="s">
        <v>50</v>
      </c>
      <c r="I726" s="90" t="s">
        <v>84</v>
      </c>
      <c r="J726" s="80">
        <v>350</v>
      </c>
      <c r="K726" s="2" t="s">
        <v>162</v>
      </c>
      <c r="L726" s="83"/>
    </row>
    <row r="727" spans="1:12" s="84" customFormat="1" ht="31.5">
      <c r="A727" s="84">
        <v>701</v>
      </c>
      <c r="B727" s="137">
        <f>SUM(J7:J727)</f>
        <v>798253.74</v>
      </c>
      <c r="C727" s="136">
        <v>701</v>
      </c>
      <c r="D727" s="178" t="s">
        <v>3347</v>
      </c>
      <c r="E727" s="91" t="s">
        <v>96</v>
      </c>
      <c r="F727" s="92" t="s">
        <v>716</v>
      </c>
      <c r="G727" s="79" t="s">
        <v>921</v>
      </c>
      <c r="H727" s="93" t="s">
        <v>50</v>
      </c>
      <c r="I727" s="90" t="s">
        <v>3431</v>
      </c>
      <c r="J727" s="80">
        <v>450</v>
      </c>
      <c r="K727" s="2" t="s">
        <v>152</v>
      </c>
      <c r="L727" s="138"/>
    </row>
    <row r="728" spans="1:12" s="84" customFormat="1" ht="47.25">
      <c r="A728" s="84">
        <v>1</v>
      </c>
      <c r="B728" s="137">
        <f>SUM(J728:J751)</f>
        <v>22424</v>
      </c>
      <c r="C728" s="136">
        <v>702</v>
      </c>
      <c r="D728" s="178" t="s">
        <v>1038</v>
      </c>
      <c r="E728" s="2" t="s">
        <v>411</v>
      </c>
      <c r="F728" s="2" t="s">
        <v>716</v>
      </c>
      <c r="G728" s="79" t="s">
        <v>1039</v>
      </c>
      <c r="H728" s="1" t="s">
        <v>1041</v>
      </c>
      <c r="I728" s="1" t="s">
        <v>1040</v>
      </c>
      <c r="J728" s="80">
        <v>700</v>
      </c>
      <c r="K728" s="2">
        <v>10</v>
      </c>
      <c r="L728" s="138"/>
    </row>
    <row r="729" spans="1:12" s="84" customFormat="1" ht="47.25">
      <c r="A729" s="84">
        <v>2</v>
      </c>
      <c r="B729" s="137">
        <f>SUM(J752:J875)</f>
        <v>274453</v>
      </c>
      <c r="C729" s="136">
        <v>703</v>
      </c>
      <c r="D729" s="178" t="s">
        <v>365</v>
      </c>
      <c r="E729" s="2" t="s">
        <v>411</v>
      </c>
      <c r="F729" s="2" t="s">
        <v>716</v>
      </c>
      <c r="G729" s="79" t="s">
        <v>1039</v>
      </c>
      <c r="H729" s="1" t="s">
        <v>1042</v>
      </c>
      <c r="I729" s="1" t="s">
        <v>1041</v>
      </c>
      <c r="J729" s="80">
        <v>1750</v>
      </c>
      <c r="K729" s="82" t="s">
        <v>1050</v>
      </c>
      <c r="L729" s="83"/>
    </row>
    <row r="730" spans="1:12" s="84" customFormat="1" ht="47.25">
      <c r="A730" s="84">
        <v>3</v>
      </c>
      <c r="C730" s="136">
        <v>704</v>
      </c>
      <c r="D730" s="178" t="s">
        <v>417</v>
      </c>
      <c r="E730" s="2" t="s">
        <v>411</v>
      </c>
      <c r="F730" s="2" t="s">
        <v>716</v>
      </c>
      <c r="G730" s="79" t="s">
        <v>1039</v>
      </c>
      <c r="H730" s="1" t="s">
        <v>1041</v>
      </c>
      <c r="I730" s="1" t="s">
        <v>1043</v>
      </c>
      <c r="J730" s="80">
        <v>1100</v>
      </c>
      <c r="K730" s="82" t="s">
        <v>149</v>
      </c>
      <c r="L730" s="83"/>
    </row>
    <row r="731" spans="1:12" s="84" customFormat="1" ht="31.5">
      <c r="A731" s="84">
        <v>4</v>
      </c>
      <c r="C731" s="136">
        <v>705</v>
      </c>
      <c r="D731" s="178" t="s">
        <v>366</v>
      </c>
      <c r="E731" s="2" t="s">
        <v>411</v>
      </c>
      <c r="F731" s="2" t="s">
        <v>716</v>
      </c>
      <c r="G731" s="79" t="s">
        <v>1039</v>
      </c>
      <c r="H731" s="1" t="s">
        <v>1044</v>
      </c>
      <c r="I731" s="1" t="s">
        <v>3435</v>
      </c>
      <c r="J731" s="80">
        <v>210</v>
      </c>
      <c r="K731" s="82" t="s">
        <v>210</v>
      </c>
      <c r="L731" s="83"/>
    </row>
    <row r="732" spans="1:12" s="84" customFormat="1" ht="47.25">
      <c r="A732" s="84">
        <v>5</v>
      </c>
      <c r="C732" s="136">
        <v>706</v>
      </c>
      <c r="D732" s="178" t="s">
        <v>1046</v>
      </c>
      <c r="E732" s="2" t="s">
        <v>411</v>
      </c>
      <c r="F732" s="2" t="s">
        <v>716</v>
      </c>
      <c r="G732" s="79" t="s">
        <v>1039</v>
      </c>
      <c r="H732" s="1" t="s">
        <v>358</v>
      </c>
      <c r="I732" s="1" t="s">
        <v>1045</v>
      </c>
      <c r="J732" s="80">
        <v>2600</v>
      </c>
      <c r="K732" s="82" t="s">
        <v>215</v>
      </c>
      <c r="L732" s="83"/>
    </row>
    <row r="733" spans="1:12" s="84" customFormat="1" ht="31.5">
      <c r="A733" s="84">
        <v>6</v>
      </c>
      <c r="C733" s="136">
        <v>707</v>
      </c>
      <c r="D733" s="178" t="s">
        <v>1051</v>
      </c>
      <c r="E733" s="2" t="s">
        <v>411</v>
      </c>
      <c r="F733" s="2" t="s">
        <v>716</v>
      </c>
      <c r="G733" s="79" t="s">
        <v>1039</v>
      </c>
      <c r="H733" s="1" t="s">
        <v>128</v>
      </c>
      <c r="I733" s="1" t="s">
        <v>1047</v>
      </c>
      <c r="J733" s="80">
        <v>690</v>
      </c>
      <c r="K733" s="82" t="s">
        <v>204</v>
      </c>
      <c r="L733" s="83"/>
    </row>
    <row r="734" spans="1:12" s="84" customFormat="1" ht="31.5">
      <c r="A734" s="84">
        <v>7</v>
      </c>
      <c r="C734" s="136">
        <v>708</v>
      </c>
      <c r="D734" s="178" t="s">
        <v>1048</v>
      </c>
      <c r="E734" s="2" t="s">
        <v>411</v>
      </c>
      <c r="F734" s="2" t="s">
        <v>716</v>
      </c>
      <c r="G734" s="79" t="s">
        <v>1039</v>
      </c>
      <c r="H734" s="1" t="s">
        <v>1049</v>
      </c>
      <c r="I734" s="1" t="s">
        <v>1045</v>
      </c>
      <c r="J734" s="80">
        <v>1700</v>
      </c>
      <c r="K734" s="82" t="s">
        <v>228</v>
      </c>
      <c r="L734" s="83"/>
    </row>
    <row r="735" spans="1:12" s="84" customFormat="1" ht="31.5">
      <c r="A735" s="84">
        <v>8</v>
      </c>
      <c r="C735" s="136">
        <v>709</v>
      </c>
      <c r="D735" s="178" t="s">
        <v>420</v>
      </c>
      <c r="E735" s="2" t="s">
        <v>411</v>
      </c>
      <c r="F735" s="2" t="s">
        <v>716</v>
      </c>
      <c r="G735" s="79" t="s">
        <v>1039</v>
      </c>
      <c r="H735" s="1" t="s">
        <v>1052</v>
      </c>
      <c r="I735" s="1" t="s">
        <v>1053</v>
      </c>
      <c r="J735" s="80">
        <v>960</v>
      </c>
      <c r="K735" s="82" t="s">
        <v>204</v>
      </c>
      <c r="L735" s="83"/>
    </row>
    <row r="736" spans="1:12" s="157" customFormat="1" ht="110.25">
      <c r="A736" s="157">
        <v>9</v>
      </c>
      <c r="C736" s="152">
        <v>710</v>
      </c>
      <c r="D736" s="178" t="s">
        <v>423</v>
      </c>
      <c r="E736" s="153" t="s">
        <v>411</v>
      </c>
      <c r="F736" s="153" t="s">
        <v>716</v>
      </c>
      <c r="G736" s="154" t="s">
        <v>1039</v>
      </c>
      <c r="H736" s="155" t="s">
        <v>1089</v>
      </c>
      <c r="I736" s="155" t="s">
        <v>358</v>
      </c>
      <c r="J736" s="156">
        <v>2400</v>
      </c>
      <c r="K736" s="175" t="s">
        <v>1090</v>
      </c>
      <c r="L736" s="158" t="s">
        <v>3788</v>
      </c>
    </row>
    <row r="737" spans="1:12" s="84" customFormat="1" ht="31.5">
      <c r="A737" s="84">
        <v>10</v>
      </c>
      <c r="C737" s="136">
        <v>711</v>
      </c>
      <c r="D737" s="178" t="s">
        <v>424</v>
      </c>
      <c r="E737" s="2" t="s">
        <v>411</v>
      </c>
      <c r="F737" s="2" t="s">
        <v>716</v>
      </c>
      <c r="G737" s="79" t="s">
        <v>1039</v>
      </c>
      <c r="H737" s="1" t="s">
        <v>423</v>
      </c>
      <c r="I737" s="1" t="s">
        <v>1091</v>
      </c>
      <c r="J737" s="80">
        <v>580</v>
      </c>
      <c r="K737" s="82" t="s">
        <v>149</v>
      </c>
      <c r="L737" s="83"/>
    </row>
    <row r="738" spans="1:12" s="84" customFormat="1" ht="31.5">
      <c r="A738" s="84">
        <v>11</v>
      </c>
      <c r="C738" s="136">
        <v>712</v>
      </c>
      <c r="D738" s="178" t="s">
        <v>425</v>
      </c>
      <c r="E738" s="2" t="s">
        <v>411</v>
      </c>
      <c r="F738" s="2" t="s">
        <v>716</v>
      </c>
      <c r="G738" s="79" t="s">
        <v>1039</v>
      </c>
      <c r="H738" s="1" t="s">
        <v>423</v>
      </c>
      <c r="I738" s="1" t="s">
        <v>1092</v>
      </c>
      <c r="J738" s="80">
        <v>500</v>
      </c>
      <c r="K738" s="82" t="s">
        <v>1093</v>
      </c>
      <c r="L738" s="83"/>
    </row>
    <row r="739" spans="1:12" s="84" customFormat="1" ht="31.5">
      <c r="A739" s="84">
        <v>12</v>
      </c>
      <c r="C739" s="136">
        <v>713</v>
      </c>
      <c r="D739" s="178" t="s">
        <v>429</v>
      </c>
      <c r="E739" s="2" t="s">
        <v>411</v>
      </c>
      <c r="F739" s="2" t="s">
        <v>716</v>
      </c>
      <c r="G739" s="79" t="s">
        <v>1039</v>
      </c>
      <c r="H739" s="1" t="s">
        <v>1094</v>
      </c>
      <c r="I739" s="1" t="s">
        <v>1095</v>
      </c>
      <c r="J739" s="80">
        <v>1930</v>
      </c>
      <c r="K739" s="82" t="s">
        <v>220</v>
      </c>
      <c r="L739" s="83"/>
    </row>
    <row r="740" spans="1:12" s="84" customFormat="1" ht="47.25">
      <c r="A740" s="84">
        <v>13</v>
      </c>
      <c r="C740" s="136">
        <v>714</v>
      </c>
      <c r="D740" s="178" t="s">
        <v>414</v>
      </c>
      <c r="E740" s="2" t="s">
        <v>411</v>
      </c>
      <c r="F740" s="2" t="s">
        <v>716</v>
      </c>
      <c r="G740" s="79" t="s">
        <v>1039</v>
      </c>
      <c r="H740" s="1" t="s">
        <v>1095</v>
      </c>
      <c r="I740" s="1" t="s">
        <v>358</v>
      </c>
      <c r="J740" s="80">
        <v>2380</v>
      </c>
      <c r="K740" s="82" t="s">
        <v>312</v>
      </c>
      <c r="L740" s="83"/>
    </row>
    <row r="741" spans="1:12" s="84" customFormat="1" ht="47.25">
      <c r="A741" s="84">
        <v>14</v>
      </c>
      <c r="C741" s="136">
        <v>715</v>
      </c>
      <c r="D741" s="178" t="s">
        <v>1077</v>
      </c>
      <c r="E741" s="2" t="s">
        <v>411</v>
      </c>
      <c r="F741" s="2" t="s">
        <v>716</v>
      </c>
      <c r="G741" s="79" t="s">
        <v>1039</v>
      </c>
      <c r="H741" s="1" t="s">
        <v>1096</v>
      </c>
      <c r="I741" s="1" t="s">
        <v>1097</v>
      </c>
      <c r="J741" s="80">
        <v>910</v>
      </c>
      <c r="K741" s="82" t="s">
        <v>986</v>
      </c>
      <c r="L741" s="83"/>
    </row>
    <row r="742" spans="1:12" s="84" customFormat="1" ht="31.5">
      <c r="A742" s="84">
        <v>15</v>
      </c>
      <c r="C742" s="136">
        <v>716</v>
      </c>
      <c r="D742" s="178" t="s">
        <v>1054</v>
      </c>
      <c r="E742" s="2" t="s">
        <v>411</v>
      </c>
      <c r="F742" s="2" t="s">
        <v>716</v>
      </c>
      <c r="G742" s="79" t="s">
        <v>1039</v>
      </c>
      <c r="H742" s="1" t="s">
        <v>1055</v>
      </c>
      <c r="I742" s="1" t="s">
        <v>1056</v>
      </c>
      <c r="J742" s="80">
        <v>910</v>
      </c>
      <c r="K742" s="82" t="s">
        <v>207</v>
      </c>
      <c r="L742" s="83"/>
    </row>
    <row r="743" spans="1:12" s="84" customFormat="1" ht="47.25">
      <c r="A743" s="84">
        <v>16</v>
      </c>
      <c r="C743" s="136">
        <v>717</v>
      </c>
      <c r="D743" s="178" t="s">
        <v>1057</v>
      </c>
      <c r="E743" s="2" t="s">
        <v>411</v>
      </c>
      <c r="F743" s="2" t="s">
        <v>716</v>
      </c>
      <c r="G743" s="79" t="s">
        <v>1039</v>
      </c>
      <c r="H743" s="1" t="s">
        <v>358</v>
      </c>
      <c r="I743" s="1" t="s">
        <v>1058</v>
      </c>
      <c r="J743" s="80">
        <v>80</v>
      </c>
      <c r="K743" s="82" t="s">
        <v>1059</v>
      </c>
      <c r="L743" s="83"/>
    </row>
    <row r="744" spans="1:12" s="84" customFormat="1" ht="47.25">
      <c r="A744" s="84">
        <v>17</v>
      </c>
      <c r="C744" s="136">
        <v>718</v>
      </c>
      <c r="D744" s="178" t="s">
        <v>1060</v>
      </c>
      <c r="E744" s="2" t="s">
        <v>411</v>
      </c>
      <c r="F744" s="2" t="s">
        <v>716</v>
      </c>
      <c r="G744" s="79" t="s">
        <v>1039</v>
      </c>
      <c r="H744" s="1" t="s">
        <v>358</v>
      </c>
      <c r="I744" s="1" t="s">
        <v>1058</v>
      </c>
      <c r="J744" s="80">
        <v>120</v>
      </c>
      <c r="K744" s="82" t="s">
        <v>1061</v>
      </c>
      <c r="L744" s="83"/>
    </row>
    <row r="745" spans="1:12" s="84" customFormat="1" ht="47.25">
      <c r="A745" s="84">
        <v>18</v>
      </c>
      <c r="C745" s="136">
        <v>719</v>
      </c>
      <c r="D745" s="178" t="s">
        <v>1062</v>
      </c>
      <c r="E745" s="2" t="s">
        <v>411</v>
      </c>
      <c r="F745" s="2" t="s">
        <v>716</v>
      </c>
      <c r="G745" s="79" t="s">
        <v>1039</v>
      </c>
      <c r="H745" s="1" t="s">
        <v>358</v>
      </c>
      <c r="I745" s="1" t="s">
        <v>1063</v>
      </c>
      <c r="J745" s="80">
        <v>350</v>
      </c>
      <c r="K745" s="82" t="s">
        <v>1064</v>
      </c>
      <c r="L745" s="83"/>
    </row>
    <row r="746" spans="1:12" s="84" customFormat="1" ht="47.25">
      <c r="A746" s="84">
        <v>19</v>
      </c>
      <c r="C746" s="136">
        <v>720</v>
      </c>
      <c r="D746" s="178" t="s">
        <v>1065</v>
      </c>
      <c r="E746" s="2" t="s">
        <v>411</v>
      </c>
      <c r="F746" s="2" t="s">
        <v>716</v>
      </c>
      <c r="G746" s="79" t="s">
        <v>1039</v>
      </c>
      <c r="H746" s="1" t="s">
        <v>1066</v>
      </c>
      <c r="I746" s="1" t="s">
        <v>388</v>
      </c>
      <c r="J746" s="80">
        <v>430</v>
      </c>
      <c r="K746" s="82" t="s">
        <v>312</v>
      </c>
      <c r="L746" s="83"/>
    </row>
    <row r="747" spans="1:12" s="84" customFormat="1" ht="31.5">
      <c r="A747" s="84">
        <v>20</v>
      </c>
      <c r="C747" s="136">
        <v>721</v>
      </c>
      <c r="D747" s="178" t="s">
        <v>1067</v>
      </c>
      <c r="E747" s="2" t="s">
        <v>411</v>
      </c>
      <c r="F747" s="2" t="s">
        <v>716</v>
      </c>
      <c r="G747" s="79" t="s">
        <v>1039</v>
      </c>
      <c r="H747" s="1" t="s">
        <v>387</v>
      </c>
      <c r="I747" s="1" t="s">
        <v>1068</v>
      </c>
      <c r="J747" s="80">
        <v>140</v>
      </c>
      <c r="K747" s="82">
        <v>3</v>
      </c>
      <c r="L747" s="83"/>
    </row>
    <row r="748" spans="1:12" s="84" customFormat="1" ht="31.5">
      <c r="A748" s="84">
        <v>21</v>
      </c>
      <c r="C748" s="136">
        <v>722</v>
      </c>
      <c r="D748" s="178" t="s">
        <v>1069</v>
      </c>
      <c r="E748" s="2" t="s">
        <v>411</v>
      </c>
      <c r="F748" s="2" t="s">
        <v>716</v>
      </c>
      <c r="G748" s="79" t="s">
        <v>1039</v>
      </c>
      <c r="H748" s="1" t="s">
        <v>387</v>
      </c>
      <c r="I748" s="1" t="s">
        <v>1070</v>
      </c>
      <c r="J748" s="80">
        <v>174</v>
      </c>
      <c r="K748" s="82">
        <v>3</v>
      </c>
      <c r="L748" s="83"/>
    </row>
    <row r="749" spans="1:12" s="84" customFormat="1" ht="31.5">
      <c r="A749" s="84">
        <v>22</v>
      </c>
      <c r="C749" s="136">
        <v>723</v>
      </c>
      <c r="D749" s="178" t="s">
        <v>1071</v>
      </c>
      <c r="E749" s="2" t="s">
        <v>411</v>
      </c>
      <c r="F749" s="2" t="s">
        <v>716</v>
      </c>
      <c r="G749" s="79" t="s">
        <v>1039</v>
      </c>
      <c r="H749" s="1" t="s">
        <v>1072</v>
      </c>
      <c r="I749" s="1" t="s">
        <v>1073</v>
      </c>
      <c r="J749" s="80">
        <v>200</v>
      </c>
      <c r="K749" s="82" t="s">
        <v>1074</v>
      </c>
      <c r="L749" s="83"/>
    </row>
    <row r="750" spans="1:12" s="84" customFormat="1" ht="31.5">
      <c r="A750" s="84">
        <v>23</v>
      </c>
      <c r="C750" s="136">
        <v>724</v>
      </c>
      <c r="D750" s="178" t="s">
        <v>415</v>
      </c>
      <c r="E750" s="2" t="s">
        <v>411</v>
      </c>
      <c r="F750" s="2" t="s">
        <v>716</v>
      </c>
      <c r="G750" s="79" t="s">
        <v>1039</v>
      </c>
      <c r="H750" s="1" t="s">
        <v>1049</v>
      </c>
      <c r="I750" s="1" t="s">
        <v>3436</v>
      </c>
      <c r="J750" s="80">
        <v>610</v>
      </c>
      <c r="K750" s="82" t="s">
        <v>224</v>
      </c>
      <c r="L750" s="83"/>
    </row>
    <row r="751" spans="1:12" s="84" customFormat="1" ht="31.5">
      <c r="A751" s="84">
        <v>24</v>
      </c>
      <c r="C751" s="136">
        <v>725</v>
      </c>
      <c r="D751" s="178" t="s">
        <v>1079</v>
      </c>
      <c r="E751" s="2" t="s">
        <v>411</v>
      </c>
      <c r="F751" s="2" t="s">
        <v>716</v>
      </c>
      <c r="G751" s="79" t="s">
        <v>1039</v>
      </c>
      <c r="H751" s="1" t="s">
        <v>3348</v>
      </c>
      <c r="I751" s="1" t="s">
        <v>2806</v>
      </c>
      <c r="J751" s="80">
        <v>1000</v>
      </c>
      <c r="K751" s="2">
        <v>5</v>
      </c>
      <c r="L751" s="83"/>
    </row>
    <row r="752" spans="1:12" s="84" customFormat="1" ht="31.5">
      <c r="A752" s="84">
        <v>1</v>
      </c>
      <c r="C752" s="136">
        <v>726</v>
      </c>
      <c r="D752" s="178" t="s">
        <v>913</v>
      </c>
      <c r="E752" s="2" t="s">
        <v>718</v>
      </c>
      <c r="F752" s="2" t="s">
        <v>716</v>
      </c>
      <c r="G752" s="79" t="s">
        <v>920</v>
      </c>
      <c r="H752" s="1" t="s">
        <v>908</v>
      </c>
      <c r="I752" s="1" t="s">
        <v>919</v>
      </c>
      <c r="J752" s="80">
        <v>2720</v>
      </c>
      <c r="K752" s="82" t="s">
        <v>227</v>
      </c>
      <c r="L752" s="83"/>
    </row>
    <row r="753" spans="1:12" s="84" customFormat="1" ht="31.5">
      <c r="A753" s="84">
        <v>2</v>
      </c>
      <c r="C753" s="136">
        <v>727</v>
      </c>
      <c r="D753" s="178" t="s">
        <v>918</v>
      </c>
      <c r="E753" s="2" t="s">
        <v>718</v>
      </c>
      <c r="F753" s="2" t="s">
        <v>716</v>
      </c>
      <c r="G753" s="79" t="s">
        <v>920</v>
      </c>
      <c r="H753" s="1" t="s">
        <v>913</v>
      </c>
      <c r="I753" s="1" t="s">
        <v>127</v>
      </c>
      <c r="J753" s="80">
        <v>1320</v>
      </c>
      <c r="K753" s="82" t="s">
        <v>203</v>
      </c>
      <c r="L753" s="83"/>
    </row>
    <row r="754" spans="1:12" s="84" customFormat="1" ht="31.5">
      <c r="A754" s="84">
        <v>3</v>
      </c>
      <c r="C754" s="136">
        <v>728</v>
      </c>
      <c r="D754" s="178" t="s">
        <v>917</v>
      </c>
      <c r="E754" s="2" t="s">
        <v>718</v>
      </c>
      <c r="F754" s="2" t="s">
        <v>716</v>
      </c>
      <c r="G754" s="79" t="s">
        <v>920</v>
      </c>
      <c r="H754" s="1" t="s">
        <v>910</v>
      </c>
      <c r="I754" s="1" t="s">
        <v>127</v>
      </c>
      <c r="J754" s="80">
        <v>1003</v>
      </c>
      <c r="K754" s="82" t="s">
        <v>155</v>
      </c>
      <c r="L754" s="83"/>
    </row>
    <row r="755" spans="1:12" s="84" customFormat="1" ht="31.5">
      <c r="A755" s="84">
        <v>4</v>
      </c>
      <c r="C755" s="136">
        <v>729</v>
      </c>
      <c r="D755" s="178" t="s">
        <v>916</v>
      </c>
      <c r="E755" s="2" t="s">
        <v>718</v>
      </c>
      <c r="F755" s="2" t="s">
        <v>716</v>
      </c>
      <c r="G755" s="79" t="s">
        <v>920</v>
      </c>
      <c r="H755" s="1" t="s">
        <v>913</v>
      </c>
      <c r="I755" s="1" t="s">
        <v>127</v>
      </c>
      <c r="J755" s="80">
        <v>1500</v>
      </c>
      <c r="K755" s="82" t="s">
        <v>346</v>
      </c>
      <c r="L755" s="83"/>
    </row>
    <row r="756" spans="1:12" s="84" customFormat="1" ht="31.5">
      <c r="A756" s="84">
        <v>5</v>
      </c>
      <c r="C756" s="136">
        <v>730</v>
      </c>
      <c r="D756" s="178" t="s">
        <v>915</v>
      </c>
      <c r="E756" s="2" t="s">
        <v>718</v>
      </c>
      <c r="F756" s="2" t="s">
        <v>716</v>
      </c>
      <c r="G756" s="79" t="s">
        <v>920</v>
      </c>
      <c r="H756" s="1" t="s">
        <v>913</v>
      </c>
      <c r="I756" s="1" t="s">
        <v>127</v>
      </c>
      <c r="J756" s="80">
        <v>1330</v>
      </c>
      <c r="K756" s="82" t="s">
        <v>227</v>
      </c>
      <c r="L756" s="83"/>
    </row>
    <row r="757" spans="1:12" s="84" customFormat="1" ht="31.5">
      <c r="A757" s="84">
        <v>6</v>
      </c>
      <c r="C757" s="136">
        <v>731</v>
      </c>
      <c r="D757" s="178" t="s">
        <v>914</v>
      </c>
      <c r="E757" s="2" t="s">
        <v>718</v>
      </c>
      <c r="F757" s="2" t="s">
        <v>716</v>
      </c>
      <c r="G757" s="79" t="s">
        <v>920</v>
      </c>
      <c r="H757" s="1" t="s">
        <v>913</v>
      </c>
      <c r="I757" s="1" t="s">
        <v>127</v>
      </c>
      <c r="J757" s="80">
        <v>1090</v>
      </c>
      <c r="K757" s="82" t="s">
        <v>329</v>
      </c>
      <c r="L757" s="83"/>
    </row>
    <row r="758" spans="1:12" s="84" customFormat="1" ht="31.5">
      <c r="A758" s="84">
        <v>7</v>
      </c>
      <c r="C758" s="136">
        <v>732</v>
      </c>
      <c r="D758" s="178" t="s">
        <v>912</v>
      </c>
      <c r="E758" s="2" t="s">
        <v>718</v>
      </c>
      <c r="F758" s="2" t="s">
        <v>716</v>
      </c>
      <c r="G758" s="79" t="s">
        <v>920</v>
      </c>
      <c r="H758" s="1" t="s">
        <v>722</v>
      </c>
      <c r="I758" s="1" t="s">
        <v>127</v>
      </c>
      <c r="J758" s="80">
        <v>1610</v>
      </c>
      <c r="K758" s="82" t="s">
        <v>161</v>
      </c>
      <c r="L758" s="83"/>
    </row>
    <row r="759" spans="1:12" s="84" customFormat="1" ht="31.5">
      <c r="A759" s="84">
        <v>8</v>
      </c>
      <c r="C759" s="136">
        <v>733</v>
      </c>
      <c r="D759" s="178" t="s">
        <v>911</v>
      </c>
      <c r="E759" s="2" t="s">
        <v>718</v>
      </c>
      <c r="F759" s="2" t="s">
        <v>716</v>
      </c>
      <c r="G759" s="79" t="s">
        <v>920</v>
      </c>
      <c r="H759" s="1" t="s">
        <v>722</v>
      </c>
      <c r="I759" s="1" t="s">
        <v>127</v>
      </c>
      <c r="J759" s="80">
        <v>1900</v>
      </c>
      <c r="K759" s="82" t="s">
        <v>218</v>
      </c>
      <c r="L759" s="83"/>
    </row>
    <row r="760" spans="1:12" s="84" customFormat="1" ht="31.5">
      <c r="A760" s="84">
        <v>9</v>
      </c>
      <c r="C760" s="136">
        <v>734</v>
      </c>
      <c r="D760" s="178" t="s">
        <v>910</v>
      </c>
      <c r="E760" s="2" t="s">
        <v>718</v>
      </c>
      <c r="F760" s="2" t="s">
        <v>716</v>
      </c>
      <c r="G760" s="79" t="s">
        <v>920</v>
      </c>
      <c r="H760" s="1" t="s">
        <v>722</v>
      </c>
      <c r="I760" s="1" t="s">
        <v>127</v>
      </c>
      <c r="J760" s="80">
        <v>2510</v>
      </c>
      <c r="K760" s="82" t="s">
        <v>230</v>
      </c>
      <c r="L760" s="83"/>
    </row>
    <row r="761" spans="1:12" s="84" customFormat="1" ht="31.5">
      <c r="A761" s="84">
        <v>10</v>
      </c>
      <c r="C761" s="136">
        <v>735</v>
      </c>
      <c r="D761" s="178" t="s">
        <v>909</v>
      </c>
      <c r="E761" s="2" t="s">
        <v>718</v>
      </c>
      <c r="F761" s="2" t="s">
        <v>716</v>
      </c>
      <c r="G761" s="79" t="s">
        <v>920</v>
      </c>
      <c r="H761" s="1" t="s">
        <v>722</v>
      </c>
      <c r="I761" s="1" t="s">
        <v>127</v>
      </c>
      <c r="J761" s="80">
        <v>1135</v>
      </c>
      <c r="K761" s="82" t="s">
        <v>326</v>
      </c>
      <c r="L761" s="83"/>
    </row>
    <row r="762" spans="1:12" s="84" customFormat="1" ht="31.5">
      <c r="A762" s="84">
        <v>11</v>
      </c>
      <c r="C762" s="136">
        <v>736</v>
      </c>
      <c r="D762" s="178" t="s">
        <v>908</v>
      </c>
      <c r="E762" s="2" t="s">
        <v>718</v>
      </c>
      <c r="F762" s="2" t="s">
        <v>716</v>
      </c>
      <c r="G762" s="79" t="s">
        <v>920</v>
      </c>
      <c r="H762" s="1" t="s">
        <v>722</v>
      </c>
      <c r="I762" s="1" t="s">
        <v>127</v>
      </c>
      <c r="J762" s="80">
        <v>1440</v>
      </c>
      <c r="K762" s="82" t="s">
        <v>794</v>
      </c>
      <c r="L762" s="83"/>
    </row>
    <row r="763" spans="1:12" s="84" customFormat="1" ht="31.5">
      <c r="A763" s="84">
        <v>12</v>
      </c>
      <c r="C763" s="136">
        <v>737</v>
      </c>
      <c r="D763" s="178" t="s">
        <v>902</v>
      </c>
      <c r="E763" s="2" t="s">
        <v>718</v>
      </c>
      <c r="F763" s="2" t="s">
        <v>716</v>
      </c>
      <c r="G763" s="79" t="s">
        <v>920</v>
      </c>
      <c r="H763" s="1" t="s">
        <v>907</v>
      </c>
      <c r="I763" s="1" t="s">
        <v>906</v>
      </c>
      <c r="J763" s="80">
        <v>8750</v>
      </c>
      <c r="K763" s="82" t="s">
        <v>163</v>
      </c>
      <c r="L763" s="83"/>
    </row>
    <row r="764" spans="1:12" s="84" customFormat="1" ht="31.5">
      <c r="A764" s="84">
        <v>13</v>
      </c>
      <c r="C764" s="136">
        <v>738</v>
      </c>
      <c r="D764" s="178" t="s">
        <v>905</v>
      </c>
      <c r="E764" s="2" t="s">
        <v>718</v>
      </c>
      <c r="F764" s="2" t="s">
        <v>716</v>
      </c>
      <c r="G764" s="79" t="s">
        <v>920</v>
      </c>
      <c r="H764" s="1" t="s">
        <v>892</v>
      </c>
      <c r="I764" s="1" t="s">
        <v>739</v>
      </c>
      <c r="J764" s="80">
        <v>2990</v>
      </c>
      <c r="K764" s="82" t="s">
        <v>789</v>
      </c>
      <c r="L764" s="83"/>
    </row>
    <row r="765" spans="1:12" s="84" customFormat="1" ht="31.5">
      <c r="A765" s="84">
        <v>14</v>
      </c>
      <c r="C765" s="136">
        <v>739</v>
      </c>
      <c r="D765" s="178" t="s">
        <v>904</v>
      </c>
      <c r="E765" s="2" t="s">
        <v>718</v>
      </c>
      <c r="F765" s="2" t="s">
        <v>716</v>
      </c>
      <c r="G765" s="79" t="s">
        <v>920</v>
      </c>
      <c r="H765" s="1" t="s">
        <v>891</v>
      </c>
      <c r="I765" s="1" t="s">
        <v>896</v>
      </c>
      <c r="J765" s="80">
        <v>3190</v>
      </c>
      <c r="K765" s="82" t="s">
        <v>163</v>
      </c>
      <c r="L765" s="83"/>
    </row>
    <row r="766" spans="1:12" s="84" customFormat="1" ht="31.5">
      <c r="A766" s="84">
        <v>15</v>
      </c>
      <c r="C766" s="136">
        <v>740</v>
      </c>
      <c r="D766" s="178" t="s">
        <v>903</v>
      </c>
      <c r="E766" s="2" t="s">
        <v>718</v>
      </c>
      <c r="F766" s="2" t="s">
        <v>716</v>
      </c>
      <c r="G766" s="79" t="s">
        <v>920</v>
      </c>
      <c r="H766" s="1" t="s">
        <v>902</v>
      </c>
      <c r="I766" s="1" t="s">
        <v>801</v>
      </c>
      <c r="J766" s="80">
        <v>3980</v>
      </c>
      <c r="K766" s="82" t="s">
        <v>163</v>
      </c>
      <c r="L766" s="83"/>
    </row>
    <row r="767" spans="1:12" s="84" customFormat="1" ht="31.5">
      <c r="A767" s="84">
        <v>16</v>
      </c>
      <c r="C767" s="136">
        <v>741</v>
      </c>
      <c r="D767" s="178" t="s">
        <v>901</v>
      </c>
      <c r="E767" s="2" t="s">
        <v>718</v>
      </c>
      <c r="F767" s="2" t="s">
        <v>716</v>
      </c>
      <c r="G767" s="79" t="s">
        <v>920</v>
      </c>
      <c r="H767" s="1" t="s">
        <v>879</v>
      </c>
      <c r="I767" s="1" t="s">
        <v>739</v>
      </c>
      <c r="J767" s="80">
        <v>1800</v>
      </c>
      <c r="K767" s="82" t="s">
        <v>156</v>
      </c>
      <c r="L767" s="83"/>
    </row>
    <row r="768" spans="1:12" s="84" customFormat="1" ht="31.5">
      <c r="A768" s="84">
        <v>17</v>
      </c>
      <c r="C768" s="136">
        <v>742</v>
      </c>
      <c r="D768" s="178" t="s">
        <v>900</v>
      </c>
      <c r="E768" s="2" t="s">
        <v>718</v>
      </c>
      <c r="F768" s="2" t="s">
        <v>716</v>
      </c>
      <c r="G768" s="79" t="s">
        <v>920</v>
      </c>
      <c r="H768" s="1" t="s">
        <v>899</v>
      </c>
      <c r="I768" s="1" t="s">
        <v>896</v>
      </c>
      <c r="J768" s="80">
        <v>2400</v>
      </c>
      <c r="K768" s="82" t="s">
        <v>898</v>
      </c>
      <c r="L768" s="83"/>
    </row>
    <row r="769" spans="1:12" s="84" customFormat="1" ht="31.5">
      <c r="A769" s="84">
        <v>18</v>
      </c>
      <c r="C769" s="136">
        <v>743</v>
      </c>
      <c r="D769" s="178" t="s">
        <v>897</v>
      </c>
      <c r="E769" s="2" t="s">
        <v>718</v>
      </c>
      <c r="F769" s="2" t="s">
        <v>716</v>
      </c>
      <c r="G769" s="79" t="s">
        <v>920</v>
      </c>
      <c r="H769" s="1" t="s">
        <v>838</v>
      </c>
      <c r="I769" s="1" t="s">
        <v>896</v>
      </c>
      <c r="J769" s="80">
        <v>1960</v>
      </c>
      <c r="K769" s="82" t="s">
        <v>895</v>
      </c>
      <c r="L769" s="83"/>
    </row>
    <row r="770" spans="1:12" s="84" customFormat="1" ht="31.5">
      <c r="A770" s="84">
        <v>19</v>
      </c>
      <c r="C770" s="136">
        <v>744</v>
      </c>
      <c r="D770" s="178" t="s">
        <v>894</v>
      </c>
      <c r="E770" s="2" t="s">
        <v>718</v>
      </c>
      <c r="F770" s="2" t="s">
        <v>716</v>
      </c>
      <c r="G770" s="79" t="s">
        <v>920</v>
      </c>
      <c r="H770" s="1" t="s">
        <v>838</v>
      </c>
      <c r="I770" s="1" t="s">
        <v>739</v>
      </c>
      <c r="J770" s="80">
        <v>1120</v>
      </c>
      <c r="K770" s="82" t="s">
        <v>218</v>
      </c>
      <c r="L770" s="83"/>
    </row>
    <row r="771" spans="1:12" s="84" customFormat="1" ht="31.5">
      <c r="A771" s="84">
        <v>20</v>
      </c>
      <c r="C771" s="136">
        <v>745</v>
      </c>
      <c r="D771" s="178" t="s">
        <v>893</v>
      </c>
      <c r="E771" s="2" t="s">
        <v>718</v>
      </c>
      <c r="F771" s="2" t="s">
        <v>716</v>
      </c>
      <c r="G771" s="79" t="s">
        <v>920</v>
      </c>
      <c r="H771" s="1" t="s">
        <v>892</v>
      </c>
      <c r="I771" s="1" t="s">
        <v>891</v>
      </c>
      <c r="J771" s="80">
        <v>2520</v>
      </c>
      <c r="K771" s="82" t="s">
        <v>326</v>
      </c>
      <c r="L771" s="83"/>
    </row>
    <row r="772" spans="1:12" s="84" customFormat="1" ht="31.5">
      <c r="A772" s="84">
        <v>21</v>
      </c>
      <c r="C772" s="136">
        <v>746</v>
      </c>
      <c r="D772" s="178" t="s">
        <v>890</v>
      </c>
      <c r="E772" s="2" t="s">
        <v>718</v>
      </c>
      <c r="F772" s="2" t="s">
        <v>716</v>
      </c>
      <c r="G772" s="79" t="s">
        <v>920</v>
      </c>
      <c r="H772" s="1" t="s">
        <v>879</v>
      </c>
      <c r="I772" s="1" t="s">
        <v>739</v>
      </c>
      <c r="J772" s="80">
        <v>2298</v>
      </c>
      <c r="K772" s="82" t="s">
        <v>227</v>
      </c>
      <c r="L772" s="83"/>
    </row>
    <row r="773" spans="1:12" s="84" customFormat="1" ht="31.5">
      <c r="A773" s="84">
        <v>22</v>
      </c>
      <c r="C773" s="136">
        <v>747</v>
      </c>
      <c r="D773" s="178" t="s">
        <v>889</v>
      </c>
      <c r="E773" s="2" t="s">
        <v>718</v>
      </c>
      <c r="F773" s="2" t="s">
        <v>716</v>
      </c>
      <c r="G773" s="79" t="s">
        <v>920</v>
      </c>
      <c r="H773" s="1" t="s">
        <v>879</v>
      </c>
      <c r="I773" s="1" t="s">
        <v>739</v>
      </c>
      <c r="J773" s="80">
        <v>1869</v>
      </c>
      <c r="K773" s="82" t="s">
        <v>158</v>
      </c>
      <c r="L773" s="83"/>
    </row>
    <row r="774" spans="1:12" s="84" customFormat="1" ht="31.5">
      <c r="A774" s="84">
        <v>23</v>
      </c>
      <c r="C774" s="136">
        <v>748</v>
      </c>
      <c r="D774" s="178" t="s">
        <v>888</v>
      </c>
      <c r="E774" s="2" t="s">
        <v>718</v>
      </c>
      <c r="F774" s="2" t="s">
        <v>716</v>
      </c>
      <c r="G774" s="79" t="s">
        <v>920</v>
      </c>
      <c r="H774" s="1" t="s">
        <v>127</v>
      </c>
      <c r="I774" s="1" t="s">
        <v>127</v>
      </c>
      <c r="J774" s="80">
        <v>2950</v>
      </c>
      <c r="K774" s="82" t="s">
        <v>326</v>
      </c>
      <c r="L774" s="83"/>
    </row>
    <row r="775" spans="1:12" s="84" customFormat="1" ht="31.5">
      <c r="A775" s="84">
        <v>24</v>
      </c>
      <c r="C775" s="136">
        <v>749</v>
      </c>
      <c r="D775" s="178" t="s">
        <v>886</v>
      </c>
      <c r="E775" s="2" t="s">
        <v>718</v>
      </c>
      <c r="F775" s="2" t="s">
        <v>716</v>
      </c>
      <c r="G775" s="79" t="s">
        <v>920</v>
      </c>
      <c r="H775" s="1" t="s">
        <v>877</v>
      </c>
      <c r="I775" s="1" t="s">
        <v>739</v>
      </c>
      <c r="J775" s="80">
        <v>4275</v>
      </c>
      <c r="K775" s="82" t="s">
        <v>750</v>
      </c>
      <c r="L775" s="83"/>
    </row>
    <row r="776" spans="1:12" s="139" customFormat="1" ht="31.5">
      <c r="A776" s="84">
        <v>25</v>
      </c>
      <c r="B776" s="84"/>
      <c r="C776" s="136">
        <v>750</v>
      </c>
      <c r="D776" s="178" t="s">
        <v>887</v>
      </c>
      <c r="E776" s="89" t="s">
        <v>718</v>
      </c>
      <c r="F776" s="2" t="s">
        <v>716</v>
      </c>
      <c r="G776" s="2" t="s">
        <v>920</v>
      </c>
      <c r="H776" s="90" t="s">
        <v>722</v>
      </c>
      <c r="I776" s="90" t="s">
        <v>886</v>
      </c>
      <c r="J776" s="80">
        <v>1319</v>
      </c>
      <c r="K776" s="94" t="s">
        <v>326</v>
      </c>
      <c r="L776" s="83"/>
    </row>
    <row r="777" spans="1:12" s="139" customFormat="1" ht="31.5">
      <c r="A777" s="84">
        <v>26</v>
      </c>
      <c r="B777" s="84"/>
      <c r="C777" s="136">
        <v>751</v>
      </c>
      <c r="D777" s="178" t="s">
        <v>885</v>
      </c>
      <c r="E777" s="89" t="s">
        <v>718</v>
      </c>
      <c r="F777" s="2" t="s">
        <v>716</v>
      </c>
      <c r="G777" s="2" t="s">
        <v>920</v>
      </c>
      <c r="H777" s="90" t="s">
        <v>722</v>
      </c>
      <c r="I777" s="90" t="s">
        <v>127</v>
      </c>
      <c r="J777" s="80">
        <v>1166</v>
      </c>
      <c r="K777" s="94" t="s">
        <v>156</v>
      </c>
      <c r="L777" s="83"/>
    </row>
    <row r="778" spans="1:12" s="139" customFormat="1" ht="31.5">
      <c r="A778" s="84">
        <v>27</v>
      </c>
      <c r="B778" s="84"/>
      <c r="C778" s="136">
        <v>752</v>
      </c>
      <c r="D778" s="178" t="s">
        <v>884</v>
      </c>
      <c r="E778" s="89" t="s">
        <v>718</v>
      </c>
      <c r="F778" s="2" t="s">
        <v>716</v>
      </c>
      <c r="G778" s="2" t="s">
        <v>920</v>
      </c>
      <c r="H778" s="90" t="s">
        <v>838</v>
      </c>
      <c r="I778" s="90" t="s">
        <v>877</v>
      </c>
      <c r="J778" s="80">
        <v>1832</v>
      </c>
      <c r="K778" s="94" t="s">
        <v>217</v>
      </c>
      <c r="L778" s="83"/>
    </row>
    <row r="779" spans="1:12" s="139" customFormat="1" ht="31.5">
      <c r="A779" s="84">
        <v>28</v>
      </c>
      <c r="B779" s="84"/>
      <c r="C779" s="136">
        <v>753</v>
      </c>
      <c r="D779" s="178" t="s">
        <v>883</v>
      </c>
      <c r="E779" s="89" t="s">
        <v>718</v>
      </c>
      <c r="F779" s="2" t="s">
        <v>716</v>
      </c>
      <c r="G779" s="2" t="s">
        <v>920</v>
      </c>
      <c r="H779" s="90" t="s">
        <v>722</v>
      </c>
      <c r="I779" s="90" t="s">
        <v>739</v>
      </c>
      <c r="J779" s="80">
        <v>1271</v>
      </c>
      <c r="K779" s="94" t="s">
        <v>163</v>
      </c>
      <c r="L779" s="83"/>
    </row>
    <row r="780" spans="1:12" s="139" customFormat="1" ht="31.5">
      <c r="A780" s="84">
        <v>29</v>
      </c>
      <c r="B780" s="84"/>
      <c r="C780" s="136">
        <v>754</v>
      </c>
      <c r="D780" s="178" t="s">
        <v>882</v>
      </c>
      <c r="E780" s="89" t="s">
        <v>718</v>
      </c>
      <c r="F780" s="2" t="s">
        <v>716</v>
      </c>
      <c r="G780" s="2" t="s">
        <v>920</v>
      </c>
      <c r="H780" s="90" t="s">
        <v>881</v>
      </c>
      <c r="I780" s="90" t="s">
        <v>691</v>
      </c>
      <c r="J780" s="80">
        <v>1338</v>
      </c>
      <c r="K780" s="94" t="s">
        <v>824</v>
      </c>
      <c r="L780" s="83"/>
    </row>
    <row r="781" spans="1:12" s="139" customFormat="1" ht="31.5">
      <c r="A781" s="84">
        <v>30</v>
      </c>
      <c r="B781" s="84"/>
      <c r="C781" s="136">
        <v>755</v>
      </c>
      <c r="D781" s="178" t="s">
        <v>880</v>
      </c>
      <c r="E781" s="89" t="s">
        <v>718</v>
      </c>
      <c r="F781" s="2" t="s">
        <v>716</v>
      </c>
      <c r="G781" s="2" t="s">
        <v>920</v>
      </c>
      <c r="H781" s="90" t="s">
        <v>879</v>
      </c>
      <c r="I781" s="90" t="s">
        <v>739</v>
      </c>
      <c r="J781" s="80">
        <v>950</v>
      </c>
      <c r="K781" s="94" t="s">
        <v>808</v>
      </c>
      <c r="L781" s="83"/>
    </row>
    <row r="782" spans="1:12" s="139" customFormat="1" ht="31.5">
      <c r="A782" s="84">
        <v>31</v>
      </c>
      <c r="B782" s="84"/>
      <c r="C782" s="136">
        <v>756</v>
      </c>
      <c r="D782" s="178" t="s">
        <v>878</v>
      </c>
      <c r="E782" s="89" t="s">
        <v>718</v>
      </c>
      <c r="F782" s="2" t="s">
        <v>716</v>
      </c>
      <c r="G782" s="2" t="s">
        <v>920</v>
      </c>
      <c r="H782" s="90" t="s">
        <v>838</v>
      </c>
      <c r="I782" s="90" t="s">
        <v>877</v>
      </c>
      <c r="J782" s="80">
        <v>780</v>
      </c>
      <c r="K782" s="94" t="s">
        <v>161</v>
      </c>
      <c r="L782" s="83"/>
    </row>
    <row r="783" spans="1:12" s="139" customFormat="1" ht="31.5">
      <c r="A783" s="84">
        <v>32</v>
      </c>
      <c r="B783" s="84"/>
      <c r="C783" s="136">
        <v>757</v>
      </c>
      <c r="D783" s="178" t="s">
        <v>876</v>
      </c>
      <c r="E783" s="89" t="s">
        <v>718</v>
      </c>
      <c r="F783" s="2" t="s">
        <v>716</v>
      </c>
      <c r="G783" s="2" t="s">
        <v>920</v>
      </c>
      <c r="H783" s="90" t="s">
        <v>722</v>
      </c>
      <c r="I783" s="90" t="s">
        <v>875</v>
      </c>
      <c r="J783" s="80">
        <v>710</v>
      </c>
      <c r="K783" s="94" t="s">
        <v>227</v>
      </c>
      <c r="L783" s="83"/>
    </row>
    <row r="784" spans="1:12" s="139" customFormat="1" ht="31.5">
      <c r="A784" s="84">
        <v>33</v>
      </c>
      <c r="B784" s="84"/>
      <c r="C784" s="136">
        <v>758</v>
      </c>
      <c r="D784" s="178" t="s">
        <v>874</v>
      </c>
      <c r="E784" s="89" t="s">
        <v>718</v>
      </c>
      <c r="F784" s="2" t="s">
        <v>716</v>
      </c>
      <c r="G784" s="2" t="s">
        <v>920</v>
      </c>
      <c r="H784" s="90" t="s">
        <v>722</v>
      </c>
      <c r="I784" s="90" t="s">
        <v>872</v>
      </c>
      <c r="J784" s="80">
        <v>1340</v>
      </c>
      <c r="K784" s="94" t="s">
        <v>217</v>
      </c>
      <c r="L784" s="83"/>
    </row>
    <row r="785" spans="1:12" s="139" customFormat="1" ht="31.5">
      <c r="A785" s="84">
        <v>34</v>
      </c>
      <c r="B785" s="84"/>
      <c r="C785" s="136">
        <v>759</v>
      </c>
      <c r="D785" s="178" t="s">
        <v>873</v>
      </c>
      <c r="E785" s="89" t="s">
        <v>718</v>
      </c>
      <c r="F785" s="2" t="s">
        <v>716</v>
      </c>
      <c r="G785" s="2" t="s">
        <v>920</v>
      </c>
      <c r="H785" s="90" t="s">
        <v>722</v>
      </c>
      <c r="I785" s="90" t="s">
        <v>872</v>
      </c>
      <c r="J785" s="80">
        <v>740</v>
      </c>
      <c r="K785" s="94" t="s">
        <v>794</v>
      </c>
      <c r="L785" s="83"/>
    </row>
    <row r="786" spans="1:12" s="139" customFormat="1" ht="31.5">
      <c r="A786" s="84">
        <v>35</v>
      </c>
      <c r="B786" s="84"/>
      <c r="C786" s="136">
        <v>760</v>
      </c>
      <c r="D786" s="178" t="s">
        <v>858</v>
      </c>
      <c r="E786" s="89" t="s">
        <v>718</v>
      </c>
      <c r="F786" s="2" t="s">
        <v>716</v>
      </c>
      <c r="G786" s="2" t="s">
        <v>920</v>
      </c>
      <c r="H786" s="90" t="s">
        <v>838</v>
      </c>
      <c r="I786" s="90" t="s">
        <v>872</v>
      </c>
      <c r="J786" s="80">
        <v>2000</v>
      </c>
      <c r="K786" s="94" t="s">
        <v>810</v>
      </c>
      <c r="L786" s="83"/>
    </row>
    <row r="787" spans="1:12" s="139" customFormat="1" ht="31.5">
      <c r="A787" s="84">
        <v>36</v>
      </c>
      <c r="B787" s="84"/>
      <c r="C787" s="136">
        <v>761</v>
      </c>
      <c r="D787" s="178" t="s">
        <v>848</v>
      </c>
      <c r="E787" s="89" t="s">
        <v>718</v>
      </c>
      <c r="F787" s="2" t="s">
        <v>716</v>
      </c>
      <c r="G787" s="2" t="s">
        <v>920</v>
      </c>
      <c r="H787" s="90" t="s">
        <v>722</v>
      </c>
      <c r="I787" s="90" t="s">
        <v>843</v>
      </c>
      <c r="J787" s="80">
        <v>380</v>
      </c>
      <c r="K787" s="94" t="s">
        <v>165</v>
      </c>
      <c r="L787" s="83"/>
    </row>
    <row r="788" spans="1:12" s="139" customFormat="1" ht="31.5">
      <c r="A788" s="84">
        <v>37</v>
      </c>
      <c r="B788" s="84"/>
      <c r="C788" s="136">
        <v>762</v>
      </c>
      <c r="D788" s="178" t="s">
        <v>871</v>
      </c>
      <c r="E788" s="89" t="s">
        <v>718</v>
      </c>
      <c r="F788" s="2" t="s">
        <v>716</v>
      </c>
      <c r="G788" s="2" t="s">
        <v>920</v>
      </c>
      <c r="H788" s="90" t="s">
        <v>722</v>
      </c>
      <c r="I788" s="90" t="s">
        <v>727</v>
      </c>
      <c r="J788" s="80">
        <v>1850</v>
      </c>
      <c r="K788" s="94" t="s">
        <v>157</v>
      </c>
      <c r="L788" s="83"/>
    </row>
    <row r="789" spans="1:12" s="139" customFormat="1" ht="31.5">
      <c r="A789" s="84">
        <v>38</v>
      </c>
      <c r="B789" s="84"/>
      <c r="C789" s="136">
        <v>763</v>
      </c>
      <c r="D789" s="178" t="s">
        <v>870</v>
      </c>
      <c r="E789" s="89" t="s">
        <v>718</v>
      </c>
      <c r="F789" s="2" t="s">
        <v>716</v>
      </c>
      <c r="G789" s="2" t="s">
        <v>920</v>
      </c>
      <c r="H789" s="90" t="s">
        <v>763</v>
      </c>
      <c r="I789" s="90" t="s">
        <v>844</v>
      </c>
      <c r="J789" s="80">
        <v>1690</v>
      </c>
      <c r="K789" s="94" t="s">
        <v>156</v>
      </c>
      <c r="L789" s="83"/>
    </row>
    <row r="790" spans="1:12" s="139" customFormat="1" ht="31.5">
      <c r="A790" s="84">
        <v>39</v>
      </c>
      <c r="B790" s="84"/>
      <c r="C790" s="136">
        <v>764</v>
      </c>
      <c r="D790" s="178" t="s">
        <v>869</v>
      </c>
      <c r="E790" s="89" t="s">
        <v>718</v>
      </c>
      <c r="F790" s="2" t="s">
        <v>716</v>
      </c>
      <c r="G790" s="2" t="s">
        <v>920</v>
      </c>
      <c r="H790" s="90" t="s">
        <v>868</v>
      </c>
      <c r="I790" s="90" t="s">
        <v>844</v>
      </c>
      <c r="J790" s="80">
        <v>2020</v>
      </c>
      <c r="K790" s="94" t="s">
        <v>782</v>
      </c>
      <c r="L790" s="83"/>
    </row>
    <row r="791" spans="1:12" s="139" customFormat="1" ht="31.5">
      <c r="A791" s="84">
        <v>40</v>
      </c>
      <c r="B791" s="84"/>
      <c r="C791" s="136">
        <v>765</v>
      </c>
      <c r="D791" s="178" t="s">
        <v>867</v>
      </c>
      <c r="E791" s="89" t="s">
        <v>718</v>
      </c>
      <c r="F791" s="2" t="s">
        <v>716</v>
      </c>
      <c r="G791" s="2" t="s">
        <v>920</v>
      </c>
      <c r="H791" s="90" t="s">
        <v>763</v>
      </c>
      <c r="I791" s="90" t="s">
        <v>844</v>
      </c>
      <c r="J791" s="80">
        <v>636</v>
      </c>
      <c r="K791" s="94" t="s">
        <v>161</v>
      </c>
      <c r="L791" s="83"/>
    </row>
    <row r="792" spans="1:12" s="139" customFormat="1" ht="31.5">
      <c r="A792" s="84">
        <v>41</v>
      </c>
      <c r="B792" s="84"/>
      <c r="C792" s="136">
        <v>766</v>
      </c>
      <c r="D792" s="178" t="s">
        <v>866</v>
      </c>
      <c r="E792" s="89" t="s">
        <v>718</v>
      </c>
      <c r="F792" s="2" t="s">
        <v>716</v>
      </c>
      <c r="G792" s="2" t="s">
        <v>920</v>
      </c>
      <c r="H792" s="90" t="s">
        <v>722</v>
      </c>
      <c r="I792" s="90" t="s">
        <v>865</v>
      </c>
      <c r="J792" s="80">
        <v>990</v>
      </c>
      <c r="K792" s="94" t="s">
        <v>156</v>
      </c>
      <c r="L792" s="83"/>
    </row>
    <row r="793" spans="1:12" s="139" customFormat="1" ht="31.5">
      <c r="A793" s="84">
        <v>42</v>
      </c>
      <c r="B793" s="84"/>
      <c r="C793" s="136">
        <v>767</v>
      </c>
      <c r="D793" s="178" t="s">
        <v>864</v>
      </c>
      <c r="E793" s="89" t="s">
        <v>718</v>
      </c>
      <c r="F793" s="2" t="s">
        <v>716</v>
      </c>
      <c r="G793" s="2" t="s">
        <v>920</v>
      </c>
      <c r="H793" s="90" t="s">
        <v>722</v>
      </c>
      <c r="I793" s="90" t="s">
        <v>717</v>
      </c>
      <c r="J793" s="80">
        <v>1520</v>
      </c>
      <c r="K793" s="94" t="s">
        <v>789</v>
      </c>
      <c r="L793" s="83"/>
    </row>
    <row r="794" spans="1:12" s="139" customFormat="1" ht="31.5">
      <c r="A794" s="84">
        <v>43</v>
      </c>
      <c r="B794" s="84"/>
      <c r="C794" s="136">
        <v>768</v>
      </c>
      <c r="D794" s="178" t="s">
        <v>863</v>
      </c>
      <c r="E794" s="89" t="s">
        <v>718</v>
      </c>
      <c r="F794" s="2" t="s">
        <v>716</v>
      </c>
      <c r="G794" s="2" t="s">
        <v>920</v>
      </c>
      <c r="H794" s="90" t="s">
        <v>856</v>
      </c>
      <c r="I794" s="90" t="s">
        <v>862</v>
      </c>
      <c r="J794" s="80">
        <v>1463</v>
      </c>
      <c r="K794" s="94" t="s">
        <v>326</v>
      </c>
      <c r="L794" s="83"/>
    </row>
    <row r="795" spans="1:12" s="139" customFormat="1" ht="31.5">
      <c r="A795" s="84">
        <v>44</v>
      </c>
      <c r="B795" s="84"/>
      <c r="C795" s="136">
        <v>769</v>
      </c>
      <c r="D795" s="178" t="s">
        <v>861</v>
      </c>
      <c r="E795" s="89" t="s">
        <v>718</v>
      </c>
      <c r="F795" s="2" t="s">
        <v>716</v>
      </c>
      <c r="G795" s="2" t="s">
        <v>920</v>
      </c>
      <c r="H795" s="90" t="s">
        <v>722</v>
      </c>
      <c r="I795" s="90" t="s">
        <v>844</v>
      </c>
      <c r="J795" s="80">
        <v>1630</v>
      </c>
      <c r="K795" s="94" t="s">
        <v>156</v>
      </c>
      <c r="L795" s="83"/>
    </row>
    <row r="796" spans="1:12" s="139" customFormat="1" ht="31.5">
      <c r="A796" s="84">
        <v>45</v>
      </c>
      <c r="B796" s="84"/>
      <c r="C796" s="136">
        <v>770</v>
      </c>
      <c r="D796" s="178" t="s">
        <v>860</v>
      </c>
      <c r="E796" s="89" t="s">
        <v>718</v>
      </c>
      <c r="F796" s="2" t="s">
        <v>716</v>
      </c>
      <c r="G796" s="2" t="s">
        <v>920</v>
      </c>
      <c r="H796" s="90" t="s">
        <v>722</v>
      </c>
      <c r="I796" s="90" t="s">
        <v>843</v>
      </c>
      <c r="J796" s="80">
        <v>1630</v>
      </c>
      <c r="K796" s="94" t="s">
        <v>329</v>
      </c>
      <c r="L796" s="83"/>
    </row>
    <row r="797" spans="1:12" s="139" customFormat="1" ht="31.5">
      <c r="A797" s="84">
        <v>46</v>
      </c>
      <c r="B797" s="84"/>
      <c r="C797" s="136">
        <v>771</v>
      </c>
      <c r="D797" s="178" t="s">
        <v>859</v>
      </c>
      <c r="E797" s="89" t="s">
        <v>718</v>
      </c>
      <c r="F797" s="2" t="s">
        <v>716</v>
      </c>
      <c r="G797" s="2" t="s">
        <v>920</v>
      </c>
      <c r="H797" s="90" t="s">
        <v>722</v>
      </c>
      <c r="I797" s="90" t="s">
        <v>856</v>
      </c>
      <c r="J797" s="80">
        <v>2260</v>
      </c>
      <c r="K797" s="94" t="s">
        <v>165</v>
      </c>
      <c r="L797" s="83"/>
    </row>
    <row r="798" spans="1:12" s="139" customFormat="1" ht="31.5">
      <c r="A798" s="84">
        <v>47</v>
      </c>
      <c r="B798" s="84"/>
      <c r="C798" s="136">
        <v>772</v>
      </c>
      <c r="D798" s="178" t="s">
        <v>831</v>
      </c>
      <c r="E798" s="89" t="s">
        <v>718</v>
      </c>
      <c r="F798" s="2" t="s">
        <v>716</v>
      </c>
      <c r="G798" s="2" t="s">
        <v>920</v>
      </c>
      <c r="H798" s="90" t="s">
        <v>838</v>
      </c>
      <c r="I798" s="90" t="s">
        <v>858</v>
      </c>
      <c r="J798" s="80">
        <v>1340</v>
      </c>
      <c r="K798" s="94" t="s">
        <v>346</v>
      </c>
      <c r="L798" s="83"/>
    </row>
    <row r="799" spans="1:12" s="139" customFormat="1" ht="31.5">
      <c r="A799" s="84">
        <v>48</v>
      </c>
      <c r="B799" s="84"/>
      <c r="C799" s="136">
        <v>773</v>
      </c>
      <c r="D799" s="178" t="s">
        <v>857</v>
      </c>
      <c r="E799" s="89" t="s">
        <v>718</v>
      </c>
      <c r="F799" s="2" t="s">
        <v>716</v>
      </c>
      <c r="G799" s="2" t="s">
        <v>920</v>
      </c>
      <c r="H799" s="90" t="s">
        <v>722</v>
      </c>
      <c r="I799" s="90" t="s">
        <v>856</v>
      </c>
      <c r="J799" s="80">
        <v>600</v>
      </c>
      <c r="K799" s="94" t="s">
        <v>217</v>
      </c>
      <c r="L799" s="83"/>
    </row>
    <row r="800" spans="1:12" s="139" customFormat="1" ht="31.5">
      <c r="A800" s="84">
        <v>49</v>
      </c>
      <c r="B800" s="84"/>
      <c r="C800" s="136">
        <v>774</v>
      </c>
      <c r="D800" s="178" t="s">
        <v>855</v>
      </c>
      <c r="E800" s="89" t="s">
        <v>718</v>
      </c>
      <c r="F800" s="2" t="s">
        <v>716</v>
      </c>
      <c r="G800" s="2" t="s">
        <v>920</v>
      </c>
      <c r="H800" s="90" t="s">
        <v>854</v>
      </c>
      <c r="I800" s="90" t="s">
        <v>853</v>
      </c>
      <c r="J800" s="80">
        <v>3800</v>
      </c>
      <c r="K800" s="94" t="s">
        <v>852</v>
      </c>
      <c r="L800" s="83"/>
    </row>
    <row r="801" spans="1:12" s="139" customFormat="1" ht="31.5">
      <c r="A801" s="84">
        <v>50</v>
      </c>
      <c r="B801" s="84"/>
      <c r="C801" s="136">
        <v>775</v>
      </c>
      <c r="D801" s="178" t="s">
        <v>851</v>
      </c>
      <c r="E801" s="89" t="s">
        <v>718</v>
      </c>
      <c r="F801" s="2" t="s">
        <v>716</v>
      </c>
      <c r="G801" s="2" t="s">
        <v>920</v>
      </c>
      <c r="H801" s="90" t="s">
        <v>850</v>
      </c>
      <c r="I801" s="90" t="s">
        <v>844</v>
      </c>
      <c r="J801" s="80">
        <v>4010</v>
      </c>
      <c r="K801" s="94" t="s">
        <v>810</v>
      </c>
      <c r="L801" s="83"/>
    </row>
    <row r="802" spans="1:12" s="139" customFormat="1" ht="31.5">
      <c r="A802" s="84">
        <v>51</v>
      </c>
      <c r="B802" s="84"/>
      <c r="C802" s="136">
        <v>776</v>
      </c>
      <c r="D802" s="178" t="s">
        <v>849</v>
      </c>
      <c r="E802" s="89" t="s">
        <v>718</v>
      </c>
      <c r="F802" s="2" t="s">
        <v>716</v>
      </c>
      <c r="G802" s="2" t="s">
        <v>920</v>
      </c>
      <c r="H802" s="90" t="s">
        <v>843</v>
      </c>
      <c r="I802" s="90" t="s">
        <v>843</v>
      </c>
      <c r="J802" s="80">
        <v>1030</v>
      </c>
      <c r="K802" s="94" t="s">
        <v>161</v>
      </c>
      <c r="L802" s="83"/>
    </row>
    <row r="803" spans="1:12" s="139" customFormat="1" ht="31.5">
      <c r="A803" s="84">
        <v>52</v>
      </c>
      <c r="B803" s="84"/>
      <c r="C803" s="136">
        <v>777</v>
      </c>
      <c r="D803" s="178" t="s">
        <v>843</v>
      </c>
      <c r="E803" s="89" t="s">
        <v>718</v>
      </c>
      <c r="F803" s="2" t="s">
        <v>716</v>
      </c>
      <c r="G803" s="2" t="s">
        <v>920</v>
      </c>
      <c r="H803" s="90" t="s">
        <v>848</v>
      </c>
      <c r="I803" s="90" t="s">
        <v>721</v>
      </c>
      <c r="J803" s="80">
        <v>4440</v>
      </c>
      <c r="K803" s="94" t="s">
        <v>731</v>
      </c>
      <c r="L803" s="83"/>
    </row>
    <row r="804" spans="1:12" s="139" customFormat="1" ht="31.5">
      <c r="A804" s="84">
        <v>53</v>
      </c>
      <c r="B804" s="84"/>
      <c r="C804" s="136">
        <v>778</v>
      </c>
      <c r="D804" s="178" t="s">
        <v>847</v>
      </c>
      <c r="E804" s="89" t="s">
        <v>718</v>
      </c>
      <c r="F804" s="2" t="s">
        <v>716</v>
      </c>
      <c r="G804" s="2" t="s">
        <v>920</v>
      </c>
      <c r="H804" s="90" t="s">
        <v>841</v>
      </c>
      <c r="I804" s="90" t="s">
        <v>846</v>
      </c>
      <c r="J804" s="80">
        <v>2420</v>
      </c>
      <c r="K804" s="94" t="s">
        <v>212</v>
      </c>
      <c r="L804" s="83"/>
    </row>
    <row r="805" spans="1:12" s="139" customFormat="1" ht="31.5">
      <c r="A805" s="84">
        <v>54</v>
      </c>
      <c r="B805" s="84"/>
      <c r="C805" s="136">
        <v>779</v>
      </c>
      <c r="D805" s="178" t="s">
        <v>845</v>
      </c>
      <c r="E805" s="89" t="s">
        <v>718</v>
      </c>
      <c r="F805" s="2" t="s">
        <v>716</v>
      </c>
      <c r="G805" s="2" t="s">
        <v>920</v>
      </c>
      <c r="H805" s="90" t="s">
        <v>844</v>
      </c>
      <c r="I805" s="90" t="s">
        <v>843</v>
      </c>
      <c r="J805" s="80">
        <v>880</v>
      </c>
      <c r="K805" s="94" t="s">
        <v>165</v>
      </c>
      <c r="L805" s="83"/>
    </row>
    <row r="806" spans="1:12" s="139" customFormat="1" ht="31.5">
      <c r="A806" s="84">
        <v>55</v>
      </c>
      <c r="B806" s="84"/>
      <c r="C806" s="136">
        <v>780</v>
      </c>
      <c r="D806" s="178" t="s">
        <v>842</v>
      </c>
      <c r="E806" s="89" t="s">
        <v>718</v>
      </c>
      <c r="F806" s="2" t="s">
        <v>716</v>
      </c>
      <c r="G806" s="2" t="s">
        <v>920</v>
      </c>
      <c r="H806" s="90" t="s">
        <v>841</v>
      </c>
      <c r="I806" s="90" t="s">
        <v>739</v>
      </c>
      <c r="J806" s="80">
        <v>3700</v>
      </c>
      <c r="K806" s="94" t="s">
        <v>840</v>
      </c>
      <c r="L806" s="83"/>
    </row>
    <row r="807" spans="1:12" s="139" customFormat="1" ht="31.5">
      <c r="A807" s="84">
        <v>56</v>
      </c>
      <c r="B807" s="84"/>
      <c r="C807" s="136">
        <v>781</v>
      </c>
      <c r="D807" s="178" t="s">
        <v>833</v>
      </c>
      <c r="E807" s="89" t="s">
        <v>718</v>
      </c>
      <c r="F807" s="2" t="s">
        <v>716</v>
      </c>
      <c r="G807" s="2" t="s">
        <v>920</v>
      </c>
      <c r="H807" s="90" t="s">
        <v>722</v>
      </c>
      <c r="I807" s="90" t="s">
        <v>757</v>
      </c>
      <c r="J807" s="80">
        <v>2480</v>
      </c>
      <c r="K807" s="94" t="s">
        <v>217</v>
      </c>
      <c r="L807" s="83"/>
    </row>
    <row r="808" spans="1:12" s="139" customFormat="1" ht="31.5">
      <c r="A808" s="84">
        <v>57</v>
      </c>
      <c r="B808" s="84"/>
      <c r="C808" s="136">
        <v>782</v>
      </c>
      <c r="D808" s="178" t="s">
        <v>839</v>
      </c>
      <c r="E808" s="89" t="s">
        <v>718</v>
      </c>
      <c r="F808" s="2" t="s">
        <v>716</v>
      </c>
      <c r="G808" s="2" t="s">
        <v>920</v>
      </c>
      <c r="H808" s="90" t="s">
        <v>838</v>
      </c>
      <c r="I808" s="90" t="s">
        <v>806</v>
      </c>
      <c r="J808" s="80">
        <v>3560</v>
      </c>
      <c r="K808" s="94" t="s">
        <v>750</v>
      </c>
      <c r="L808" s="83"/>
    </row>
    <row r="809" spans="1:12" s="139" customFormat="1" ht="31.5">
      <c r="A809" s="84">
        <v>58</v>
      </c>
      <c r="B809" s="84"/>
      <c r="C809" s="136">
        <v>783</v>
      </c>
      <c r="D809" s="178" t="s">
        <v>837</v>
      </c>
      <c r="E809" s="89" t="s">
        <v>718</v>
      </c>
      <c r="F809" s="2" t="s">
        <v>716</v>
      </c>
      <c r="G809" s="2" t="s">
        <v>920</v>
      </c>
      <c r="H809" s="90" t="s">
        <v>722</v>
      </c>
      <c r="I809" s="90" t="s">
        <v>806</v>
      </c>
      <c r="J809" s="80">
        <v>1510</v>
      </c>
      <c r="K809" s="94" t="s">
        <v>158</v>
      </c>
      <c r="L809" s="83"/>
    </row>
    <row r="810" spans="1:12" s="139" customFormat="1" ht="31.5">
      <c r="A810" s="84">
        <v>59</v>
      </c>
      <c r="B810" s="84"/>
      <c r="C810" s="136">
        <v>784</v>
      </c>
      <c r="D810" s="178" t="s">
        <v>836</v>
      </c>
      <c r="E810" s="89" t="s">
        <v>718</v>
      </c>
      <c r="F810" s="2" t="s">
        <v>716</v>
      </c>
      <c r="G810" s="2" t="s">
        <v>920</v>
      </c>
      <c r="H810" s="90" t="s">
        <v>722</v>
      </c>
      <c r="I810" s="90" t="s">
        <v>757</v>
      </c>
      <c r="J810" s="80">
        <v>2140</v>
      </c>
      <c r="K810" s="94" t="s">
        <v>184</v>
      </c>
      <c r="L810" s="83"/>
    </row>
    <row r="811" spans="1:12" s="139" customFormat="1" ht="31.5">
      <c r="A811" s="84">
        <v>60</v>
      </c>
      <c r="B811" s="84"/>
      <c r="C811" s="136">
        <v>785</v>
      </c>
      <c r="D811" s="178" t="s">
        <v>835</v>
      </c>
      <c r="E811" s="89" t="s">
        <v>718</v>
      </c>
      <c r="F811" s="2" t="s">
        <v>716</v>
      </c>
      <c r="G811" s="2" t="s">
        <v>920</v>
      </c>
      <c r="H811" s="90" t="s">
        <v>722</v>
      </c>
      <c r="I811" s="90" t="s">
        <v>757</v>
      </c>
      <c r="J811" s="80">
        <v>1600</v>
      </c>
      <c r="K811" s="94" t="s">
        <v>163</v>
      </c>
      <c r="L811" s="83"/>
    </row>
    <row r="812" spans="1:12" s="139" customFormat="1" ht="31.5">
      <c r="A812" s="84">
        <v>61</v>
      </c>
      <c r="B812" s="84"/>
      <c r="C812" s="136">
        <v>786</v>
      </c>
      <c r="D812" s="178" t="s">
        <v>834</v>
      </c>
      <c r="E812" s="89" t="s">
        <v>718</v>
      </c>
      <c r="F812" s="2" t="s">
        <v>716</v>
      </c>
      <c r="G812" s="2" t="s">
        <v>920</v>
      </c>
      <c r="H812" s="90" t="s">
        <v>833</v>
      </c>
      <c r="I812" s="90" t="s">
        <v>757</v>
      </c>
      <c r="J812" s="80">
        <v>982</v>
      </c>
      <c r="K812" s="94" t="s">
        <v>150</v>
      </c>
      <c r="L812" s="83"/>
    </row>
    <row r="813" spans="1:12" s="139" customFormat="1" ht="31.5">
      <c r="A813" s="84">
        <v>62</v>
      </c>
      <c r="B813" s="84"/>
      <c r="C813" s="136">
        <v>787</v>
      </c>
      <c r="D813" s="178" t="s">
        <v>832</v>
      </c>
      <c r="E813" s="89" t="s">
        <v>718</v>
      </c>
      <c r="F813" s="2" t="s">
        <v>716</v>
      </c>
      <c r="G813" s="2" t="s">
        <v>920</v>
      </c>
      <c r="H813" s="90" t="s">
        <v>831</v>
      </c>
      <c r="I813" s="90" t="s">
        <v>757</v>
      </c>
      <c r="J813" s="80">
        <v>2300</v>
      </c>
      <c r="K813" s="94" t="s">
        <v>227</v>
      </c>
      <c r="L813" s="83"/>
    </row>
    <row r="814" spans="1:12" s="139" customFormat="1" ht="31.5">
      <c r="A814" s="84">
        <v>63</v>
      </c>
      <c r="B814" s="84"/>
      <c r="C814" s="136">
        <v>788</v>
      </c>
      <c r="D814" s="178" t="s">
        <v>830</v>
      </c>
      <c r="E814" s="89" t="s">
        <v>718</v>
      </c>
      <c r="F814" s="2" t="s">
        <v>716</v>
      </c>
      <c r="G814" s="2" t="s">
        <v>920</v>
      </c>
      <c r="H814" s="90" t="s">
        <v>722</v>
      </c>
      <c r="I814" s="90" t="s">
        <v>757</v>
      </c>
      <c r="J814" s="80">
        <v>2240</v>
      </c>
      <c r="K814" s="94" t="s">
        <v>227</v>
      </c>
      <c r="L814" s="83"/>
    </row>
    <row r="815" spans="1:12" s="139" customFormat="1" ht="31.5">
      <c r="A815" s="84">
        <v>64</v>
      </c>
      <c r="B815" s="84"/>
      <c r="C815" s="136">
        <v>789</v>
      </c>
      <c r="D815" s="178" t="s">
        <v>829</v>
      </c>
      <c r="E815" s="89" t="s">
        <v>718</v>
      </c>
      <c r="F815" s="2" t="s">
        <v>716</v>
      </c>
      <c r="G815" s="2" t="s">
        <v>920</v>
      </c>
      <c r="H815" s="90" t="s">
        <v>722</v>
      </c>
      <c r="I815" s="90" t="s">
        <v>828</v>
      </c>
      <c r="J815" s="80">
        <v>1410</v>
      </c>
      <c r="K815" s="94" t="s">
        <v>161</v>
      </c>
      <c r="L815" s="83"/>
    </row>
    <row r="816" spans="1:12" s="139" customFormat="1" ht="31.5">
      <c r="A816" s="84">
        <v>65</v>
      </c>
      <c r="B816" s="84"/>
      <c r="C816" s="136">
        <v>790</v>
      </c>
      <c r="D816" s="178" t="s">
        <v>827</v>
      </c>
      <c r="E816" s="89" t="s">
        <v>718</v>
      </c>
      <c r="F816" s="2" t="s">
        <v>716</v>
      </c>
      <c r="G816" s="2" t="s">
        <v>920</v>
      </c>
      <c r="H816" s="90" t="s">
        <v>826</v>
      </c>
      <c r="I816" s="90" t="s">
        <v>739</v>
      </c>
      <c r="J816" s="80">
        <v>3260</v>
      </c>
      <c r="K816" s="94" t="s">
        <v>824</v>
      </c>
      <c r="L816" s="83"/>
    </row>
    <row r="817" spans="1:12" s="139" customFormat="1" ht="31.5">
      <c r="A817" s="84">
        <v>66</v>
      </c>
      <c r="B817" s="84"/>
      <c r="C817" s="136">
        <v>791</v>
      </c>
      <c r="D817" s="178" t="s">
        <v>825</v>
      </c>
      <c r="E817" s="89" t="s">
        <v>718</v>
      </c>
      <c r="F817" s="2" t="s">
        <v>716</v>
      </c>
      <c r="G817" s="2" t="s">
        <v>920</v>
      </c>
      <c r="H817" s="90" t="s">
        <v>722</v>
      </c>
      <c r="I817" s="90" t="s">
        <v>773</v>
      </c>
      <c r="J817" s="80">
        <v>1660</v>
      </c>
      <c r="K817" s="94" t="s">
        <v>824</v>
      </c>
      <c r="L817" s="83"/>
    </row>
    <row r="818" spans="1:12" s="139" customFormat="1" ht="31.5">
      <c r="A818" s="84">
        <v>67</v>
      </c>
      <c r="B818" s="84"/>
      <c r="C818" s="136">
        <v>792</v>
      </c>
      <c r="D818" s="178" t="s">
        <v>823</v>
      </c>
      <c r="E818" s="89" t="s">
        <v>718</v>
      </c>
      <c r="F818" s="2" t="s">
        <v>716</v>
      </c>
      <c r="G818" s="2" t="s">
        <v>920</v>
      </c>
      <c r="H818" s="90" t="s">
        <v>722</v>
      </c>
      <c r="I818" s="90" t="s">
        <v>816</v>
      </c>
      <c r="J818" s="80">
        <v>393</v>
      </c>
      <c r="K818" s="94" t="s">
        <v>329</v>
      </c>
      <c r="L818" s="83"/>
    </row>
    <row r="819" spans="1:12" s="139" customFormat="1" ht="31.5">
      <c r="A819" s="84">
        <v>68</v>
      </c>
      <c r="B819" s="84"/>
      <c r="C819" s="136">
        <v>793</v>
      </c>
      <c r="D819" s="178" t="s">
        <v>822</v>
      </c>
      <c r="E819" s="89" t="s">
        <v>718</v>
      </c>
      <c r="F819" s="2" t="s">
        <v>716</v>
      </c>
      <c r="G819" s="2" t="s">
        <v>920</v>
      </c>
      <c r="H819" s="90" t="s">
        <v>801</v>
      </c>
      <c r="I819" s="90" t="s">
        <v>821</v>
      </c>
      <c r="J819" s="80">
        <v>1210</v>
      </c>
      <c r="K819" s="94" t="s">
        <v>227</v>
      </c>
      <c r="L819" s="83"/>
    </row>
    <row r="820" spans="1:12" s="139" customFormat="1" ht="31.5">
      <c r="A820" s="84">
        <v>69</v>
      </c>
      <c r="B820" s="84"/>
      <c r="C820" s="136">
        <v>794</v>
      </c>
      <c r="D820" s="178" t="s">
        <v>820</v>
      </c>
      <c r="E820" s="89" t="s">
        <v>718</v>
      </c>
      <c r="F820" s="2" t="s">
        <v>716</v>
      </c>
      <c r="G820" s="2" t="s">
        <v>920</v>
      </c>
      <c r="H820" s="90" t="s">
        <v>722</v>
      </c>
      <c r="I820" s="90" t="s">
        <v>801</v>
      </c>
      <c r="J820" s="80">
        <v>1800</v>
      </c>
      <c r="K820" s="94" t="s">
        <v>230</v>
      </c>
      <c r="L820" s="83"/>
    </row>
    <row r="821" spans="1:12" s="139" customFormat="1" ht="31.5">
      <c r="A821" s="84">
        <v>70</v>
      </c>
      <c r="B821" s="84"/>
      <c r="C821" s="136">
        <v>795</v>
      </c>
      <c r="D821" s="178" t="s">
        <v>819</v>
      </c>
      <c r="E821" s="89" t="s">
        <v>718</v>
      </c>
      <c r="F821" s="2" t="s">
        <v>716</v>
      </c>
      <c r="G821" s="2" t="s">
        <v>920</v>
      </c>
      <c r="H821" s="90" t="s">
        <v>722</v>
      </c>
      <c r="I821" s="90" t="s">
        <v>812</v>
      </c>
      <c r="J821" s="80">
        <v>3190</v>
      </c>
      <c r="K821" s="94" t="s">
        <v>229</v>
      </c>
      <c r="L821" s="83"/>
    </row>
    <row r="822" spans="1:12" s="139" customFormat="1" ht="31.5">
      <c r="A822" s="84">
        <v>71</v>
      </c>
      <c r="B822" s="84"/>
      <c r="C822" s="136">
        <v>796</v>
      </c>
      <c r="D822" s="178" t="s">
        <v>818</v>
      </c>
      <c r="E822" s="89" t="s">
        <v>718</v>
      </c>
      <c r="F822" s="2" t="s">
        <v>716</v>
      </c>
      <c r="G822" s="2" t="s">
        <v>920</v>
      </c>
      <c r="H822" s="90" t="s">
        <v>722</v>
      </c>
      <c r="I822" s="90" t="s">
        <v>816</v>
      </c>
      <c r="J822" s="80">
        <v>1785</v>
      </c>
      <c r="K822" s="94" t="s">
        <v>203</v>
      </c>
      <c r="L822" s="83"/>
    </row>
    <row r="823" spans="1:12" s="139" customFormat="1" ht="31.5">
      <c r="A823" s="84">
        <v>72</v>
      </c>
      <c r="B823" s="84"/>
      <c r="C823" s="136">
        <v>797</v>
      </c>
      <c r="D823" s="178" t="s">
        <v>817</v>
      </c>
      <c r="E823" s="89" t="s">
        <v>718</v>
      </c>
      <c r="F823" s="2" t="s">
        <v>716</v>
      </c>
      <c r="G823" s="2" t="s">
        <v>920</v>
      </c>
      <c r="H823" s="90" t="s">
        <v>722</v>
      </c>
      <c r="I823" s="90" t="s">
        <v>816</v>
      </c>
      <c r="J823" s="80">
        <v>1475</v>
      </c>
      <c r="K823" s="94" t="s">
        <v>346</v>
      </c>
      <c r="L823" s="83"/>
    </row>
    <row r="824" spans="1:12" s="139" customFormat="1" ht="31.5">
      <c r="A824" s="84">
        <v>73</v>
      </c>
      <c r="B824" s="84"/>
      <c r="C824" s="136">
        <v>798</v>
      </c>
      <c r="D824" s="178" t="s">
        <v>815</v>
      </c>
      <c r="E824" s="89" t="s">
        <v>718</v>
      </c>
      <c r="F824" s="2" t="s">
        <v>716</v>
      </c>
      <c r="G824" s="2" t="s">
        <v>920</v>
      </c>
      <c r="H824" s="90" t="s">
        <v>722</v>
      </c>
      <c r="I824" s="90" t="s">
        <v>757</v>
      </c>
      <c r="J824" s="80">
        <v>2440</v>
      </c>
      <c r="K824" s="94" t="s">
        <v>150</v>
      </c>
      <c r="L824" s="83"/>
    </row>
    <row r="825" spans="1:12" s="139" customFormat="1" ht="31.5">
      <c r="A825" s="84">
        <v>74</v>
      </c>
      <c r="B825" s="84"/>
      <c r="C825" s="136">
        <v>799</v>
      </c>
      <c r="D825" s="178" t="s">
        <v>3472</v>
      </c>
      <c r="E825" s="89" t="s">
        <v>718</v>
      </c>
      <c r="F825" s="2" t="s">
        <v>716</v>
      </c>
      <c r="G825" s="2" t="s">
        <v>920</v>
      </c>
      <c r="H825" s="90" t="s">
        <v>127</v>
      </c>
      <c r="I825" s="90" t="s">
        <v>757</v>
      </c>
      <c r="J825" s="80">
        <v>5300</v>
      </c>
      <c r="K825" s="94" t="s">
        <v>814</v>
      </c>
      <c r="L825" s="83"/>
    </row>
    <row r="826" spans="1:12" s="139" customFormat="1" ht="31.5">
      <c r="A826" s="84">
        <v>75</v>
      </c>
      <c r="B826" s="84"/>
      <c r="C826" s="136">
        <v>800</v>
      </c>
      <c r="D826" s="178" t="s">
        <v>813</v>
      </c>
      <c r="E826" s="89" t="s">
        <v>718</v>
      </c>
      <c r="F826" s="2" t="s">
        <v>716</v>
      </c>
      <c r="G826" s="2" t="s">
        <v>920</v>
      </c>
      <c r="H826" s="90" t="s">
        <v>722</v>
      </c>
      <c r="I826" s="90" t="s">
        <v>812</v>
      </c>
      <c r="J826" s="80">
        <v>2040</v>
      </c>
      <c r="K826" s="94" t="s">
        <v>203</v>
      </c>
      <c r="L826" s="83"/>
    </row>
    <row r="827" spans="1:12" s="139" customFormat="1" ht="31.5">
      <c r="A827" s="84">
        <v>76</v>
      </c>
      <c r="B827" s="84"/>
      <c r="C827" s="136">
        <v>801</v>
      </c>
      <c r="D827" s="178" t="s">
        <v>811</v>
      </c>
      <c r="E827" s="89" t="s">
        <v>718</v>
      </c>
      <c r="F827" s="2" t="s">
        <v>716</v>
      </c>
      <c r="G827" s="2" t="s">
        <v>920</v>
      </c>
      <c r="H827" s="90" t="s">
        <v>807</v>
      </c>
      <c r="I827" s="90" t="s">
        <v>806</v>
      </c>
      <c r="J827" s="80">
        <v>1200</v>
      </c>
      <c r="K827" s="94" t="s">
        <v>810</v>
      </c>
      <c r="L827" s="83"/>
    </row>
    <row r="828" spans="1:12" s="139" customFormat="1" ht="31.5">
      <c r="A828" s="84">
        <v>77</v>
      </c>
      <c r="B828" s="84"/>
      <c r="C828" s="136">
        <v>802</v>
      </c>
      <c r="D828" s="178" t="s">
        <v>809</v>
      </c>
      <c r="E828" s="89" t="s">
        <v>718</v>
      </c>
      <c r="F828" s="2" t="s">
        <v>716</v>
      </c>
      <c r="G828" s="2" t="s">
        <v>920</v>
      </c>
      <c r="H828" s="90" t="s">
        <v>773</v>
      </c>
      <c r="I828" s="90" t="s">
        <v>806</v>
      </c>
      <c r="J828" s="80">
        <v>3670</v>
      </c>
      <c r="K828" s="94" t="s">
        <v>808</v>
      </c>
      <c r="L828" s="83"/>
    </row>
    <row r="829" spans="1:12" s="139" customFormat="1" ht="31.5">
      <c r="A829" s="84">
        <v>78</v>
      </c>
      <c r="B829" s="84"/>
      <c r="C829" s="136">
        <v>803</v>
      </c>
      <c r="D829" s="178" t="s">
        <v>807</v>
      </c>
      <c r="E829" s="89" t="s">
        <v>718</v>
      </c>
      <c r="F829" s="2" t="s">
        <v>716</v>
      </c>
      <c r="G829" s="2" t="s">
        <v>920</v>
      </c>
      <c r="H829" s="90" t="s">
        <v>722</v>
      </c>
      <c r="I829" s="90" t="s">
        <v>806</v>
      </c>
      <c r="J829" s="80">
        <v>1370</v>
      </c>
      <c r="K829" s="94" t="s">
        <v>805</v>
      </c>
      <c r="L829" s="83"/>
    </row>
    <row r="830" spans="1:12" s="139" customFormat="1" ht="31.5">
      <c r="A830" s="84">
        <v>79</v>
      </c>
      <c r="B830" s="84"/>
      <c r="C830" s="136">
        <v>804</v>
      </c>
      <c r="D830" s="178" t="s">
        <v>773</v>
      </c>
      <c r="E830" s="89" t="s">
        <v>718</v>
      </c>
      <c r="F830" s="2" t="s">
        <v>716</v>
      </c>
      <c r="G830" s="2" t="s">
        <v>920</v>
      </c>
      <c r="H830" s="90" t="s">
        <v>722</v>
      </c>
      <c r="I830" s="90" t="s">
        <v>727</v>
      </c>
      <c r="J830" s="80">
        <v>4000</v>
      </c>
      <c r="K830" s="94" t="s">
        <v>804</v>
      </c>
      <c r="L830" s="83"/>
    </row>
    <row r="831" spans="1:12" s="139" customFormat="1" ht="31.5">
      <c r="A831" s="84">
        <v>80</v>
      </c>
      <c r="B831" s="84"/>
      <c r="C831" s="136">
        <v>805</v>
      </c>
      <c r="D831" s="178" t="s">
        <v>803</v>
      </c>
      <c r="E831" s="89" t="s">
        <v>718</v>
      </c>
      <c r="F831" s="2" t="s">
        <v>716</v>
      </c>
      <c r="G831" s="2" t="s">
        <v>920</v>
      </c>
      <c r="H831" s="90" t="s">
        <v>802</v>
      </c>
      <c r="I831" s="90" t="s">
        <v>801</v>
      </c>
      <c r="J831" s="80">
        <v>8720</v>
      </c>
      <c r="K831" s="94" t="s">
        <v>212</v>
      </c>
      <c r="L831" s="83"/>
    </row>
    <row r="832" spans="1:12" s="139" customFormat="1" ht="31.5">
      <c r="A832" s="84">
        <v>81</v>
      </c>
      <c r="B832" s="84"/>
      <c r="C832" s="136">
        <v>806</v>
      </c>
      <c r="D832" s="178" t="s">
        <v>800</v>
      </c>
      <c r="E832" s="89" t="s">
        <v>718</v>
      </c>
      <c r="F832" s="2" t="s">
        <v>716</v>
      </c>
      <c r="G832" s="2" t="s">
        <v>920</v>
      </c>
      <c r="H832" s="90" t="s">
        <v>791</v>
      </c>
      <c r="I832" s="90" t="s">
        <v>799</v>
      </c>
      <c r="J832" s="80">
        <v>4290</v>
      </c>
      <c r="K832" s="94" t="s">
        <v>798</v>
      </c>
      <c r="L832" s="83"/>
    </row>
    <row r="833" spans="1:12" s="139" customFormat="1" ht="31.5">
      <c r="A833" s="84">
        <v>82</v>
      </c>
      <c r="B833" s="84"/>
      <c r="C833" s="136">
        <v>807</v>
      </c>
      <c r="D833" s="178" t="s">
        <v>797</v>
      </c>
      <c r="E833" s="89" t="s">
        <v>718</v>
      </c>
      <c r="F833" s="2" t="s">
        <v>716</v>
      </c>
      <c r="G833" s="2" t="s">
        <v>920</v>
      </c>
      <c r="H833" s="90" t="s">
        <v>722</v>
      </c>
      <c r="I833" s="90" t="s">
        <v>785</v>
      </c>
      <c r="J833" s="80">
        <v>950</v>
      </c>
      <c r="K833" s="94" t="s">
        <v>156</v>
      </c>
      <c r="L833" s="83"/>
    </row>
    <row r="834" spans="1:12" s="139" customFormat="1" ht="31.5">
      <c r="A834" s="84">
        <v>83</v>
      </c>
      <c r="B834" s="84"/>
      <c r="C834" s="136">
        <v>808</v>
      </c>
      <c r="D834" s="178" t="s">
        <v>796</v>
      </c>
      <c r="E834" s="89" t="s">
        <v>718</v>
      </c>
      <c r="F834" s="2" t="s">
        <v>716</v>
      </c>
      <c r="G834" s="2" t="s">
        <v>920</v>
      </c>
      <c r="H834" s="90" t="s">
        <v>722</v>
      </c>
      <c r="I834" s="90" t="s">
        <v>757</v>
      </c>
      <c r="J834" s="80">
        <v>2254</v>
      </c>
      <c r="K834" s="94" t="s">
        <v>795</v>
      </c>
      <c r="L834" s="83"/>
    </row>
    <row r="835" spans="1:12" s="139" customFormat="1" ht="31.5">
      <c r="A835" s="84">
        <v>84</v>
      </c>
      <c r="B835" s="84"/>
      <c r="C835" s="136">
        <v>809</v>
      </c>
      <c r="D835" s="178" t="s">
        <v>768</v>
      </c>
      <c r="E835" s="89" t="s">
        <v>718</v>
      </c>
      <c r="F835" s="2" t="s">
        <v>716</v>
      </c>
      <c r="G835" s="2" t="s">
        <v>920</v>
      </c>
      <c r="H835" s="90" t="s">
        <v>769</v>
      </c>
      <c r="I835" s="90" t="s">
        <v>739</v>
      </c>
      <c r="J835" s="80">
        <v>1490</v>
      </c>
      <c r="K835" s="94" t="s">
        <v>794</v>
      </c>
      <c r="L835" s="83"/>
    </row>
    <row r="836" spans="1:12" s="139" customFormat="1" ht="31.5">
      <c r="A836" s="84">
        <v>85</v>
      </c>
      <c r="B836" s="84"/>
      <c r="C836" s="136">
        <v>810</v>
      </c>
      <c r="D836" s="178" t="s">
        <v>793</v>
      </c>
      <c r="E836" s="89" t="s">
        <v>718</v>
      </c>
      <c r="F836" s="2" t="s">
        <v>716</v>
      </c>
      <c r="G836" s="2" t="s">
        <v>920</v>
      </c>
      <c r="H836" s="90" t="s">
        <v>722</v>
      </c>
      <c r="I836" s="90" t="s">
        <v>772</v>
      </c>
      <c r="J836" s="80">
        <v>2550</v>
      </c>
      <c r="K836" s="94" t="s">
        <v>163</v>
      </c>
      <c r="L836" s="83"/>
    </row>
    <row r="837" spans="1:12" s="139" customFormat="1" ht="31.5">
      <c r="A837" s="84">
        <v>86</v>
      </c>
      <c r="B837" s="84"/>
      <c r="C837" s="136">
        <v>811</v>
      </c>
      <c r="D837" s="178" t="s">
        <v>792</v>
      </c>
      <c r="E837" s="89" t="s">
        <v>718</v>
      </c>
      <c r="F837" s="2" t="s">
        <v>716</v>
      </c>
      <c r="G837" s="2" t="s">
        <v>920</v>
      </c>
      <c r="H837" s="90" t="s">
        <v>791</v>
      </c>
      <c r="I837" s="90" t="s">
        <v>772</v>
      </c>
      <c r="J837" s="80">
        <v>3050</v>
      </c>
      <c r="K837" s="94" t="s">
        <v>158</v>
      </c>
      <c r="L837" s="83"/>
    </row>
    <row r="838" spans="1:12" s="139" customFormat="1" ht="31.5">
      <c r="A838" s="84">
        <v>87</v>
      </c>
      <c r="B838" s="84"/>
      <c r="C838" s="136">
        <v>812</v>
      </c>
      <c r="D838" s="178" t="s">
        <v>790</v>
      </c>
      <c r="E838" s="89" t="s">
        <v>718</v>
      </c>
      <c r="F838" s="2" t="s">
        <v>716</v>
      </c>
      <c r="G838" s="2" t="s">
        <v>920</v>
      </c>
      <c r="H838" s="90" t="s">
        <v>722</v>
      </c>
      <c r="I838" s="90" t="s">
        <v>757</v>
      </c>
      <c r="J838" s="80">
        <v>1428</v>
      </c>
      <c r="K838" s="94" t="s">
        <v>729</v>
      </c>
      <c r="L838" s="83"/>
    </row>
    <row r="839" spans="1:12" s="139" customFormat="1" ht="31.5">
      <c r="A839" s="84">
        <v>88</v>
      </c>
      <c r="B839" s="84"/>
      <c r="C839" s="136">
        <v>813</v>
      </c>
      <c r="D839" s="178" t="s">
        <v>770</v>
      </c>
      <c r="E839" s="89" t="s">
        <v>718</v>
      </c>
      <c r="F839" s="2" t="s">
        <v>716</v>
      </c>
      <c r="G839" s="2" t="s">
        <v>920</v>
      </c>
      <c r="H839" s="90" t="s">
        <v>771</v>
      </c>
      <c r="I839" s="90" t="s">
        <v>772</v>
      </c>
      <c r="J839" s="80">
        <v>2399</v>
      </c>
      <c r="K839" s="94" t="s">
        <v>789</v>
      </c>
      <c r="L839" s="83"/>
    </row>
    <row r="840" spans="1:12" s="139" customFormat="1" ht="31.5">
      <c r="A840" s="84">
        <v>89</v>
      </c>
      <c r="B840" s="84"/>
      <c r="C840" s="136">
        <v>814</v>
      </c>
      <c r="D840" s="178" t="s">
        <v>788</v>
      </c>
      <c r="E840" s="89" t="s">
        <v>718</v>
      </c>
      <c r="F840" s="2" t="s">
        <v>716</v>
      </c>
      <c r="G840" s="2" t="s">
        <v>920</v>
      </c>
      <c r="H840" s="90" t="s">
        <v>722</v>
      </c>
      <c r="I840" s="90" t="s">
        <v>777</v>
      </c>
      <c r="J840" s="80">
        <v>1930</v>
      </c>
      <c r="K840" s="94" t="s">
        <v>782</v>
      </c>
      <c r="L840" s="83"/>
    </row>
    <row r="841" spans="1:12" s="139" customFormat="1" ht="31.5">
      <c r="A841" s="84">
        <v>90</v>
      </c>
      <c r="B841" s="84"/>
      <c r="C841" s="136">
        <v>815</v>
      </c>
      <c r="D841" s="178" t="s">
        <v>787</v>
      </c>
      <c r="E841" s="89" t="s">
        <v>718</v>
      </c>
      <c r="F841" s="2" t="s">
        <v>716</v>
      </c>
      <c r="G841" s="2" t="s">
        <v>920</v>
      </c>
      <c r="H841" s="90" t="s">
        <v>722</v>
      </c>
      <c r="I841" s="90" t="s">
        <v>785</v>
      </c>
      <c r="J841" s="80">
        <v>890</v>
      </c>
      <c r="K841" s="94" t="s">
        <v>155</v>
      </c>
      <c r="L841" s="83"/>
    </row>
    <row r="842" spans="1:12" s="139" customFormat="1" ht="31.5">
      <c r="A842" s="84">
        <v>91</v>
      </c>
      <c r="B842" s="84"/>
      <c r="C842" s="136">
        <v>816</v>
      </c>
      <c r="D842" s="178" t="s">
        <v>786</v>
      </c>
      <c r="E842" s="89" t="s">
        <v>718</v>
      </c>
      <c r="F842" s="2" t="s">
        <v>716</v>
      </c>
      <c r="G842" s="2" t="s">
        <v>920</v>
      </c>
      <c r="H842" s="90" t="s">
        <v>785</v>
      </c>
      <c r="I842" s="90" t="s">
        <v>739</v>
      </c>
      <c r="J842" s="80">
        <v>1660</v>
      </c>
      <c r="K842" s="94" t="s">
        <v>153</v>
      </c>
      <c r="L842" s="83"/>
    </row>
    <row r="843" spans="1:12" s="139" customFormat="1" ht="31.5">
      <c r="A843" s="84">
        <v>92</v>
      </c>
      <c r="B843" s="84"/>
      <c r="C843" s="136">
        <v>817</v>
      </c>
      <c r="D843" s="178" t="s">
        <v>784</v>
      </c>
      <c r="E843" s="89" t="s">
        <v>718</v>
      </c>
      <c r="F843" s="2" t="s">
        <v>716</v>
      </c>
      <c r="G843" s="2" t="s">
        <v>920</v>
      </c>
      <c r="H843" s="90" t="s">
        <v>783</v>
      </c>
      <c r="I843" s="90" t="s">
        <v>739</v>
      </c>
      <c r="J843" s="80">
        <v>3100</v>
      </c>
      <c r="K843" s="94" t="s">
        <v>782</v>
      </c>
      <c r="L843" s="83"/>
    </row>
    <row r="844" spans="1:12" s="139" customFormat="1" ht="31.5">
      <c r="A844" s="84">
        <v>93</v>
      </c>
      <c r="B844" s="84"/>
      <c r="C844" s="136">
        <v>818</v>
      </c>
      <c r="D844" s="178" t="s">
        <v>781</v>
      </c>
      <c r="E844" s="89" t="s">
        <v>718</v>
      </c>
      <c r="F844" s="2" t="s">
        <v>716</v>
      </c>
      <c r="G844" s="2" t="s">
        <v>920</v>
      </c>
      <c r="H844" s="90" t="s">
        <v>777</v>
      </c>
      <c r="I844" s="90" t="s">
        <v>772</v>
      </c>
      <c r="J844" s="80">
        <v>3150</v>
      </c>
      <c r="K844" s="94" t="s">
        <v>163</v>
      </c>
      <c r="L844" s="83"/>
    </row>
    <row r="845" spans="1:12" s="139" customFormat="1" ht="31.5">
      <c r="A845" s="84">
        <v>94</v>
      </c>
      <c r="B845" s="84"/>
      <c r="C845" s="136">
        <v>819</v>
      </c>
      <c r="D845" s="178" t="s">
        <v>780</v>
      </c>
      <c r="E845" s="89" t="s">
        <v>718</v>
      </c>
      <c r="F845" s="2" t="s">
        <v>716</v>
      </c>
      <c r="G845" s="2" t="s">
        <v>920</v>
      </c>
      <c r="H845" s="90" t="s">
        <v>722</v>
      </c>
      <c r="I845" s="90" t="s">
        <v>770</v>
      </c>
      <c r="J845" s="80">
        <v>2310</v>
      </c>
      <c r="K845" s="94" t="s">
        <v>156</v>
      </c>
      <c r="L845" s="83"/>
    </row>
    <row r="846" spans="1:12" s="139" customFormat="1" ht="31.5">
      <c r="A846" s="84">
        <v>95</v>
      </c>
      <c r="B846" s="84"/>
      <c r="C846" s="136">
        <v>820</v>
      </c>
      <c r="D846" s="178" t="s">
        <v>779</v>
      </c>
      <c r="E846" s="89" t="s">
        <v>718</v>
      </c>
      <c r="F846" s="2" t="s">
        <v>716</v>
      </c>
      <c r="G846" s="2" t="s">
        <v>920</v>
      </c>
      <c r="H846" s="90" t="s">
        <v>739</v>
      </c>
      <c r="I846" s="90" t="s">
        <v>757</v>
      </c>
      <c r="J846" s="80">
        <v>3932</v>
      </c>
      <c r="K846" s="94" t="s">
        <v>157</v>
      </c>
      <c r="L846" s="83"/>
    </row>
    <row r="847" spans="1:12" s="139" customFormat="1" ht="31.5">
      <c r="A847" s="84">
        <v>96</v>
      </c>
      <c r="B847" s="84"/>
      <c r="C847" s="136">
        <v>821</v>
      </c>
      <c r="D847" s="178" t="s">
        <v>778</v>
      </c>
      <c r="E847" s="89" t="s">
        <v>718</v>
      </c>
      <c r="F847" s="2" t="s">
        <v>716</v>
      </c>
      <c r="G847" s="2" t="s">
        <v>920</v>
      </c>
      <c r="H847" s="90" t="s">
        <v>777</v>
      </c>
      <c r="I847" s="90" t="s">
        <v>757</v>
      </c>
      <c r="J847" s="80">
        <v>2532</v>
      </c>
      <c r="K847" s="94" t="s">
        <v>776</v>
      </c>
      <c r="L847" s="83"/>
    </row>
    <row r="848" spans="1:12" s="139" customFormat="1" ht="31.5">
      <c r="A848" s="84">
        <v>97</v>
      </c>
      <c r="B848" s="84"/>
      <c r="C848" s="136">
        <v>822</v>
      </c>
      <c r="D848" s="178" t="s">
        <v>775</v>
      </c>
      <c r="E848" s="89" t="s">
        <v>718</v>
      </c>
      <c r="F848" s="2" t="s">
        <v>716</v>
      </c>
      <c r="G848" s="2" t="s">
        <v>920</v>
      </c>
      <c r="H848" s="90" t="s">
        <v>739</v>
      </c>
      <c r="I848" s="90" t="s">
        <v>772</v>
      </c>
      <c r="J848" s="80">
        <v>3465</v>
      </c>
      <c r="K848" s="94" t="s">
        <v>774</v>
      </c>
      <c r="L848" s="83"/>
    </row>
    <row r="849" spans="1:12" s="139" customFormat="1" ht="31.5">
      <c r="A849" s="84">
        <v>98</v>
      </c>
      <c r="B849" s="84"/>
      <c r="C849" s="136">
        <v>823</v>
      </c>
      <c r="D849" s="178" t="s">
        <v>773</v>
      </c>
      <c r="E849" s="89" t="s">
        <v>718</v>
      </c>
      <c r="F849" s="2" t="s">
        <v>716</v>
      </c>
      <c r="G849" s="2" t="s">
        <v>920</v>
      </c>
      <c r="H849" s="90" t="s">
        <v>722</v>
      </c>
      <c r="I849" s="90" t="s">
        <v>772</v>
      </c>
      <c r="J849" s="80">
        <v>2560</v>
      </c>
      <c r="K849" s="94" t="s">
        <v>163</v>
      </c>
      <c r="L849" s="83"/>
    </row>
    <row r="850" spans="1:12" s="139" customFormat="1" ht="31.5">
      <c r="A850" s="84">
        <v>99</v>
      </c>
      <c r="B850" s="84"/>
      <c r="C850" s="136">
        <v>824</v>
      </c>
      <c r="D850" s="178" t="s">
        <v>771</v>
      </c>
      <c r="E850" s="89" t="s">
        <v>718</v>
      </c>
      <c r="F850" s="2" t="s">
        <v>716</v>
      </c>
      <c r="G850" s="2" t="s">
        <v>920</v>
      </c>
      <c r="H850" s="90" t="s">
        <v>770</v>
      </c>
      <c r="I850" s="90" t="s">
        <v>757</v>
      </c>
      <c r="J850" s="80">
        <v>3015</v>
      </c>
      <c r="K850" s="94" t="s">
        <v>227</v>
      </c>
      <c r="L850" s="83"/>
    </row>
    <row r="851" spans="1:12" s="139" customFormat="1" ht="31.5">
      <c r="A851" s="84">
        <v>100</v>
      </c>
      <c r="B851" s="84"/>
      <c r="C851" s="136">
        <v>825</v>
      </c>
      <c r="D851" s="178" t="s">
        <v>769</v>
      </c>
      <c r="E851" s="89" t="s">
        <v>718</v>
      </c>
      <c r="F851" s="2" t="s">
        <v>716</v>
      </c>
      <c r="G851" s="2" t="s">
        <v>920</v>
      </c>
      <c r="H851" s="90" t="s">
        <v>768</v>
      </c>
      <c r="I851" s="90" t="s">
        <v>739</v>
      </c>
      <c r="J851" s="80">
        <v>3150</v>
      </c>
      <c r="K851" s="94" t="s">
        <v>227</v>
      </c>
      <c r="L851" s="83"/>
    </row>
    <row r="852" spans="1:12" s="139" customFormat="1" ht="31.5">
      <c r="A852" s="84">
        <v>101</v>
      </c>
      <c r="B852" s="84"/>
      <c r="C852" s="136">
        <v>826</v>
      </c>
      <c r="D852" s="178" t="s">
        <v>767</v>
      </c>
      <c r="E852" s="89" t="s">
        <v>718</v>
      </c>
      <c r="F852" s="2" t="s">
        <v>716</v>
      </c>
      <c r="G852" s="2" t="s">
        <v>920</v>
      </c>
      <c r="H852" s="90" t="s">
        <v>766</v>
      </c>
      <c r="I852" s="90" t="s">
        <v>732</v>
      </c>
      <c r="J852" s="80">
        <v>1860</v>
      </c>
      <c r="K852" s="94" t="s">
        <v>217</v>
      </c>
      <c r="L852" s="83"/>
    </row>
    <row r="853" spans="1:12" s="139" customFormat="1" ht="31.5">
      <c r="A853" s="84">
        <v>102</v>
      </c>
      <c r="B853" s="84"/>
      <c r="C853" s="136">
        <v>827</v>
      </c>
      <c r="D853" s="178" t="s">
        <v>765</v>
      </c>
      <c r="E853" s="89" t="s">
        <v>718</v>
      </c>
      <c r="F853" s="2" t="s">
        <v>716</v>
      </c>
      <c r="G853" s="2" t="s">
        <v>920</v>
      </c>
      <c r="H853" s="90" t="s">
        <v>722</v>
      </c>
      <c r="I853" s="90" t="s">
        <v>754</v>
      </c>
      <c r="J853" s="80">
        <v>1170</v>
      </c>
      <c r="K853" s="94" t="s">
        <v>163</v>
      </c>
      <c r="L853" s="83"/>
    </row>
    <row r="854" spans="1:12" s="139" customFormat="1" ht="31.5">
      <c r="A854" s="84">
        <v>103</v>
      </c>
      <c r="B854" s="84"/>
      <c r="C854" s="136">
        <v>828</v>
      </c>
      <c r="D854" s="178" t="s">
        <v>764</v>
      </c>
      <c r="E854" s="89" t="s">
        <v>718</v>
      </c>
      <c r="F854" s="2" t="s">
        <v>716</v>
      </c>
      <c r="G854" s="2" t="s">
        <v>920</v>
      </c>
      <c r="H854" s="90" t="s">
        <v>763</v>
      </c>
      <c r="I854" s="90" t="s">
        <v>738</v>
      </c>
      <c r="J854" s="80">
        <v>930</v>
      </c>
      <c r="K854" s="94" t="s">
        <v>150</v>
      </c>
      <c r="L854" s="83"/>
    </row>
    <row r="855" spans="1:12" s="139" customFormat="1" ht="31.5">
      <c r="A855" s="84">
        <v>104</v>
      </c>
      <c r="B855" s="84"/>
      <c r="C855" s="136">
        <v>829</v>
      </c>
      <c r="D855" s="178" t="s">
        <v>762</v>
      </c>
      <c r="E855" s="89" t="s">
        <v>718</v>
      </c>
      <c r="F855" s="2" t="s">
        <v>716</v>
      </c>
      <c r="G855" s="2" t="s">
        <v>920</v>
      </c>
      <c r="H855" s="90" t="s">
        <v>746</v>
      </c>
      <c r="I855" s="90" t="s">
        <v>743</v>
      </c>
      <c r="J855" s="80">
        <v>1940</v>
      </c>
      <c r="K855" s="94" t="s">
        <v>156</v>
      </c>
      <c r="L855" s="83"/>
    </row>
    <row r="856" spans="1:12" s="139" customFormat="1" ht="31.5">
      <c r="A856" s="84">
        <v>105</v>
      </c>
      <c r="B856" s="84"/>
      <c r="C856" s="136">
        <v>830</v>
      </c>
      <c r="D856" s="178" t="s">
        <v>761</v>
      </c>
      <c r="E856" s="89" t="s">
        <v>718</v>
      </c>
      <c r="F856" s="2" t="s">
        <v>716</v>
      </c>
      <c r="G856" s="2" t="s">
        <v>920</v>
      </c>
      <c r="H856" s="90" t="s">
        <v>738</v>
      </c>
      <c r="I856" s="90" t="s">
        <v>739</v>
      </c>
      <c r="J856" s="80">
        <v>1330</v>
      </c>
      <c r="K856" s="94" t="s">
        <v>158</v>
      </c>
      <c r="L856" s="83"/>
    </row>
    <row r="857" spans="1:12" s="139" customFormat="1" ht="31.5">
      <c r="A857" s="84">
        <v>106</v>
      </c>
      <c r="B857" s="84"/>
      <c r="C857" s="136">
        <v>831</v>
      </c>
      <c r="D857" s="178" t="s">
        <v>760</v>
      </c>
      <c r="E857" s="89" t="s">
        <v>718</v>
      </c>
      <c r="F857" s="2" t="s">
        <v>716</v>
      </c>
      <c r="G857" s="2" t="s">
        <v>920</v>
      </c>
      <c r="H857" s="90" t="s">
        <v>751</v>
      </c>
      <c r="I857" s="90" t="s">
        <v>738</v>
      </c>
      <c r="J857" s="80">
        <v>6500</v>
      </c>
      <c r="K857" s="94" t="s">
        <v>759</v>
      </c>
      <c r="L857" s="83"/>
    </row>
    <row r="858" spans="1:12" s="139" customFormat="1" ht="31.5">
      <c r="A858" s="84">
        <v>107</v>
      </c>
      <c r="B858" s="84"/>
      <c r="C858" s="136">
        <v>832</v>
      </c>
      <c r="D858" s="178" t="s">
        <v>758</v>
      </c>
      <c r="E858" s="89" t="s">
        <v>718</v>
      </c>
      <c r="F858" s="2" t="s">
        <v>716</v>
      </c>
      <c r="G858" s="2" t="s">
        <v>920</v>
      </c>
      <c r="H858" s="90" t="s">
        <v>754</v>
      </c>
      <c r="I858" s="90" t="s">
        <v>757</v>
      </c>
      <c r="J858" s="80">
        <v>2512</v>
      </c>
      <c r="K858" s="94" t="s">
        <v>156</v>
      </c>
      <c r="L858" s="83"/>
    </row>
    <row r="859" spans="1:12" s="139" customFormat="1" ht="31.5">
      <c r="A859" s="84">
        <v>108</v>
      </c>
      <c r="B859" s="84"/>
      <c r="C859" s="136">
        <v>833</v>
      </c>
      <c r="D859" s="178" t="s">
        <v>756</v>
      </c>
      <c r="E859" s="89" t="s">
        <v>718</v>
      </c>
      <c r="F859" s="2" t="s">
        <v>716</v>
      </c>
      <c r="G859" s="2" t="s">
        <v>920</v>
      </c>
      <c r="H859" s="90" t="s">
        <v>722</v>
      </c>
      <c r="I859" s="90" t="s">
        <v>732</v>
      </c>
      <c r="J859" s="80">
        <v>890</v>
      </c>
      <c r="K859" s="94" t="s">
        <v>163</v>
      </c>
      <c r="L859" s="83"/>
    </row>
    <row r="860" spans="1:12" s="139" customFormat="1" ht="31.5">
      <c r="A860" s="84">
        <v>109</v>
      </c>
      <c r="B860" s="84"/>
      <c r="C860" s="136">
        <v>834</v>
      </c>
      <c r="D860" s="178" t="s">
        <v>755</v>
      </c>
      <c r="E860" s="89" t="s">
        <v>718</v>
      </c>
      <c r="F860" s="2" t="s">
        <v>716</v>
      </c>
      <c r="G860" s="2" t="s">
        <v>920</v>
      </c>
      <c r="H860" s="90" t="s">
        <v>754</v>
      </c>
      <c r="I860" s="90" t="s">
        <v>753</v>
      </c>
      <c r="J860" s="80">
        <v>1580</v>
      </c>
      <c r="K860" s="94" t="s">
        <v>227</v>
      </c>
      <c r="L860" s="83"/>
    </row>
    <row r="861" spans="1:12" s="139" customFormat="1" ht="31.5">
      <c r="A861" s="84">
        <v>110</v>
      </c>
      <c r="B861" s="84"/>
      <c r="C861" s="136">
        <v>835</v>
      </c>
      <c r="D861" s="178" t="s">
        <v>752</v>
      </c>
      <c r="E861" s="89" t="s">
        <v>718</v>
      </c>
      <c r="F861" s="2" t="s">
        <v>716</v>
      </c>
      <c r="G861" s="2" t="s">
        <v>920</v>
      </c>
      <c r="H861" s="90" t="s">
        <v>722</v>
      </c>
      <c r="I861" s="90" t="s">
        <v>751</v>
      </c>
      <c r="J861" s="80">
        <v>2560</v>
      </c>
      <c r="K861" s="94" t="s">
        <v>750</v>
      </c>
      <c r="L861" s="83"/>
    </row>
    <row r="862" spans="1:12" s="139" customFormat="1" ht="31.5">
      <c r="A862" s="84">
        <v>111</v>
      </c>
      <c r="B862" s="84"/>
      <c r="C862" s="136">
        <v>836</v>
      </c>
      <c r="D862" s="178" t="s">
        <v>749</v>
      </c>
      <c r="E862" s="89" t="s">
        <v>718</v>
      </c>
      <c r="F862" s="2" t="s">
        <v>716</v>
      </c>
      <c r="G862" s="2" t="s">
        <v>920</v>
      </c>
      <c r="H862" s="90" t="s">
        <v>722</v>
      </c>
      <c r="I862" s="90" t="s">
        <v>748</v>
      </c>
      <c r="J862" s="80">
        <v>1540</v>
      </c>
      <c r="K862" s="94" t="s">
        <v>731</v>
      </c>
      <c r="L862" s="83"/>
    </row>
    <row r="863" spans="1:12" s="139" customFormat="1" ht="31.5">
      <c r="A863" s="84">
        <v>112</v>
      </c>
      <c r="B863" s="84"/>
      <c r="C863" s="136">
        <v>837</v>
      </c>
      <c r="D863" s="178" t="s">
        <v>747</v>
      </c>
      <c r="E863" s="89" t="s">
        <v>718</v>
      </c>
      <c r="F863" s="2" t="s">
        <v>716</v>
      </c>
      <c r="G863" s="2" t="s">
        <v>920</v>
      </c>
      <c r="H863" s="90" t="s">
        <v>746</v>
      </c>
      <c r="I863" s="90" t="s">
        <v>732</v>
      </c>
      <c r="J863" s="80">
        <v>1330</v>
      </c>
      <c r="K863" s="94" t="s">
        <v>156</v>
      </c>
      <c r="L863" s="83"/>
    </row>
    <row r="864" spans="1:12" s="139" customFormat="1" ht="31.5">
      <c r="A864" s="84">
        <v>113</v>
      </c>
      <c r="B864" s="84"/>
      <c r="C864" s="136">
        <v>838</v>
      </c>
      <c r="D864" s="178" t="s">
        <v>745</v>
      </c>
      <c r="E864" s="89" t="s">
        <v>718</v>
      </c>
      <c r="F864" s="2" t="s">
        <v>716</v>
      </c>
      <c r="G864" s="2" t="s">
        <v>920</v>
      </c>
      <c r="H864" s="90" t="s">
        <v>743</v>
      </c>
      <c r="I864" s="90" t="s">
        <v>743</v>
      </c>
      <c r="J864" s="80">
        <v>1210</v>
      </c>
      <c r="K864" s="94" t="s">
        <v>167</v>
      </c>
      <c r="L864" s="83"/>
    </row>
    <row r="865" spans="1:12" s="139" customFormat="1" ht="31.5">
      <c r="A865" s="84">
        <v>114</v>
      </c>
      <c r="B865" s="84"/>
      <c r="C865" s="136">
        <v>839</v>
      </c>
      <c r="D865" s="178" t="s">
        <v>744</v>
      </c>
      <c r="E865" s="89" t="s">
        <v>718</v>
      </c>
      <c r="F865" s="2" t="s">
        <v>716</v>
      </c>
      <c r="G865" s="2" t="s">
        <v>920</v>
      </c>
      <c r="H865" s="90" t="s">
        <v>743</v>
      </c>
      <c r="I865" s="90" t="s">
        <v>742</v>
      </c>
      <c r="J865" s="80">
        <v>2130</v>
      </c>
      <c r="K865" s="94" t="s">
        <v>741</v>
      </c>
      <c r="L865" s="83"/>
    </row>
    <row r="866" spans="1:12" s="139" customFormat="1" ht="31.5">
      <c r="A866" s="84">
        <v>115</v>
      </c>
      <c r="B866" s="84"/>
      <c r="C866" s="136">
        <v>840</v>
      </c>
      <c r="D866" s="178" t="s">
        <v>740</v>
      </c>
      <c r="E866" s="89" t="s">
        <v>718</v>
      </c>
      <c r="F866" s="2" t="s">
        <v>716</v>
      </c>
      <c r="G866" s="2" t="s">
        <v>920</v>
      </c>
      <c r="H866" s="90" t="s">
        <v>739</v>
      </c>
      <c r="I866" s="90" t="s">
        <v>738</v>
      </c>
      <c r="J866" s="80">
        <v>3300</v>
      </c>
      <c r="K866" s="94" t="s">
        <v>150</v>
      </c>
      <c r="L866" s="83"/>
    </row>
    <row r="867" spans="1:12" s="139" customFormat="1" ht="31.5">
      <c r="A867" s="84">
        <v>116</v>
      </c>
      <c r="B867" s="84"/>
      <c r="C867" s="136">
        <v>841</v>
      </c>
      <c r="D867" s="178" t="s">
        <v>737</v>
      </c>
      <c r="E867" s="89" t="s">
        <v>718</v>
      </c>
      <c r="F867" s="2" t="s">
        <v>716</v>
      </c>
      <c r="G867" s="2" t="s">
        <v>920</v>
      </c>
      <c r="H867" s="90" t="s">
        <v>736</v>
      </c>
      <c r="I867" s="90" t="s">
        <v>732</v>
      </c>
      <c r="J867" s="80">
        <v>3690</v>
      </c>
      <c r="K867" s="94" t="s">
        <v>735</v>
      </c>
      <c r="L867" s="83"/>
    </row>
    <row r="868" spans="1:12" s="139" customFormat="1" ht="31.5">
      <c r="A868" s="84">
        <v>117</v>
      </c>
      <c r="B868" s="84"/>
      <c r="C868" s="136">
        <v>842</v>
      </c>
      <c r="D868" s="178" t="s">
        <v>734</v>
      </c>
      <c r="E868" s="89" t="s">
        <v>718</v>
      </c>
      <c r="F868" s="2" t="s">
        <v>716</v>
      </c>
      <c r="G868" s="2" t="s">
        <v>920</v>
      </c>
      <c r="H868" s="90" t="s">
        <v>733</v>
      </c>
      <c r="I868" s="90" t="s">
        <v>732</v>
      </c>
      <c r="J868" s="80">
        <v>3500</v>
      </c>
      <c r="K868" s="94" t="s">
        <v>731</v>
      </c>
      <c r="L868" s="83"/>
    </row>
    <row r="869" spans="1:12" s="139" customFormat="1" ht="31.5">
      <c r="A869" s="84">
        <v>118</v>
      </c>
      <c r="B869" s="84"/>
      <c r="C869" s="136">
        <v>843</v>
      </c>
      <c r="D869" s="178" t="s">
        <v>730</v>
      </c>
      <c r="E869" s="89" t="s">
        <v>718</v>
      </c>
      <c r="F869" s="2" t="s">
        <v>716</v>
      </c>
      <c r="G869" s="2" t="s">
        <v>920</v>
      </c>
      <c r="H869" s="90" t="s">
        <v>722</v>
      </c>
      <c r="I869" s="90" t="s">
        <v>717</v>
      </c>
      <c r="J869" s="80">
        <v>1800</v>
      </c>
      <c r="K869" s="94" t="s">
        <v>729</v>
      </c>
      <c r="L869" s="83"/>
    </row>
    <row r="870" spans="1:12" s="139" customFormat="1" ht="31.5">
      <c r="A870" s="84">
        <v>119</v>
      </c>
      <c r="B870" s="84"/>
      <c r="C870" s="136">
        <v>844</v>
      </c>
      <c r="D870" s="178" t="s">
        <v>728</v>
      </c>
      <c r="E870" s="89" t="s">
        <v>718</v>
      </c>
      <c r="F870" s="2" t="s">
        <v>716</v>
      </c>
      <c r="G870" s="2" t="s">
        <v>920</v>
      </c>
      <c r="H870" s="90" t="s">
        <v>722</v>
      </c>
      <c r="I870" s="90" t="s">
        <v>727</v>
      </c>
      <c r="J870" s="80">
        <v>2170</v>
      </c>
      <c r="K870" s="94" t="s">
        <v>720</v>
      </c>
      <c r="L870" s="83"/>
    </row>
    <row r="871" spans="1:12" s="139" customFormat="1" ht="31.5">
      <c r="A871" s="84">
        <v>120</v>
      </c>
      <c r="B871" s="84"/>
      <c r="C871" s="136">
        <v>845</v>
      </c>
      <c r="D871" s="178" t="s">
        <v>388</v>
      </c>
      <c r="E871" s="89" t="s">
        <v>718</v>
      </c>
      <c r="F871" s="2" t="s">
        <v>716</v>
      </c>
      <c r="G871" s="2" t="s">
        <v>920</v>
      </c>
      <c r="H871" s="90" t="s">
        <v>722</v>
      </c>
      <c r="I871" s="90" t="s">
        <v>721</v>
      </c>
      <c r="J871" s="80">
        <v>2100</v>
      </c>
      <c r="K871" s="94" t="s">
        <v>227</v>
      </c>
      <c r="L871" s="83"/>
    </row>
    <row r="872" spans="1:12" s="139" customFormat="1" ht="31.5">
      <c r="A872" s="84">
        <v>121</v>
      </c>
      <c r="B872" s="84"/>
      <c r="C872" s="136">
        <v>846</v>
      </c>
      <c r="D872" s="178" t="s">
        <v>599</v>
      </c>
      <c r="E872" s="89" t="s">
        <v>718</v>
      </c>
      <c r="F872" s="2" t="s">
        <v>716</v>
      </c>
      <c r="G872" s="2" t="s">
        <v>920</v>
      </c>
      <c r="H872" s="90" t="s">
        <v>722</v>
      </c>
      <c r="I872" s="90" t="s">
        <v>726</v>
      </c>
      <c r="J872" s="80">
        <v>3416</v>
      </c>
      <c r="K872" s="94" t="s">
        <v>725</v>
      </c>
      <c r="L872" s="83"/>
    </row>
    <row r="873" spans="1:12" s="139" customFormat="1" ht="31.5">
      <c r="A873" s="84">
        <v>122</v>
      </c>
      <c r="B873" s="84"/>
      <c r="C873" s="136">
        <v>847</v>
      </c>
      <c r="D873" s="178" t="s">
        <v>724</v>
      </c>
      <c r="E873" s="89" t="s">
        <v>718</v>
      </c>
      <c r="F873" s="2" t="s">
        <v>716</v>
      </c>
      <c r="G873" s="2" t="s">
        <v>920</v>
      </c>
      <c r="H873" s="90" t="s">
        <v>724</v>
      </c>
      <c r="I873" s="90" t="s">
        <v>721</v>
      </c>
      <c r="J873" s="80">
        <v>1210</v>
      </c>
      <c r="K873" s="94" t="s">
        <v>346</v>
      </c>
      <c r="L873" s="83"/>
    </row>
    <row r="874" spans="1:12" s="139" customFormat="1" ht="31.5">
      <c r="A874" s="84">
        <v>123</v>
      </c>
      <c r="B874" s="84"/>
      <c r="C874" s="136">
        <v>848</v>
      </c>
      <c r="D874" s="178" t="s">
        <v>723</v>
      </c>
      <c r="E874" s="89" t="s">
        <v>718</v>
      </c>
      <c r="F874" s="2" t="s">
        <v>716</v>
      </c>
      <c r="G874" s="2" t="s">
        <v>920</v>
      </c>
      <c r="H874" s="90" t="s">
        <v>722</v>
      </c>
      <c r="I874" s="90" t="s">
        <v>721</v>
      </c>
      <c r="J874" s="80">
        <v>2650</v>
      </c>
      <c r="K874" s="94" t="s">
        <v>720</v>
      </c>
      <c r="L874" s="83"/>
    </row>
    <row r="875" spans="1:12" s="139" customFormat="1" ht="32.25" thickBot="1">
      <c r="A875" s="84">
        <v>124</v>
      </c>
      <c r="B875" s="84"/>
      <c r="C875" s="95">
        <v>849</v>
      </c>
      <c r="D875" s="179" t="s">
        <v>719</v>
      </c>
      <c r="E875" s="97" t="s">
        <v>718</v>
      </c>
      <c r="F875" s="2" t="s">
        <v>716</v>
      </c>
      <c r="G875" s="2" t="s">
        <v>920</v>
      </c>
      <c r="H875" s="96" t="s">
        <v>387</v>
      </c>
      <c r="I875" s="96" t="s">
        <v>717</v>
      </c>
      <c r="J875" s="98">
        <v>1900</v>
      </c>
      <c r="K875" s="99" t="s">
        <v>662</v>
      </c>
      <c r="L875" s="140"/>
    </row>
    <row r="876" spans="1:12">
      <c r="C876" s="718" t="s">
        <v>237</v>
      </c>
      <c r="D876" s="719"/>
      <c r="E876" s="719"/>
      <c r="F876" s="719"/>
      <c r="G876" s="719"/>
      <c r="H876" s="719"/>
      <c r="I876" s="719"/>
      <c r="J876" s="719"/>
      <c r="K876" s="719"/>
      <c r="L876" s="719"/>
    </row>
  </sheetData>
  <mergeCells count="10">
    <mergeCell ref="C876:L876"/>
    <mergeCell ref="C1:L1"/>
    <mergeCell ref="C4:C5"/>
    <mergeCell ref="D4:D5"/>
    <mergeCell ref="E4:E5"/>
    <mergeCell ref="H4:I4"/>
    <mergeCell ref="J4:K4"/>
    <mergeCell ref="F4:F5"/>
    <mergeCell ref="G4:G5"/>
    <mergeCell ref="C6:I6"/>
  </mergeCells>
  <phoneticPr fontId="2" type="noConversion"/>
  <printOptions horizontalCentered="1"/>
  <pageMargins left="0.59055118110236204" right="0.31496062992126" top="0.43307086614173201" bottom="0.39370078740157499" header="0.23622047244094499" footer="0.15748031496063"/>
  <pageSetup paperSize="9" scale="85" orientation="landscape" horizontalDpi="4294967295" verticalDpi="4294967295" r:id="rId1"/>
  <headerFooter>
    <oddFoote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0"/>
  <sheetViews>
    <sheetView zoomScale="85" zoomScaleNormal="85" zoomScaleSheetLayoutView="85" workbookViewId="0">
      <selection sqref="A1:H1"/>
    </sheetView>
  </sheetViews>
  <sheetFormatPr defaultColWidth="20.85546875" defaultRowHeight="15.75"/>
  <cols>
    <col min="1" max="1" width="6" style="462" bestFit="1" customWidth="1"/>
    <col min="2" max="2" width="29.85546875" style="301" customWidth="1"/>
    <col min="3" max="3" width="20.85546875" style="301" customWidth="1"/>
    <col min="4" max="4" width="21.28515625" style="301" customWidth="1"/>
    <col min="5" max="5" width="15.140625" style="462" bestFit="1" customWidth="1"/>
    <col min="6" max="6" width="17.42578125" style="462" customWidth="1"/>
    <col min="7" max="7" width="16.85546875" style="462" customWidth="1"/>
    <col min="8" max="8" width="14.5703125" style="301" customWidth="1"/>
    <col min="9" max="16384" width="20.85546875" style="301"/>
  </cols>
  <sheetData>
    <row r="1" spans="1:8" ht="81" customHeight="1">
      <c r="A1" s="736" t="s">
        <v>9119</v>
      </c>
      <c r="B1" s="736"/>
      <c r="C1" s="736"/>
      <c r="D1" s="736"/>
      <c r="E1" s="736"/>
      <c r="F1" s="736"/>
      <c r="G1" s="736"/>
      <c r="H1" s="736"/>
    </row>
    <row r="2" spans="1:8" ht="31.5">
      <c r="A2" s="733" t="s">
        <v>474</v>
      </c>
      <c r="B2" s="733" t="s">
        <v>5183</v>
      </c>
      <c r="C2" s="733" t="s">
        <v>5184</v>
      </c>
      <c r="D2" s="733"/>
      <c r="E2" s="613" t="s">
        <v>5185</v>
      </c>
      <c r="F2" s="733" t="s">
        <v>5129</v>
      </c>
      <c r="G2" s="733"/>
      <c r="H2" s="613" t="s">
        <v>587</v>
      </c>
    </row>
    <row r="3" spans="1:8" ht="31.5">
      <c r="A3" s="733"/>
      <c r="B3" s="733"/>
      <c r="C3" s="613" t="s">
        <v>5186</v>
      </c>
      <c r="D3" s="613" t="s">
        <v>5187</v>
      </c>
      <c r="E3" s="575"/>
      <c r="F3" s="613" t="s">
        <v>5188</v>
      </c>
      <c r="G3" s="613" t="s">
        <v>5189</v>
      </c>
      <c r="H3" s="575"/>
    </row>
    <row r="4" spans="1:8" ht="27.75" customHeight="1">
      <c r="A4" s="735" t="s">
        <v>5502</v>
      </c>
      <c r="B4" s="735"/>
      <c r="C4" s="735"/>
      <c r="D4" s="735"/>
      <c r="E4" s="735"/>
      <c r="F4" s="735"/>
      <c r="G4" s="299"/>
      <c r="H4" s="300"/>
    </row>
    <row r="5" spans="1:8" ht="57.75" customHeight="1">
      <c r="A5" s="447">
        <v>1</v>
      </c>
      <c r="B5" s="448" t="s">
        <v>5520</v>
      </c>
      <c r="C5" s="449" t="s">
        <v>5507</v>
      </c>
      <c r="D5" s="449" t="s">
        <v>5181</v>
      </c>
      <c r="E5" s="450">
        <v>71.8</v>
      </c>
      <c r="F5" s="447"/>
      <c r="G5" s="447"/>
      <c r="H5" s="737" t="s">
        <v>5518</v>
      </c>
    </row>
    <row r="6" spans="1:8" ht="46.5" customHeight="1">
      <c r="A6" s="447">
        <v>2</v>
      </c>
      <c r="B6" s="448" t="s">
        <v>433</v>
      </c>
      <c r="C6" s="449" t="s">
        <v>5506</v>
      </c>
      <c r="D6" s="449" t="s">
        <v>5508</v>
      </c>
      <c r="E6" s="451">
        <v>130.30000000000001</v>
      </c>
      <c r="F6" s="447"/>
      <c r="G6" s="447"/>
      <c r="H6" s="738"/>
    </row>
    <row r="7" spans="1:8" ht="46.5" customHeight="1">
      <c r="A7" s="447">
        <v>3</v>
      </c>
      <c r="B7" s="448" t="s">
        <v>5521</v>
      </c>
      <c r="C7" s="449" t="s">
        <v>5505</v>
      </c>
      <c r="D7" s="449" t="s">
        <v>5509</v>
      </c>
      <c r="E7" s="453">
        <v>13</v>
      </c>
      <c r="F7" s="447"/>
      <c r="G7" s="447"/>
      <c r="H7" s="738"/>
    </row>
    <row r="8" spans="1:8" ht="46.5" customHeight="1">
      <c r="A8" s="447">
        <v>4</v>
      </c>
      <c r="B8" s="448" t="s">
        <v>5522</v>
      </c>
      <c r="C8" s="449" t="s">
        <v>5504</v>
      </c>
      <c r="D8" s="449" t="s">
        <v>5510</v>
      </c>
      <c r="E8" s="450">
        <v>10.119999999999999</v>
      </c>
      <c r="F8" s="447"/>
      <c r="G8" s="447"/>
      <c r="H8" s="738"/>
    </row>
    <row r="9" spans="1:8" ht="46.5" customHeight="1">
      <c r="A9" s="447">
        <v>5</v>
      </c>
      <c r="B9" s="448" t="s">
        <v>5523</v>
      </c>
      <c r="C9" s="447" t="s">
        <v>5503</v>
      </c>
      <c r="D9" s="447" t="s">
        <v>8933</v>
      </c>
      <c r="E9" s="450">
        <v>8.5</v>
      </c>
      <c r="F9" s="447"/>
      <c r="G9" s="447"/>
      <c r="H9" s="738"/>
    </row>
    <row r="10" spans="1:8" ht="46.5" customHeight="1">
      <c r="A10" s="447">
        <v>6</v>
      </c>
      <c r="B10" s="448" t="s">
        <v>1082</v>
      </c>
      <c r="C10" s="447" t="s">
        <v>5511</v>
      </c>
      <c r="D10" s="447" t="s">
        <v>5512</v>
      </c>
      <c r="E10" s="450">
        <v>5.81</v>
      </c>
      <c r="F10" s="447"/>
      <c r="G10" s="447"/>
      <c r="H10" s="738"/>
    </row>
    <row r="11" spans="1:8" ht="46.5" customHeight="1">
      <c r="A11" s="447">
        <v>7</v>
      </c>
      <c r="B11" s="448" t="s">
        <v>5524</v>
      </c>
      <c r="C11" s="449" t="s">
        <v>5513</v>
      </c>
      <c r="D11" s="449" t="s">
        <v>5182</v>
      </c>
      <c r="E11" s="452">
        <v>1.1000000000000001</v>
      </c>
      <c r="F11" s="447"/>
      <c r="G11" s="447"/>
      <c r="H11" s="738"/>
    </row>
    <row r="12" spans="1:8" ht="46.5" customHeight="1">
      <c r="A12" s="447">
        <v>8</v>
      </c>
      <c r="B12" s="448" t="s">
        <v>5525</v>
      </c>
      <c r="C12" s="449" t="s">
        <v>5514</v>
      </c>
      <c r="D12" s="449" t="s">
        <v>5182</v>
      </c>
      <c r="E12" s="452">
        <v>1.5</v>
      </c>
      <c r="F12" s="447"/>
      <c r="G12" s="447"/>
      <c r="H12" s="738"/>
    </row>
    <row r="13" spans="1:8" ht="23.25" customHeight="1">
      <c r="A13" s="734" t="s">
        <v>5517</v>
      </c>
      <c r="B13" s="734"/>
      <c r="C13" s="734"/>
      <c r="D13" s="734"/>
      <c r="E13" s="734"/>
      <c r="F13" s="734"/>
      <c r="G13" s="609"/>
      <c r="H13" s="576"/>
    </row>
    <row r="14" spans="1:8" ht="20.25" customHeight="1">
      <c r="A14" s="618" t="s">
        <v>5497</v>
      </c>
      <c r="B14" s="739" t="s">
        <v>5190</v>
      </c>
      <c r="C14" s="739"/>
      <c r="D14" s="739"/>
      <c r="E14" s="575"/>
      <c r="F14" s="575"/>
      <c r="G14" s="575"/>
      <c r="H14" s="576"/>
    </row>
    <row r="15" spans="1:8" ht="27" customHeight="1">
      <c r="A15" s="447">
        <v>1</v>
      </c>
      <c r="B15" s="449" t="s">
        <v>5131</v>
      </c>
      <c r="C15" s="449" t="s">
        <v>433</v>
      </c>
      <c r="D15" s="449" t="s">
        <v>5191</v>
      </c>
      <c r="E15" s="450">
        <v>11.12</v>
      </c>
      <c r="F15" s="447" t="s">
        <v>5192</v>
      </c>
      <c r="G15" s="447" t="s">
        <v>5193</v>
      </c>
      <c r="H15" s="740" t="s">
        <v>9057</v>
      </c>
    </row>
    <row r="16" spans="1:8" ht="27" customHeight="1">
      <c r="A16" s="447">
        <v>2</v>
      </c>
      <c r="B16" s="449" t="s">
        <v>1496</v>
      </c>
      <c r="C16" s="449" t="s">
        <v>1117</v>
      </c>
      <c r="D16" s="449" t="s">
        <v>5194</v>
      </c>
      <c r="E16" s="450">
        <v>25.4</v>
      </c>
      <c r="F16" s="447" t="s">
        <v>5195</v>
      </c>
      <c r="G16" s="447" t="s">
        <v>5193</v>
      </c>
      <c r="H16" s="741"/>
    </row>
    <row r="17" spans="1:9" ht="27" customHeight="1">
      <c r="A17" s="447">
        <v>3</v>
      </c>
      <c r="B17" s="449" t="s">
        <v>5196</v>
      </c>
      <c r="C17" s="449" t="s">
        <v>5197</v>
      </c>
      <c r="D17" s="449" t="s">
        <v>5198</v>
      </c>
      <c r="E17" s="450">
        <v>10.84</v>
      </c>
      <c r="F17" s="447" t="s">
        <v>5192</v>
      </c>
      <c r="G17" s="447" t="s">
        <v>5193</v>
      </c>
      <c r="H17" s="741"/>
    </row>
    <row r="18" spans="1:9" ht="27" customHeight="1">
      <c r="A18" s="447">
        <v>4</v>
      </c>
      <c r="B18" s="449" t="s">
        <v>5197</v>
      </c>
      <c r="C18" s="449" t="s">
        <v>433</v>
      </c>
      <c r="D18" s="449" t="s">
        <v>1496</v>
      </c>
      <c r="E18" s="450">
        <v>11.15</v>
      </c>
      <c r="F18" s="447" t="s">
        <v>5199</v>
      </c>
      <c r="G18" s="447" t="s">
        <v>5132</v>
      </c>
      <c r="H18" s="741"/>
    </row>
    <row r="19" spans="1:9" ht="27" customHeight="1">
      <c r="A19" s="447">
        <v>5</v>
      </c>
      <c r="B19" s="449" t="s">
        <v>1482</v>
      </c>
      <c r="C19" s="449" t="s">
        <v>5200</v>
      </c>
      <c r="D19" s="449" t="s">
        <v>1496</v>
      </c>
      <c r="E19" s="450">
        <v>15.16</v>
      </c>
      <c r="F19" s="447" t="s">
        <v>5195</v>
      </c>
      <c r="G19" s="447" t="s">
        <v>5193</v>
      </c>
      <c r="H19" s="741"/>
    </row>
    <row r="20" spans="1:9" ht="31.5">
      <c r="A20" s="447">
        <v>6</v>
      </c>
      <c r="B20" s="449" t="s">
        <v>5201</v>
      </c>
      <c r="C20" s="449" t="s">
        <v>5133</v>
      </c>
      <c r="D20" s="449" t="s">
        <v>5202</v>
      </c>
      <c r="E20" s="450">
        <v>18.45</v>
      </c>
      <c r="F20" s="447" t="s">
        <v>5199</v>
      </c>
      <c r="G20" s="447" t="s">
        <v>5132</v>
      </c>
      <c r="H20" s="741"/>
    </row>
    <row r="21" spans="1:9">
      <c r="A21" s="447">
        <v>7</v>
      </c>
      <c r="B21" s="449" t="s">
        <v>5203</v>
      </c>
      <c r="C21" s="449" t="s">
        <v>5204</v>
      </c>
      <c r="D21" s="449" t="s">
        <v>5197</v>
      </c>
      <c r="E21" s="450">
        <v>10.42</v>
      </c>
      <c r="F21" s="447" t="s">
        <v>5192</v>
      </c>
      <c r="G21" s="447" t="s">
        <v>5193</v>
      </c>
      <c r="H21" s="741"/>
    </row>
    <row r="22" spans="1:9" ht="47.25">
      <c r="A22" s="447">
        <v>8</v>
      </c>
      <c r="B22" s="449" t="s">
        <v>5205</v>
      </c>
      <c r="C22" s="449" t="s">
        <v>5133</v>
      </c>
      <c r="D22" s="449" t="s">
        <v>589</v>
      </c>
      <c r="E22" s="450">
        <v>32.200000000000003</v>
      </c>
      <c r="F22" s="447" t="s">
        <v>5195</v>
      </c>
      <c r="G22" s="447" t="s">
        <v>5206</v>
      </c>
      <c r="H22" s="741"/>
    </row>
    <row r="23" spans="1:9" ht="31.5">
      <c r="A23" s="447">
        <v>9</v>
      </c>
      <c r="B23" s="449" t="s">
        <v>5207</v>
      </c>
      <c r="C23" s="449" t="s">
        <v>1119</v>
      </c>
      <c r="D23" s="449" t="s">
        <v>5208</v>
      </c>
      <c r="E23" s="450">
        <v>0.46</v>
      </c>
      <c r="F23" s="447" t="s">
        <v>5195</v>
      </c>
      <c r="G23" s="447" t="s">
        <v>5130</v>
      </c>
      <c r="H23" s="741"/>
    </row>
    <row r="24" spans="1:9" ht="31.5">
      <c r="A24" s="447">
        <v>10</v>
      </c>
      <c r="B24" s="449" t="s">
        <v>5209</v>
      </c>
      <c r="C24" s="449" t="s">
        <v>1119</v>
      </c>
      <c r="D24" s="449" t="s">
        <v>5208</v>
      </c>
      <c r="E24" s="450">
        <v>0.48</v>
      </c>
      <c r="F24" s="447" t="s">
        <v>5195</v>
      </c>
      <c r="G24" s="447" t="s">
        <v>5130</v>
      </c>
      <c r="H24" s="741"/>
    </row>
    <row r="25" spans="1:9" ht="31.5">
      <c r="A25" s="447">
        <v>11</v>
      </c>
      <c r="B25" s="449" t="s">
        <v>5134</v>
      </c>
      <c r="C25" s="449" t="s">
        <v>5208</v>
      </c>
      <c r="D25" s="449" t="s">
        <v>5210</v>
      </c>
      <c r="E25" s="450">
        <v>4.3899999999999997</v>
      </c>
      <c r="F25" s="447" t="s">
        <v>5192</v>
      </c>
      <c r="G25" s="447" t="s">
        <v>5193</v>
      </c>
      <c r="H25" s="741"/>
    </row>
    <row r="26" spans="1:9">
      <c r="A26" s="447">
        <v>12</v>
      </c>
      <c r="B26" s="449" t="s">
        <v>5211</v>
      </c>
      <c r="C26" s="449" t="s">
        <v>5212</v>
      </c>
      <c r="D26" s="449" t="s">
        <v>5213</v>
      </c>
      <c r="E26" s="450">
        <v>8.89</v>
      </c>
      <c r="F26" s="447" t="s">
        <v>5195</v>
      </c>
      <c r="G26" s="447" t="s">
        <v>5130</v>
      </c>
      <c r="H26" s="741"/>
    </row>
    <row r="27" spans="1:9">
      <c r="A27" s="447">
        <v>13</v>
      </c>
      <c r="B27" s="449" t="s">
        <v>5213</v>
      </c>
      <c r="C27" s="449" t="s">
        <v>384</v>
      </c>
      <c r="D27" s="449" t="s">
        <v>589</v>
      </c>
      <c r="E27" s="450">
        <v>3.22</v>
      </c>
      <c r="F27" s="447" t="s">
        <v>5195</v>
      </c>
      <c r="G27" s="447" t="s">
        <v>5193</v>
      </c>
      <c r="H27" s="741"/>
      <c r="I27" s="481"/>
    </row>
    <row r="28" spans="1:9">
      <c r="A28" s="447">
        <v>14</v>
      </c>
      <c r="B28" s="449" t="s">
        <v>5214</v>
      </c>
      <c r="C28" s="449" t="s">
        <v>433</v>
      </c>
      <c r="D28" s="449" t="s">
        <v>9025</v>
      </c>
      <c r="E28" s="450">
        <v>6</v>
      </c>
      <c r="F28" s="447" t="s">
        <v>5192</v>
      </c>
      <c r="G28" s="447" t="s">
        <v>5193</v>
      </c>
      <c r="H28" s="741"/>
    </row>
    <row r="29" spans="1:9">
      <c r="A29" s="447"/>
      <c r="B29" s="449"/>
      <c r="C29" s="438" t="s">
        <v>9026</v>
      </c>
      <c r="D29" s="438" t="s">
        <v>9027</v>
      </c>
      <c r="E29" s="548">
        <v>2.8</v>
      </c>
      <c r="F29" s="549" t="s">
        <v>5192</v>
      </c>
      <c r="G29" s="549" t="s">
        <v>5193</v>
      </c>
      <c r="H29" s="741"/>
    </row>
    <row r="30" spans="1:9" ht="22.5" customHeight="1">
      <c r="A30" s="447">
        <v>15</v>
      </c>
      <c r="B30" s="449" t="s">
        <v>5215</v>
      </c>
      <c r="C30" s="449" t="s">
        <v>433</v>
      </c>
      <c r="D30" s="449" t="s">
        <v>589</v>
      </c>
      <c r="E30" s="450">
        <v>1.6</v>
      </c>
      <c r="F30" s="447" t="s">
        <v>5195</v>
      </c>
      <c r="G30" s="447" t="s">
        <v>5132</v>
      </c>
      <c r="H30" s="741"/>
    </row>
    <row r="31" spans="1:9" ht="22.5" customHeight="1">
      <c r="A31" s="447">
        <v>16</v>
      </c>
      <c r="B31" s="449" t="s">
        <v>5216</v>
      </c>
      <c r="C31" s="449" t="s">
        <v>433</v>
      </c>
      <c r="D31" s="449" t="s">
        <v>5217</v>
      </c>
      <c r="E31" s="450">
        <v>1.84</v>
      </c>
      <c r="F31" s="447" t="s">
        <v>5192</v>
      </c>
      <c r="G31" s="447" t="s">
        <v>5132</v>
      </c>
      <c r="H31" s="741"/>
    </row>
    <row r="32" spans="1:9" ht="22.5" customHeight="1">
      <c r="A32" s="447">
        <v>17</v>
      </c>
      <c r="B32" s="449" t="s">
        <v>5218</v>
      </c>
      <c r="C32" s="449" t="s">
        <v>589</v>
      </c>
      <c r="D32" s="449" t="s">
        <v>5219</v>
      </c>
      <c r="E32" s="450">
        <v>4.5199999999999996</v>
      </c>
      <c r="F32" s="447" t="s">
        <v>5192</v>
      </c>
      <c r="G32" s="447" t="s">
        <v>5193</v>
      </c>
      <c r="H32" s="741"/>
    </row>
    <row r="33" spans="1:8" ht="22.5" customHeight="1">
      <c r="A33" s="447">
        <v>18</v>
      </c>
      <c r="B33" s="449" t="s">
        <v>5135</v>
      </c>
      <c r="C33" s="449" t="s">
        <v>589</v>
      </c>
      <c r="D33" s="449" t="s">
        <v>3348</v>
      </c>
      <c r="E33" s="450">
        <v>11.1</v>
      </c>
      <c r="F33" s="447" t="s">
        <v>5199</v>
      </c>
      <c r="G33" s="447" t="s">
        <v>5193</v>
      </c>
      <c r="H33" s="742"/>
    </row>
    <row r="34" spans="1:8" ht="19.5" customHeight="1">
      <c r="A34" s="447">
        <v>19</v>
      </c>
      <c r="B34" s="449" t="s">
        <v>5220</v>
      </c>
      <c r="C34" s="449" t="s">
        <v>482</v>
      </c>
      <c r="D34" s="449" t="s">
        <v>5221</v>
      </c>
      <c r="E34" s="450">
        <v>7.42</v>
      </c>
      <c r="F34" s="447" t="s">
        <v>5199</v>
      </c>
      <c r="G34" s="447" t="s">
        <v>5132</v>
      </c>
      <c r="H34" s="743" t="s">
        <v>9061</v>
      </c>
    </row>
    <row r="35" spans="1:8" ht="19.5" customHeight="1">
      <c r="A35" s="447">
        <v>20</v>
      </c>
      <c r="B35" s="449" t="s">
        <v>5222</v>
      </c>
      <c r="C35" s="449" t="s">
        <v>3348</v>
      </c>
      <c r="D35" s="449" t="s">
        <v>5221</v>
      </c>
      <c r="E35" s="450">
        <v>3.32</v>
      </c>
      <c r="F35" s="447" t="s">
        <v>5192</v>
      </c>
      <c r="G35" s="447" t="s">
        <v>5193</v>
      </c>
      <c r="H35" s="744"/>
    </row>
    <row r="36" spans="1:8" ht="19.5" customHeight="1">
      <c r="A36" s="447">
        <v>21</v>
      </c>
      <c r="B36" s="449" t="s">
        <v>5223</v>
      </c>
      <c r="C36" s="449" t="s">
        <v>5220</v>
      </c>
      <c r="D36" s="449" t="s">
        <v>3348</v>
      </c>
      <c r="E36" s="450">
        <v>3.7</v>
      </c>
      <c r="F36" s="447" t="s">
        <v>5192</v>
      </c>
      <c r="G36" s="447" t="s">
        <v>5193</v>
      </c>
      <c r="H36" s="744"/>
    </row>
    <row r="37" spans="1:8" ht="19.5" customHeight="1">
      <c r="A37" s="447">
        <v>22</v>
      </c>
      <c r="B37" s="449" t="s">
        <v>5224</v>
      </c>
      <c r="C37" s="449" t="s">
        <v>5138</v>
      </c>
      <c r="D37" s="449" t="s">
        <v>3348</v>
      </c>
      <c r="E37" s="450">
        <v>5.97</v>
      </c>
      <c r="F37" s="447" t="s">
        <v>5192</v>
      </c>
      <c r="G37" s="447" t="s">
        <v>5193</v>
      </c>
      <c r="H37" s="744"/>
    </row>
    <row r="38" spans="1:8" ht="19.5" customHeight="1">
      <c r="A38" s="447">
        <v>23</v>
      </c>
      <c r="B38" s="449" t="s">
        <v>3348</v>
      </c>
      <c r="C38" s="449" t="s">
        <v>482</v>
      </c>
      <c r="D38" s="449" t="s">
        <v>5138</v>
      </c>
      <c r="E38" s="450">
        <v>11.99</v>
      </c>
      <c r="F38" s="447" t="s">
        <v>5199</v>
      </c>
      <c r="G38" s="447" t="s">
        <v>5132</v>
      </c>
      <c r="H38" s="744"/>
    </row>
    <row r="39" spans="1:8">
      <c r="A39" s="447">
        <v>24</v>
      </c>
      <c r="B39" s="449" t="s">
        <v>5137</v>
      </c>
      <c r="C39" s="449" t="s">
        <v>5138</v>
      </c>
      <c r="D39" s="449" t="s">
        <v>5225</v>
      </c>
      <c r="E39" s="450">
        <v>7.4</v>
      </c>
      <c r="F39" s="447" t="s">
        <v>5192</v>
      </c>
      <c r="G39" s="447" t="s">
        <v>5193</v>
      </c>
      <c r="H39" s="744"/>
    </row>
    <row r="40" spans="1:8" ht="31.5">
      <c r="A40" s="447">
        <v>25</v>
      </c>
      <c r="B40" s="449" t="s">
        <v>5136</v>
      </c>
      <c r="C40" s="449" t="s">
        <v>589</v>
      </c>
      <c r="D40" s="449" t="s">
        <v>5225</v>
      </c>
      <c r="E40" s="450">
        <v>5.57</v>
      </c>
      <c r="F40" s="447" t="s">
        <v>5199</v>
      </c>
      <c r="G40" s="447" t="s">
        <v>5193</v>
      </c>
      <c r="H40" s="744"/>
    </row>
    <row r="41" spans="1:8" ht="19.5" customHeight="1">
      <c r="A41" s="447">
        <v>26</v>
      </c>
      <c r="B41" s="449" t="s">
        <v>5226</v>
      </c>
      <c r="C41" s="449" t="s">
        <v>433</v>
      </c>
      <c r="D41" s="449" t="s">
        <v>5227</v>
      </c>
      <c r="E41" s="450">
        <v>4.45</v>
      </c>
      <c r="F41" s="447" t="s">
        <v>5192</v>
      </c>
      <c r="G41" s="447" t="s">
        <v>5193</v>
      </c>
      <c r="H41" s="744"/>
    </row>
    <row r="42" spans="1:8" ht="19.5" customHeight="1">
      <c r="A42" s="447">
        <v>27</v>
      </c>
      <c r="B42" s="449" t="s">
        <v>5228</v>
      </c>
      <c r="C42" s="449" t="s">
        <v>433</v>
      </c>
      <c r="D42" s="449" t="s">
        <v>589</v>
      </c>
      <c r="E42" s="450">
        <v>2.72</v>
      </c>
      <c r="F42" s="447" t="s">
        <v>5192</v>
      </c>
      <c r="G42" s="447" t="s">
        <v>5193</v>
      </c>
      <c r="H42" s="744"/>
    </row>
    <row r="43" spans="1:8" ht="19.5" customHeight="1">
      <c r="A43" s="447">
        <v>28</v>
      </c>
      <c r="B43" s="449" t="s">
        <v>5229</v>
      </c>
      <c r="C43" s="449" t="s">
        <v>5139</v>
      </c>
      <c r="D43" s="449" t="s">
        <v>5230</v>
      </c>
      <c r="E43" s="450">
        <v>3.9</v>
      </c>
      <c r="F43" s="447" t="s">
        <v>5192</v>
      </c>
      <c r="G43" s="447" t="s">
        <v>5193</v>
      </c>
      <c r="H43" s="744"/>
    </row>
    <row r="44" spans="1:8" ht="31.5">
      <c r="A44" s="447">
        <v>29</v>
      </c>
      <c r="B44" s="449" t="s">
        <v>1082</v>
      </c>
      <c r="C44" s="449" t="s">
        <v>5142</v>
      </c>
      <c r="D44" s="449" t="s">
        <v>5139</v>
      </c>
      <c r="E44" s="450">
        <v>11.5</v>
      </c>
      <c r="F44" s="447" t="s">
        <v>5231</v>
      </c>
      <c r="G44" s="447" t="s">
        <v>1116</v>
      </c>
      <c r="H44" s="744"/>
    </row>
    <row r="45" spans="1:8">
      <c r="A45" s="447">
        <v>30</v>
      </c>
      <c r="B45" s="449" t="s">
        <v>5232</v>
      </c>
      <c r="C45" s="449" t="s">
        <v>5212</v>
      </c>
      <c r="D45" s="449" t="s">
        <v>5219</v>
      </c>
      <c r="E45" s="450">
        <v>5.51</v>
      </c>
      <c r="F45" s="447" t="s">
        <v>5192</v>
      </c>
      <c r="G45" s="447" t="s">
        <v>5193</v>
      </c>
      <c r="H45" s="744"/>
    </row>
    <row r="46" spans="1:8" ht="31.5">
      <c r="A46" s="447">
        <v>31</v>
      </c>
      <c r="B46" s="449" t="s">
        <v>5233</v>
      </c>
      <c r="C46" s="449" t="s">
        <v>3515</v>
      </c>
      <c r="D46" s="449" t="s">
        <v>5234</v>
      </c>
      <c r="E46" s="450">
        <v>6.28</v>
      </c>
      <c r="F46" s="447" t="s">
        <v>5192</v>
      </c>
      <c r="G46" s="447" t="s">
        <v>5193</v>
      </c>
      <c r="H46" s="744"/>
    </row>
    <row r="47" spans="1:8">
      <c r="A47" s="447">
        <v>32</v>
      </c>
      <c r="B47" s="449" t="s">
        <v>5140</v>
      </c>
      <c r="C47" s="449" t="s">
        <v>5235</v>
      </c>
      <c r="D47" s="449" t="s">
        <v>5212</v>
      </c>
      <c r="E47" s="450">
        <v>8.07</v>
      </c>
      <c r="F47" s="447" t="s">
        <v>5195</v>
      </c>
      <c r="G47" s="447" t="s">
        <v>5130</v>
      </c>
      <c r="H47" s="744"/>
    </row>
    <row r="48" spans="1:8">
      <c r="A48" s="447">
        <v>33</v>
      </c>
      <c r="B48" s="449" t="s">
        <v>5236</v>
      </c>
      <c r="C48" s="449" t="s">
        <v>84</v>
      </c>
      <c r="D48" s="449" t="s">
        <v>5234</v>
      </c>
      <c r="E48" s="450">
        <v>2.09</v>
      </c>
      <c r="F48" s="447" t="s">
        <v>5192</v>
      </c>
      <c r="G48" s="447" t="s">
        <v>5132</v>
      </c>
      <c r="H48" s="744"/>
    </row>
    <row r="49" spans="1:8" ht="39.75" customHeight="1">
      <c r="A49" s="447">
        <v>34</v>
      </c>
      <c r="B49" s="449" t="s">
        <v>5141</v>
      </c>
      <c r="C49" s="449" t="s">
        <v>5142</v>
      </c>
      <c r="D49" s="449" t="s">
        <v>5237</v>
      </c>
      <c r="E49" s="450">
        <v>3.67</v>
      </c>
      <c r="F49" s="447" t="s">
        <v>5192</v>
      </c>
      <c r="G49" s="447" t="s">
        <v>5132</v>
      </c>
      <c r="H49" s="744"/>
    </row>
    <row r="50" spans="1:8">
      <c r="A50" s="447">
        <v>35</v>
      </c>
      <c r="B50" s="449" t="s">
        <v>5149</v>
      </c>
      <c r="C50" s="449" t="s">
        <v>433</v>
      </c>
      <c r="D50" s="449" t="s">
        <v>5238</v>
      </c>
      <c r="E50" s="450">
        <v>1.42</v>
      </c>
      <c r="F50" s="447" t="s">
        <v>5192</v>
      </c>
      <c r="G50" s="447" t="s">
        <v>5132</v>
      </c>
      <c r="H50" s="744"/>
    </row>
    <row r="51" spans="1:8">
      <c r="A51" s="447">
        <v>36</v>
      </c>
      <c r="B51" s="449" t="s">
        <v>5239</v>
      </c>
      <c r="C51" s="449" t="s">
        <v>5240</v>
      </c>
      <c r="D51" s="449" t="s">
        <v>5241</v>
      </c>
      <c r="E51" s="450">
        <v>2.38</v>
      </c>
      <c r="F51" s="447" t="s">
        <v>5192</v>
      </c>
      <c r="G51" s="447" t="s">
        <v>5193</v>
      </c>
      <c r="H51" s="744"/>
    </row>
    <row r="52" spans="1:8">
      <c r="A52" s="447">
        <v>37</v>
      </c>
      <c r="B52" s="449" t="s">
        <v>5242</v>
      </c>
      <c r="C52" s="449" t="s">
        <v>691</v>
      </c>
      <c r="D52" s="449" t="s">
        <v>5243</v>
      </c>
      <c r="E52" s="450">
        <v>0.61199999999999999</v>
      </c>
      <c r="F52" s="447" t="s">
        <v>5192</v>
      </c>
      <c r="G52" s="447" t="s">
        <v>5132</v>
      </c>
      <c r="H52" s="744"/>
    </row>
    <row r="53" spans="1:8" ht="31.5">
      <c r="A53" s="447">
        <v>38</v>
      </c>
      <c r="B53" s="449" t="s">
        <v>5244</v>
      </c>
      <c r="C53" s="449" t="s">
        <v>691</v>
      </c>
      <c r="D53" s="449" t="s">
        <v>5245</v>
      </c>
      <c r="E53" s="450">
        <v>10.119999999999999</v>
      </c>
      <c r="F53" s="447" t="s">
        <v>5199</v>
      </c>
      <c r="G53" s="447" t="s">
        <v>5132</v>
      </c>
      <c r="H53" s="744"/>
    </row>
    <row r="54" spans="1:8" ht="31.5">
      <c r="A54" s="447">
        <v>39</v>
      </c>
      <c r="B54" s="449" t="s">
        <v>5144</v>
      </c>
      <c r="C54" s="449" t="s">
        <v>126</v>
      </c>
      <c r="D54" s="449" t="s">
        <v>5246</v>
      </c>
      <c r="E54" s="450">
        <v>2.58</v>
      </c>
      <c r="F54" s="447" t="s">
        <v>5199</v>
      </c>
      <c r="G54" s="447" t="s">
        <v>1116</v>
      </c>
      <c r="H54" s="744"/>
    </row>
    <row r="55" spans="1:8" ht="31.5">
      <c r="A55" s="447">
        <v>40</v>
      </c>
      <c r="B55" s="449" t="s">
        <v>5247</v>
      </c>
      <c r="C55" s="449" t="s">
        <v>127</v>
      </c>
      <c r="D55" s="449" t="s">
        <v>5248</v>
      </c>
      <c r="E55" s="450">
        <v>8.92</v>
      </c>
      <c r="F55" s="447" t="s">
        <v>5199</v>
      </c>
      <c r="G55" s="447" t="s">
        <v>5193</v>
      </c>
      <c r="H55" s="744"/>
    </row>
    <row r="56" spans="1:8" ht="31.5">
      <c r="A56" s="447">
        <v>41</v>
      </c>
      <c r="B56" s="449" t="s">
        <v>5249</v>
      </c>
      <c r="C56" s="449" t="s">
        <v>122</v>
      </c>
      <c r="D56" s="449" t="s">
        <v>5142</v>
      </c>
      <c r="E56" s="450">
        <v>4.7300000000000004</v>
      </c>
      <c r="F56" s="447" t="s">
        <v>5195</v>
      </c>
      <c r="G56" s="447" t="s">
        <v>5193</v>
      </c>
      <c r="H56" s="745"/>
    </row>
    <row r="57" spans="1:8" ht="31.5">
      <c r="A57" s="447">
        <v>42</v>
      </c>
      <c r="B57" s="449" t="s">
        <v>5147</v>
      </c>
      <c r="C57" s="449" t="s">
        <v>126</v>
      </c>
      <c r="D57" s="449" t="s">
        <v>5054</v>
      </c>
      <c r="E57" s="450">
        <v>4.6900000000000004</v>
      </c>
      <c r="F57" s="447" t="s">
        <v>5192</v>
      </c>
      <c r="G57" s="447" t="s">
        <v>5193</v>
      </c>
      <c r="H57" s="743" t="s">
        <v>9061</v>
      </c>
    </row>
    <row r="58" spans="1:8" ht="31.5">
      <c r="A58" s="447">
        <v>43</v>
      </c>
      <c r="B58" s="449" t="s">
        <v>5145</v>
      </c>
      <c r="C58" s="449" t="s">
        <v>127</v>
      </c>
      <c r="D58" s="449" t="s">
        <v>5250</v>
      </c>
      <c r="E58" s="450">
        <v>9.1300000000000008</v>
      </c>
      <c r="F58" s="447" t="s">
        <v>5199</v>
      </c>
      <c r="G58" s="447" t="s">
        <v>5132</v>
      </c>
      <c r="H58" s="744"/>
    </row>
    <row r="59" spans="1:8" ht="31.5">
      <c r="A59" s="447">
        <v>44</v>
      </c>
      <c r="B59" s="449" t="s">
        <v>5146</v>
      </c>
      <c r="C59" s="449" t="s">
        <v>127</v>
      </c>
      <c r="D59" s="449" t="s">
        <v>5251</v>
      </c>
      <c r="E59" s="450">
        <v>5.1100000000000003</v>
      </c>
      <c r="F59" s="447" t="s">
        <v>5199</v>
      </c>
      <c r="G59" s="447" t="s">
        <v>1116</v>
      </c>
      <c r="H59" s="744"/>
    </row>
    <row r="60" spans="1:8">
      <c r="A60" s="447">
        <v>45</v>
      </c>
      <c r="B60" s="449" t="s">
        <v>5252</v>
      </c>
      <c r="C60" s="449" t="s">
        <v>5143</v>
      </c>
      <c r="D60" s="449" t="s">
        <v>5253</v>
      </c>
      <c r="E60" s="450">
        <v>3.99</v>
      </c>
      <c r="F60" s="447" t="s">
        <v>5192</v>
      </c>
      <c r="G60" s="447" t="s">
        <v>5132</v>
      </c>
      <c r="H60" s="744"/>
    </row>
    <row r="61" spans="1:8" ht="31.5">
      <c r="A61" s="447">
        <v>46</v>
      </c>
      <c r="B61" s="449" t="s">
        <v>5148</v>
      </c>
      <c r="C61" s="449" t="s">
        <v>5146</v>
      </c>
      <c r="D61" s="449" t="s">
        <v>5143</v>
      </c>
      <c r="E61" s="450">
        <v>4.71</v>
      </c>
      <c r="F61" s="447" t="s">
        <v>5192</v>
      </c>
      <c r="G61" s="447" t="s">
        <v>5193</v>
      </c>
      <c r="H61" s="744"/>
    </row>
    <row r="62" spans="1:8">
      <c r="A62" s="447">
        <v>47</v>
      </c>
      <c r="B62" s="449" t="s">
        <v>5254</v>
      </c>
      <c r="C62" s="449" t="s">
        <v>127</v>
      </c>
      <c r="D62" s="449" t="s">
        <v>5143</v>
      </c>
      <c r="E62" s="450">
        <v>2.68</v>
      </c>
      <c r="F62" s="447" t="s">
        <v>5255</v>
      </c>
      <c r="G62" s="447" t="s">
        <v>1114</v>
      </c>
      <c r="H62" s="744"/>
    </row>
    <row r="63" spans="1:8" ht="31.5">
      <c r="A63" s="447">
        <v>48</v>
      </c>
      <c r="B63" s="449" t="s">
        <v>5256</v>
      </c>
      <c r="C63" s="449" t="s">
        <v>5171</v>
      </c>
      <c r="D63" s="449" t="s">
        <v>5143</v>
      </c>
      <c r="E63" s="450">
        <v>5.94</v>
      </c>
      <c r="F63" s="447" t="s">
        <v>5192</v>
      </c>
      <c r="G63" s="447" t="s">
        <v>5193</v>
      </c>
      <c r="H63" s="744"/>
    </row>
    <row r="64" spans="1:8">
      <c r="A64" s="447">
        <v>49</v>
      </c>
      <c r="B64" s="449" t="s">
        <v>5159</v>
      </c>
      <c r="C64" s="449" t="s">
        <v>739</v>
      </c>
      <c r="D64" s="449" t="s">
        <v>5143</v>
      </c>
      <c r="E64" s="450">
        <v>15.03</v>
      </c>
      <c r="F64" s="447" t="s">
        <v>5195</v>
      </c>
      <c r="G64" s="447" t="s">
        <v>5130</v>
      </c>
      <c r="H64" s="744"/>
    </row>
    <row r="65" spans="1:8" ht="31.5">
      <c r="A65" s="447">
        <v>50</v>
      </c>
      <c r="B65" s="449" t="s">
        <v>5161</v>
      </c>
      <c r="C65" s="449" t="s">
        <v>5162</v>
      </c>
      <c r="D65" s="449" t="s">
        <v>5257</v>
      </c>
      <c r="E65" s="450">
        <v>2.09</v>
      </c>
      <c r="F65" s="447" t="s">
        <v>5195</v>
      </c>
      <c r="G65" s="447" t="s">
        <v>5130</v>
      </c>
      <c r="H65" s="744"/>
    </row>
    <row r="66" spans="1:8" ht="18.75" customHeight="1">
      <c r="A66" s="447">
        <v>51</v>
      </c>
      <c r="B66" s="449" t="s">
        <v>5258</v>
      </c>
      <c r="C66" s="449" t="s">
        <v>5177</v>
      </c>
      <c r="D66" s="449" t="s">
        <v>5143</v>
      </c>
      <c r="E66" s="450">
        <v>2.58</v>
      </c>
      <c r="F66" s="447" t="s">
        <v>5231</v>
      </c>
      <c r="G66" s="447" t="s">
        <v>5130</v>
      </c>
      <c r="H66" s="744"/>
    </row>
    <row r="67" spans="1:8" ht="18.75" customHeight="1">
      <c r="A67" s="447">
        <v>52</v>
      </c>
      <c r="B67" s="449" t="s">
        <v>5259</v>
      </c>
      <c r="C67" s="449" t="s">
        <v>739</v>
      </c>
      <c r="D67" s="449" t="s">
        <v>5258</v>
      </c>
      <c r="E67" s="450">
        <v>4.6900000000000004</v>
      </c>
      <c r="F67" s="447" t="s">
        <v>5231</v>
      </c>
      <c r="G67" s="447" t="s">
        <v>1118</v>
      </c>
      <c r="H67" s="744"/>
    </row>
    <row r="68" spans="1:8" ht="18.75" customHeight="1">
      <c r="A68" s="447">
        <v>53</v>
      </c>
      <c r="B68" s="449" t="s">
        <v>5260</v>
      </c>
      <c r="C68" s="449" t="s">
        <v>739</v>
      </c>
      <c r="D68" s="449" t="s">
        <v>5143</v>
      </c>
      <c r="E68" s="450">
        <v>9.42</v>
      </c>
      <c r="F68" s="447" t="s">
        <v>5192</v>
      </c>
      <c r="G68" s="447" t="s">
        <v>5132</v>
      </c>
      <c r="H68" s="744"/>
    </row>
    <row r="69" spans="1:8" ht="18.75" customHeight="1">
      <c r="A69" s="447">
        <v>54</v>
      </c>
      <c r="B69" s="449" t="s">
        <v>5180</v>
      </c>
      <c r="C69" s="449" t="s">
        <v>127</v>
      </c>
      <c r="D69" s="449" t="s">
        <v>5179</v>
      </c>
      <c r="E69" s="450">
        <v>10.62</v>
      </c>
      <c r="F69" s="447" t="s">
        <v>5231</v>
      </c>
      <c r="G69" s="447" t="s">
        <v>1118</v>
      </c>
      <c r="H69" s="744"/>
    </row>
    <row r="70" spans="1:8" ht="31.5">
      <c r="A70" s="447">
        <v>55</v>
      </c>
      <c r="B70" s="449" t="s">
        <v>1129</v>
      </c>
      <c r="C70" s="449" t="s">
        <v>5261</v>
      </c>
      <c r="D70" s="449" t="s">
        <v>5180</v>
      </c>
      <c r="E70" s="450">
        <v>4.3099999999999996</v>
      </c>
      <c r="F70" s="447" t="s">
        <v>5192</v>
      </c>
      <c r="G70" s="447" t="s">
        <v>5193</v>
      </c>
      <c r="H70" s="744"/>
    </row>
    <row r="71" spans="1:8">
      <c r="A71" s="447">
        <v>56</v>
      </c>
      <c r="B71" s="449" t="s">
        <v>5163</v>
      </c>
      <c r="C71" s="449" t="s">
        <v>821</v>
      </c>
      <c r="D71" s="449" t="s">
        <v>5160</v>
      </c>
      <c r="E71" s="450">
        <v>10.38</v>
      </c>
      <c r="F71" s="447" t="s">
        <v>5195</v>
      </c>
      <c r="G71" s="447" t="s">
        <v>5130</v>
      </c>
      <c r="H71" s="744"/>
    </row>
    <row r="72" spans="1:8" ht="31.5">
      <c r="A72" s="447">
        <v>57</v>
      </c>
      <c r="B72" s="449" t="s">
        <v>5164</v>
      </c>
      <c r="C72" s="449" t="s">
        <v>5165</v>
      </c>
      <c r="D72" s="449" t="s">
        <v>5166</v>
      </c>
      <c r="E72" s="450">
        <v>3.38</v>
      </c>
      <c r="F72" s="447" t="s">
        <v>5231</v>
      </c>
      <c r="G72" s="447" t="s">
        <v>1118</v>
      </c>
      <c r="H72" s="744"/>
    </row>
    <row r="73" spans="1:8" ht="31.5">
      <c r="A73" s="447">
        <v>58</v>
      </c>
      <c r="B73" s="449" t="s">
        <v>5262</v>
      </c>
      <c r="C73" s="449" t="s">
        <v>5167</v>
      </c>
      <c r="D73" s="449" t="s">
        <v>5263</v>
      </c>
      <c r="E73" s="450">
        <v>2.6</v>
      </c>
      <c r="F73" s="447" t="s">
        <v>5231</v>
      </c>
      <c r="G73" s="447" t="s">
        <v>1118</v>
      </c>
      <c r="H73" s="744"/>
    </row>
    <row r="74" spans="1:8" ht="31.5">
      <c r="A74" s="447">
        <v>59</v>
      </c>
      <c r="B74" s="449" t="s">
        <v>5175</v>
      </c>
      <c r="C74" s="449" t="s">
        <v>5176</v>
      </c>
      <c r="D74" s="449" t="s">
        <v>5262</v>
      </c>
      <c r="E74" s="450">
        <v>5.32</v>
      </c>
      <c r="F74" s="447" t="s">
        <v>5192</v>
      </c>
      <c r="G74" s="447" t="s">
        <v>5132</v>
      </c>
      <c r="H74" s="744"/>
    </row>
    <row r="75" spans="1:8" ht="24" customHeight="1">
      <c r="A75" s="447">
        <v>60</v>
      </c>
      <c r="B75" s="449" t="s">
        <v>5264</v>
      </c>
      <c r="C75" s="449" t="s">
        <v>5156</v>
      </c>
      <c r="D75" s="449" t="s">
        <v>5157</v>
      </c>
      <c r="E75" s="450">
        <v>4.05</v>
      </c>
      <c r="F75" s="447" t="s">
        <v>5192</v>
      </c>
      <c r="G75" s="447" t="s">
        <v>5132</v>
      </c>
      <c r="H75" s="744"/>
    </row>
    <row r="76" spans="1:8" ht="24" customHeight="1">
      <c r="A76" s="447">
        <v>61</v>
      </c>
      <c r="B76" s="449" t="s">
        <v>5174</v>
      </c>
      <c r="C76" s="449" t="s">
        <v>5157</v>
      </c>
      <c r="D76" s="449" t="s">
        <v>5265</v>
      </c>
      <c r="E76" s="450">
        <v>5.04</v>
      </c>
      <c r="F76" s="447" t="s">
        <v>5199</v>
      </c>
      <c r="G76" s="447" t="s">
        <v>1116</v>
      </c>
      <c r="H76" s="744"/>
    </row>
    <row r="77" spans="1:8" ht="24" customHeight="1">
      <c r="A77" s="447">
        <v>62</v>
      </c>
      <c r="B77" s="449" t="s">
        <v>5266</v>
      </c>
      <c r="C77" s="449" t="s">
        <v>739</v>
      </c>
      <c r="D77" s="449" t="s">
        <v>5174</v>
      </c>
      <c r="E77" s="450">
        <v>7.44</v>
      </c>
      <c r="F77" s="447" t="s">
        <v>5199</v>
      </c>
      <c r="G77" s="447" t="s">
        <v>1116</v>
      </c>
      <c r="H77" s="745"/>
    </row>
    <row r="78" spans="1:8" ht="21.75" customHeight="1">
      <c r="A78" s="447">
        <v>63</v>
      </c>
      <c r="B78" s="449" t="s">
        <v>5267</v>
      </c>
      <c r="C78" s="449" t="s">
        <v>5268</v>
      </c>
      <c r="D78" s="449" t="s">
        <v>5265</v>
      </c>
      <c r="E78" s="450">
        <v>3.61</v>
      </c>
      <c r="F78" s="447" t="s">
        <v>5199</v>
      </c>
      <c r="G78" s="447" t="s">
        <v>5132</v>
      </c>
      <c r="H78" s="732" t="s">
        <v>9061</v>
      </c>
    </row>
    <row r="79" spans="1:8" ht="21.75" customHeight="1">
      <c r="A79" s="447">
        <v>64</v>
      </c>
      <c r="B79" s="449" t="s">
        <v>5268</v>
      </c>
      <c r="C79" s="449" t="s">
        <v>5269</v>
      </c>
      <c r="D79" s="449" t="s">
        <v>5267</v>
      </c>
      <c r="E79" s="450">
        <v>6.88</v>
      </c>
      <c r="F79" s="447" t="s">
        <v>5199</v>
      </c>
      <c r="G79" s="447" t="s">
        <v>1116</v>
      </c>
      <c r="H79" s="732"/>
    </row>
    <row r="80" spans="1:8" ht="21.75" customHeight="1">
      <c r="A80" s="447">
        <v>65</v>
      </c>
      <c r="B80" s="449" t="s">
        <v>5270</v>
      </c>
      <c r="C80" s="449" t="s">
        <v>738</v>
      </c>
      <c r="D80" s="449" t="s">
        <v>751</v>
      </c>
      <c r="E80" s="450">
        <v>3.53</v>
      </c>
      <c r="F80" s="447" t="s">
        <v>5195</v>
      </c>
      <c r="G80" s="447" t="s">
        <v>5130</v>
      </c>
      <c r="H80" s="732"/>
    </row>
    <row r="81" spans="1:8" ht="21.75" customHeight="1">
      <c r="A81" s="447">
        <v>66</v>
      </c>
      <c r="B81" s="449" t="s">
        <v>5269</v>
      </c>
      <c r="C81" s="449" t="s">
        <v>726</v>
      </c>
      <c r="D81" s="449" t="s">
        <v>5271</v>
      </c>
      <c r="E81" s="450">
        <v>10.31</v>
      </c>
      <c r="F81" s="447" t="s">
        <v>5272</v>
      </c>
      <c r="G81" s="447" t="s">
        <v>1110</v>
      </c>
      <c r="H81" s="732"/>
    </row>
    <row r="82" spans="1:8" ht="33.75" customHeight="1">
      <c r="A82" s="447">
        <v>67</v>
      </c>
      <c r="B82" s="449" t="s">
        <v>5173</v>
      </c>
      <c r="C82" s="449" t="s">
        <v>5273</v>
      </c>
      <c r="D82" s="449" t="s">
        <v>5274</v>
      </c>
      <c r="E82" s="450">
        <v>5.26</v>
      </c>
      <c r="F82" s="447" t="s">
        <v>5192</v>
      </c>
      <c r="G82" s="447" t="s">
        <v>5132</v>
      </c>
      <c r="H82" s="732"/>
    </row>
    <row r="83" spans="1:8" ht="24" customHeight="1">
      <c r="A83" s="447">
        <v>68</v>
      </c>
      <c r="B83" s="449" t="s">
        <v>5274</v>
      </c>
      <c r="C83" s="449" t="s">
        <v>854</v>
      </c>
      <c r="D83" s="449" t="s">
        <v>5160</v>
      </c>
      <c r="E83" s="450">
        <v>5.78</v>
      </c>
      <c r="F83" s="447" t="s">
        <v>5192</v>
      </c>
      <c r="G83" s="447" t="s">
        <v>5132</v>
      </c>
      <c r="H83" s="732"/>
    </row>
    <row r="84" spans="1:8" ht="24" customHeight="1">
      <c r="A84" s="447">
        <v>69</v>
      </c>
      <c r="B84" s="449" t="s">
        <v>5170</v>
      </c>
      <c r="C84" s="449" t="s">
        <v>739</v>
      </c>
      <c r="D84" s="449" t="s">
        <v>5275</v>
      </c>
      <c r="E84" s="450">
        <v>9.2200000000000006</v>
      </c>
      <c r="F84" s="447" t="s">
        <v>5195</v>
      </c>
      <c r="G84" s="447" t="s">
        <v>5130</v>
      </c>
      <c r="H84" s="732"/>
    </row>
    <row r="85" spans="1:8" ht="33.75" customHeight="1">
      <c r="A85" s="447">
        <v>70</v>
      </c>
      <c r="B85" s="449" t="s">
        <v>5169</v>
      </c>
      <c r="C85" s="449" t="s">
        <v>854</v>
      </c>
      <c r="D85" s="449" t="s">
        <v>5276</v>
      </c>
      <c r="E85" s="450">
        <v>6.9</v>
      </c>
      <c r="F85" s="447" t="s">
        <v>5195</v>
      </c>
      <c r="G85" s="447" t="s">
        <v>5130</v>
      </c>
      <c r="H85" s="732"/>
    </row>
    <row r="86" spans="1:8" ht="29.25" customHeight="1">
      <c r="A86" s="447">
        <v>71</v>
      </c>
      <c r="B86" s="449" t="s">
        <v>5276</v>
      </c>
      <c r="C86" s="449" t="s">
        <v>727</v>
      </c>
      <c r="D86" s="449" t="s">
        <v>5160</v>
      </c>
      <c r="E86" s="450">
        <v>4.3899999999999997</v>
      </c>
      <c r="F86" s="447" t="s">
        <v>5231</v>
      </c>
      <c r="G86" s="447" t="s">
        <v>1118</v>
      </c>
      <c r="H86" s="732"/>
    </row>
    <row r="87" spans="1:8" ht="29.25" customHeight="1">
      <c r="A87" s="447">
        <v>72</v>
      </c>
      <c r="B87" s="449" t="s">
        <v>5178</v>
      </c>
      <c r="C87" s="449" t="s">
        <v>821</v>
      </c>
      <c r="D87" s="449" t="s">
        <v>5276</v>
      </c>
      <c r="E87" s="450">
        <v>6.02</v>
      </c>
      <c r="F87" s="447" t="s">
        <v>5231</v>
      </c>
      <c r="G87" s="447" t="s">
        <v>1118</v>
      </c>
      <c r="H87" s="732"/>
    </row>
    <row r="88" spans="1:8" ht="29.25" customHeight="1">
      <c r="A88" s="447">
        <v>73</v>
      </c>
      <c r="B88" s="449" t="s">
        <v>5179</v>
      </c>
      <c r="C88" s="449" t="s">
        <v>801</v>
      </c>
      <c r="D88" s="449" t="s">
        <v>5178</v>
      </c>
      <c r="E88" s="450">
        <v>3.97</v>
      </c>
      <c r="F88" s="447" t="s">
        <v>5231</v>
      </c>
      <c r="G88" s="447" t="s">
        <v>1118</v>
      </c>
      <c r="H88" s="732"/>
    </row>
    <row r="89" spans="1:8" ht="22.5" customHeight="1">
      <c r="A89" s="447">
        <v>74</v>
      </c>
      <c r="B89" s="449" t="s">
        <v>5277</v>
      </c>
      <c r="C89" s="449" t="s">
        <v>816</v>
      </c>
      <c r="D89" s="449" t="s">
        <v>5278</v>
      </c>
      <c r="E89" s="450">
        <v>5.83</v>
      </c>
      <c r="F89" s="447" t="s">
        <v>5199</v>
      </c>
      <c r="G89" s="447" t="s">
        <v>1116</v>
      </c>
      <c r="H89" s="732"/>
    </row>
    <row r="90" spans="1:8" ht="24" customHeight="1">
      <c r="A90" s="447">
        <v>75</v>
      </c>
      <c r="B90" s="449" t="s">
        <v>5153</v>
      </c>
      <c r="C90" s="449" t="s">
        <v>862</v>
      </c>
      <c r="D90" s="449" t="s">
        <v>5179</v>
      </c>
      <c r="E90" s="450">
        <v>13.48</v>
      </c>
      <c r="F90" s="447" t="s">
        <v>5231</v>
      </c>
      <c r="G90" s="447" t="s">
        <v>1118</v>
      </c>
      <c r="H90" s="732"/>
    </row>
    <row r="91" spans="1:8" ht="31.5">
      <c r="A91" s="447">
        <v>76</v>
      </c>
      <c r="B91" s="449" t="s">
        <v>5172</v>
      </c>
      <c r="C91" s="449" t="s">
        <v>5279</v>
      </c>
      <c r="D91" s="449" t="s">
        <v>5158</v>
      </c>
      <c r="E91" s="450">
        <v>10.44</v>
      </c>
      <c r="F91" s="447" t="s">
        <v>5192</v>
      </c>
      <c r="G91" s="447" t="s">
        <v>5193</v>
      </c>
      <c r="H91" s="732"/>
    </row>
    <row r="92" spans="1:8" ht="24" customHeight="1">
      <c r="A92" s="447">
        <v>77</v>
      </c>
      <c r="B92" s="449" t="s">
        <v>5280</v>
      </c>
      <c r="C92" s="449" t="s">
        <v>862</v>
      </c>
      <c r="D92" s="449" t="s">
        <v>5276</v>
      </c>
      <c r="E92" s="450">
        <v>6.81</v>
      </c>
      <c r="F92" s="447" t="s">
        <v>5272</v>
      </c>
      <c r="G92" s="447" t="s">
        <v>1110</v>
      </c>
      <c r="H92" s="732"/>
    </row>
    <row r="93" spans="1:8" ht="24" customHeight="1">
      <c r="A93" s="447">
        <v>78</v>
      </c>
      <c r="B93" s="449" t="s">
        <v>5152</v>
      </c>
      <c r="C93" s="449" t="s">
        <v>5150</v>
      </c>
      <c r="D93" s="449" t="s">
        <v>5158</v>
      </c>
      <c r="E93" s="450">
        <v>12.5</v>
      </c>
      <c r="F93" s="447" t="s">
        <v>5272</v>
      </c>
      <c r="G93" s="447" t="s">
        <v>1110</v>
      </c>
      <c r="H93" s="732"/>
    </row>
    <row r="94" spans="1:8" ht="24" customHeight="1">
      <c r="A94" s="447">
        <v>79</v>
      </c>
      <c r="B94" s="449" t="s">
        <v>5275</v>
      </c>
      <c r="C94" s="449" t="s">
        <v>721</v>
      </c>
      <c r="D94" s="449" t="s">
        <v>5281</v>
      </c>
      <c r="E94" s="450">
        <v>13.7</v>
      </c>
      <c r="F94" s="447" t="s">
        <v>5195</v>
      </c>
      <c r="G94" s="447" t="s">
        <v>5130</v>
      </c>
      <c r="H94" s="732"/>
    </row>
    <row r="95" spans="1:8" ht="24" customHeight="1">
      <c r="A95" s="447">
        <v>80</v>
      </c>
      <c r="B95" s="449" t="s">
        <v>5154</v>
      </c>
      <c r="C95" s="449" t="s">
        <v>5168</v>
      </c>
      <c r="D95" s="449" t="s">
        <v>5151</v>
      </c>
      <c r="E95" s="450">
        <v>7.78</v>
      </c>
      <c r="F95" s="447" t="s">
        <v>5199</v>
      </c>
      <c r="G95" s="447" t="s">
        <v>1116</v>
      </c>
      <c r="H95" s="732"/>
    </row>
    <row r="96" spans="1:8" ht="24" customHeight="1">
      <c r="A96" s="447">
        <v>81</v>
      </c>
      <c r="B96" s="449" t="s">
        <v>5155</v>
      </c>
      <c r="C96" s="449" t="s">
        <v>717</v>
      </c>
      <c r="D96" s="449" t="s">
        <v>5151</v>
      </c>
      <c r="E96" s="450">
        <v>6.32</v>
      </c>
      <c r="F96" s="447" t="s">
        <v>5199</v>
      </c>
      <c r="G96" s="447" t="s">
        <v>1116</v>
      </c>
      <c r="H96" s="732"/>
    </row>
    <row r="97" spans="1:8" ht="24" customHeight="1">
      <c r="A97" s="447">
        <v>82</v>
      </c>
      <c r="B97" s="449" t="s">
        <v>5282</v>
      </c>
      <c r="C97" s="449" t="s">
        <v>5283</v>
      </c>
      <c r="D97" s="449" t="s">
        <v>5155</v>
      </c>
      <c r="E97" s="450">
        <v>10.87</v>
      </c>
      <c r="F97" s="447" t="s">
        <v>5195</v>
      </c>
      <c r="G97" s="447" t="s">
        <v>5130</v>
      </c>
      <c r="H97" s="732"/>
    </row>
    <row r="98" spans="1:8" ht="24" customHeight="1">
      <c r="A98" s="447">
        <v>83</v>
      </c>
      <c r="B98" s="449" t="s">
        <v>5284</v>
      </c>
      <c r="C98" s="449" t="s">
        <v>828</v>
      </c>
      <c r="D98" s="449" t="s">
        <v>5285</v>
      </c>
      <c r="E98" s="450">
        <v>1.32</v>
      </c>
      <c r="F98" s="447" t="s">
        <v>5192</v>
      </c>
      <c r="G98" s="447" t="s">
        <v>5193</v>
      </c>
      <c r="H98" s="732"/>
    </row>
    <row r="99" spans="1:8" ht="15.75" customHeight="1">
      <c r="A99" s="618" t="s">
        <v>5498</v>
      </c>
      <c r="B99" s="739" t="s">
        <v>5286</v>
      </c>
      <c r="C99" s="739"/>
      <c r="D99" s="739"/>
      <c r="E99" s="577"/>
      <c r="F99" s="575"/>
      <c r="G99" s="575"/>
      <c r="H99" s="732" t="s">
        <v>9061</v>
      </c>
    </row>
    <row r="100" spans="1:8" ht="25.5" customHeight="1">
      <c r="A100" s="447">
        <v>84</v>
      </c>
      <c r="B100" s="449" t="s">
        <v>5287</v>
      </c>
      <c r="C100" s="449" t="s">
        <v>576</v>
      </c>
      <c r="D100" s="449" t="s">
        <v>5288</v>
      </c>
      <c r="E100" s="450" t="s">
        <v>5289</v>
      </c>
      <c r="F100" s="446"/>
      <c r="G100" s="446"/>
      <c r="H100" s="732"/>
    </row>
    <row r="101" spans="1:8" ht="25.5" customHeight="1">
      <c r="A101" s="447" t="s">
        <v>5290</v>
      </c>
      <c r="B101" s="449" t="s">
        <v>5291</v>
      </c>
      <c r="C101" s="449" t="s">
        <v>576</v>
      </c>
      <c r="D101" s="449" t="s">
        <v>5292</v>
      </c>
      <c r="E101" s="450">
        <v>1.25</v>
      </c>
      <c r="F101" s="447" t="s">
        <v>5231</v>
      </c>
      <c r="G101" s="447" t="s">
        <v>1118</v>
      </c>
      <c r="H101" s="732"/>
    </row>
    <row r="102" spans="1:8" ht="25.5" customHeight="1">
      <c r="A102" s="447" t="s">
        <v>5290</v>
      </c>
      <c r="B102" s="449" t="s">
        <v>5293</v>
      </c>
      <c r="C102" s="449" t="s">
        <v>5294</v>
      </c>
      <c r="D102" s="449" t="s">
        <v>5295</v>
      </c>
      <c r="E102" s="450">
        <v>15.25</v>
      </c>
      <c r="F102" s="447" t="s">
        <v>5199</v>
      </c>
      <c r="G102" s="447" t="s">
        <v>1116</v>
      </c>
      <c r="H102" s="732"/>
    </row>
    <row r="103" spans="1:8">
      <c r="A103" s="618" t="s">
        <v>5499</v>
      </c>
      <c r="B103" s="739" t="s">
        <v>5296</v>
      </c>
      <c r="C103" s="739"/>
      <c r="D103" s="739"/>
      <c r="E103" s="577">
        <f>E104+E107+E110+E115+E116+E117+E118+E121+E125+E128+E131+E132+E135+E138+E141+E142+E143+E144+E148+E149+E154+E155+E156+E159</f>
        <v>110.8</v>
      </c>
      <c r="F103" s="575"/>
      <c r="G103" s="575"/>
      <c r="H103" s="732"/>
    </row>
    <row r="104" spans="1:8" ht="22.5" customHeight="1">
      <c r="A104" s="447">
        <v>85</v>
      </c>
      <c r="B104" s="449" t="s">
        <v>5297</v>
      </c>
      <c r="C104" s="449" t="s">
        <v>733</v>
      </c>
      <c r="D104" s="449" t="s">
        <v>5298</v>
      </c>
      <c r="E104" s="450" t="s">
        <v>5299</v>
      </c>
      <c r="F104" s="446"/>
      <c r="G104" s="446"/>
      <c r="H104" s="732"/>
    </row>
    <row r="105" spans="1:8" ht="22.5" customHeight="1">
      <c r="A105" s="447" t="s">
        <v>5290</v>
      </c>
      <c r="B105" s="454" t="s">
        <v>5291</v>
      </c>
      <c r="C105" s="454" t="s">
        <v>733</v>
      </c>
      <c r="D105" s="454" t="s">
        <v>5300</v>
      </c>
      <c r="E105" s="455">
        <v>0.95</v>
      </c>
      <c r="F105" s="447" t="s">
        <v>5255</v>
      </c>
      <c r="G105" s="447" t="s">
        <v>1118</v>
      </c>
      <c r="H105" s="732"/>
    </row>
    <row r="106" spans="1:8" ht="22.5" customHeight="1">
      <c r="A106" s="447" t="s">
        <v>5290</v>
      </c>
      <c r="B106" s="454" t="s">
        <v>5293</v>
      </c>
      <c r="C106" s="454" t="s">
        <v>5301</v>
      </c>
      <c r="D106" s="454" t="s">
        <v>5298</v>
      </c>
      <c r="E106" s="455" t="s">
        <v>5302</v>
      </c>
      <c r="F106" s="447" t="s">
        <v>5199</v>
      </c>
      <c r="G106" s="447" t="s">
        <v>1116</v>
      </c>
      <c r="H106" s="732"/>
    </row>
    <row r="107" spans="1:8" ht="22.5" customHeight="1">
      <c r="A107" s="447">
        <v>86</v>
      </c>
      <c r="B107" s="449" t="s">
        <v>5303</v>
      </c>
      <c r="C107" s="449" t="s">
        <v>733</v>
      </c>
      <c r="D107" s="449" t="s">
        <v>5298</v>
      </c>
      <c r="E107" s="450" t="s">
        <v>5304</v>
      </c>
      <c r="F107" s="446"/>
      <c r="G107" s="446"/>
      <c r="H107" s="732"/>
    </row>
    <row r="108" spans="1:8" ht="22.5" customHeight="1">
      <c r="A108" s="447" t="s">
        <v>5290</v>
      </c>
      <c r="B108" s="454" t="s">
        <v>5291</v>
      </c>
      <c r="C108" s="454" t="s">
        <v>733</v>
      </c>
      <c r="D108" s="454" t="s">
        <v>5305</v>
      </c>
      <c r="E108" s="455" t="s">
        <v>5306</v>
      </c>
      <c r="F108" s="447" t="s">
        <v>5255</v>
      </c>
      <c r="G108" s="447" t="s">
        <v>1116</v>
      </c>
      <c r="H108" s="732"/>
    </row>
    <row r="109" spans="1:8" ht="22.5" customHeight="1">
      <c r="A109" s="447" t="s">
        <v>5290</v>
      </c>
      <c r="B109" s="454" t="s">
        <v>5293</v>
      </c>
      <c r="C109" s="454" t="s">
        <v>5307</v>
      </c>
      <c r="D109" s="454" t="s">
        <v>5298</v>
      </c>
      <c r="E109" s="455" t="s">
        <v>5308</v>
      </c>
      <c r="F109" s="447" t="s">
        <v>5199</v>
      </c>
      <c r="G109" s="447" t="s">
        <v>5130</v>
      </c>
      <c r="H109" s="732"/>
    </row>
    <row r="110" spans="1:8" ht="22.5" customHeight="1">
      <c r="A110" s="447">
        <v>87</v>
      </c>
      <c r="B110" s="449" t="s">
        <v>5309</v>
      </c>
      <c r="C110" s="449" t="s">
        <v>5310</v>
      </c>
      <c r="D110" s="449" t="s">
        <v>5298</v>
      </c>
      <c r="E110" s="450" t="s">
        <v>5311</v>
      </c>
      <c r="F110" s="446"/>
      <c r="G110" s="446"/>
      <c r="H110" s="732"/>
    </row>
    <row r="111" spans="1:8" ht="22.5" customHeight="1">
      <c r="A111" s="447" t="s">
        <v>5290</v>
      </c>
      <c r="B111" s="454" t="s">
        <v>5291</v>
      </c>
      <c r="C111" s="454" t="s">
        <v>5312</v>
      </c>
      <c r="D111" s="454" t="s">
        <v>5313</v>
      </c>
      <c r="E111" s="455" t="s">
        <v>5314</v>
      </c>
      <c r="F111" s="447" t="s">
        <v>5272</v>
      </c>
      <c r="G111" s="447" t="s">
        <v>1114</v>
      </c>
      <c r="H111" s="732"/>
    </row>
    <row r="112" spans="1:8" ht="22.5" customHeight="1">
      <c r="A112" s="447" t="s">
        <v>5290</v>
      </c>
      <c r="B112" s="454" t="s">
        <v>5293</v>
      </c>
      <c r="C112" s="454" t="s">
        <v>5315</v>
      </c>
      <c r="D112" s="454" t="s">
        <v>5316</v>
      </c>
      <c r="E112" s="455" t="s">
        <v>5317</v>
      </c>
      <c r="F112" s="447" t="s">
        <v>5255</v>
      </c>
      <c r="G112" s="447" t="s">
        <v>1114</v>
      </c>
      <c r="H112" s="732"/>
    </row>
    <row r="113" spans="1:8" ht="31.5">
      <c r="A113" s="447" t="s">
        <v>5290</v>
      </c>
      <c r="B113" s="454" t="s">
        <v>5318</v>
      </c>
      <c r="C113" s="454" t="s">
        <v>5319</v>
      </c>
      <c r="D113" s="454" t="s">
        <v>5320</v>
      </c>
      <c r="E113" s="455" t="s">
        <v>5321</v>
      </c>
      <c r="F113" s="447" t="s">
        <v>5255</v>
      </c>
      <c r="G113" s="447" t="s">
        <v>1116</v>
      </c>
      <c r="H113" s="732"/>
    </row>
    <row r="114" spans="1:8" ht="31.5">
      <c r="A114" s="447" t="s">
        <v>5290</v>
      </c>
      <c r="B114" s="454" t="s">
        <v>5322</v>
      </c>
      <c r="C114" s="454" t="s">
        <v>5320</v>
      </c>
      <c r="D114" s="454" t="s">
        <v>5323</v>
      </c>
      <c r="E114" s="455" t="s">
        <v>5324</v>
      </c>
      <c r="F114" s="447" t="s">
        <v>1116</v>
      </c>
      <c r="G114" s="446"/>
      <c r="H114" s="732"/>
    </row>
    <row r="115" spans="1:8" ht="24.75" customHeight="1">
      <c r="A115" s="447">
        <v>88</v>
      </c>
      <c r="B115" s="449" t="s">
        <v>5325</v>
      </c>
      <c r="C115" s="449" t="s">
        <v>5326</v>
      </c>
      <c r="D115" s="449" t="s">
        <v>5298</v>
      </c>
      <c r="E115" s="450" t="s">
        <v>5327</v>
      </c>
      <c r="F115" s="447" t="s">
        <v>5132</v>
      </c>
      <c r="G115" s="446"/>
      <c r="H115" s="732"/>
    </row>
    <row r="116" spans="1:8" ht="24.75" customHeight="1">
      <c r="A116" s="447">
        <v>89</v>
      </c>
      <c r="B116" s="449" t="s">
        <v>5328</v>
      </c>
      <c r="C116" s="449" t="s">
        <v>733</v>
      </c>
      <c r="D116" s="449" t="s">
        <v>5329</v>
      </c>
      <c r="E116" s="450" t="s">
        <v>5330</v>
      </c>
      <c r="F116" s="447" t="s">
        <v>5255</v>
      </c>
      <c r="G116" s="447" t="s">
        <v>1118</v>
      </c>
      <c r="H116" s="732"/>
    </row>
    <row r="117" spans="1:8" ht="31.5">
      <c r="A117" s="447">
        <v>90</v>
      </c>
      <c r="B117" s="449" t="s">
        <v>5331</v>
      </c>
      <c r="C117" s="449" t="s">
        <v>5332</v>
      </c>
      <c r="D117" s="449" t="s">
        <v>5333</v>
      </c>
      <c r="E117" s="450" t="s">
        <v>5334</v>
      </c>
      <c r="F117" s="447" t="s">
        <v>5255</v>
      </c>
      <c r="G117" s="447" t="s">
        <v>5132</v>
      </c>
      <c r="H117" s="732"/>
    </row>
    <row r="118" spans="1:8" ht="21.75" customHeight="1">
      <c r="A118" s="447">
        <v>91</v>
      </c>
      <c r="B118" s="449" t="s">
        <v>5333</v>
      </c>
      <c r="C118" s="449" t="s">
        <v>5331</v>
      </c>
      <c r="D118" s="449" t="s">
        <v>5335</v>
      </c>
      <c r="E118" s="450" t="s">
        <v>5336</v>
      </c>
      <c r="F118" s="446"/>
      <c r="G118" s="446"/>
      <c r="H118" s="732"/>
    </row>
    <row r="119" spans="1:8" ht="21.75" customHeight="1">
      <c r="A119" s="447" t="s">
        <v>5290</v>
      </c>
      <c r="B119" s="454" t="s">
        <v>5291</v>
      </c>
      <c r="C119" s="454" t="s">
        <v>5331</v>
      </c>
      <c r="D119" s="454" t="s">
        <v>5337</v>
      </c>
      <c r="E119" s="455" t="s">
        <v>5338</v>
      </c>
      <c r="F119" s="447" t="s">
        <v>5231</v>
      </c>
      <c r="G119" s="447" t="s">
        <v>1116</v>
      </c>
      <c r="H119" s="732"/>
    </row>
    <row r="120" spans="1:8" ht="21.75" customHeight="1">
      <c r="A120" s="447" t="s">
        <v>5290</v>
      </c>
      <c r="B120" s="454" t="s">
        <v>5293</v>
      </c>
      <c r="C120" s="454" t="s">
        <v>5339</v>
      </c>
      <c r="D120" s="454" t="s">
        <v>5335</v>
      </c>
      <c r="E120" s="455" t="s">
        <v>5340</v>
      </c>
      <c r="F120" s="447" t="s">
        <v>5199</v>
      </c>
      <c r="G120" s="447" t="s">
        <v>1116</v>
      </c>
      <c r="H120" s="732"/>
    </row>
    <row r="121" spans="1:8" ht="21.75" customHeight="1">
      <c r="A121" s="447">
        <v>92</v>
      </c>
      <c r="B121" s="449" t="s">
        <v>5341</v>
      </c>
      <c r="C121" s="449" t="s">
        <v>733</v>
      </c>
      <c r="D121" s="449" t="s">
        <v>5342</v>
      </c>
      <c r="E121" s="450" t="s">
        <v>5343</v>
      </c>
      <c r="F121" s="446"/>
      <c r="G121" s="446"/>
      <c r="H121" s="732" t="s">
        <v>9061</v>
      </c>
    </row>
    <row r="122" spans="1:8" ht="21.75" customHeight="1">
      <c r="A122" s="447" t="s">
        <v>5290</v>
      </c>
      <c r="B122" s="454" t="s">
        <v>5291</v>
      </c>
      <c r="C122" s="454" t="s">
        <v>733</v>
      </c>
      <c r="D122" s="454" t="s">
        <v>5344</v>
      </c>
      <c r="E122" s="455" t="s">
        <v>5345</v>
      </c>
      <c r="F122" s="447" t="s">
        <v>5231</v>
      </c>
      <c r="G122" s="447" t="s">
        <v>1114</v>
      </c>
      <c r="H122" s="732"/>
    </row>
    <row r="123" spans="1:8" ht="21.75" customHeight="1">
      <c r="A123" s="447" t="s">
        <v>5290</v>
      </c>
      <c r="B123" s="454" t="s">
        <v>5293</v>
      </c>
      <c r="C123" s="454" t="s">
        <v>5346</v>
      </c>
      <c r="D123" s="454" t="s">
        <v>5347</v>
      </c>
      <c r="E123" s="455" t="s">
        <v>5348</v>
      </c>
      <c r="F123" s="447" t="s">
        <v>5199</v>
      </c>
      <c r="G123" s="447" t="s">
        <v>1116</v>
      </c>
      <c r="H123" s="732"/>
    </row>
    <row r="124" spans="1:8" ht="21.75" customHeight="1">
      <c r="A124" s="447" t="s">
        <v>5290</v>
      </c>
      <c r="B124" s="454" t="s">
        <v>5318</v>
      </c>
      <c r="C124" s="454" t="s">
        <v>5349</v>
      </c>
      <c r="D124" s="454" t="s">
        <v>5342</v>
      </c>
      <c r="E124" s="455" t="s">
        <v>5350</v>
      </c>
      <c r="F124" s="447" t="s">
        <v>5199</v>
      </c>
      <c r="G124" s="447" t="s">
        <v>5130</v>
      </c>
      <c r="H124" s="732"/>
    </row>
    <row r="125" spans="1:8" ht="47.25">
      <c r="A125" s="447">
        <v>93</v>
      </c>
      <c r="B125" s="449" t="s">
        <v>5351</v>
      </c>
      <c r="C125" s="449" t="s">
        <v>5352</v>
      </c>
      <c r="D125" s="449" t="s">
        <v>5353</v>
      </c>
      <c r="E125" s="450" t="s">
        <v>5354</v>
      </c>
      <c r="F125" s="446"/>
      <c r="G125" s="446"/>
      <c r="H125" s="732"/>
    </row>
    <row r="126" spans="1:8" ht="31.5">
      <c r="A126" s="447" t="s">
        <v>5290</v>
      </c>
      <c r="B126" s="454" t="s">
        <v>5291</v>
      </c>
      <c r="C126" s="454" t="s">
        <v>5352</v>
      </c>
      <c r="D126" s="454" t="s">
        <v>5355</v>
      </c>
      <c r="E126" s="455" t="s">
        <v>5356</v>
      </c>
      <c r="F126" s="447" t="s">
        <v>5231</v>
      </c>
      <c r="G126" s="447" t="s">
        <v>5130</v>
      </c>
      <c r="H126" s="732"/>
    </row>
    <row r="127" spans="1:8" ht="31.5">
      <c r="A127" s="447" t="s">
        <v>5290</v>
      </c>
      <c r="B127" s="454" t="s">
        <v>5293</v>
      </c>
      <c r="C127" s="454" t="s">
        <v>5357</v>
      </c>
      <c r="D127" s="454" t="s">
        <v>5358</v>
      </c>
      <c r="E127" s="455" t="s">
        <v>5359</v>
      </c>
      <c r="F127" s="447" t="s">
        <v>5255</v>
      </c>
      <c r="G127" s="447" t="s">
        <v>1118</v>
      </c>
      <c r="H127" s="732"/>
    </row>
    <row r="128" spans="1:8" ht="24" customHeight="1">
      <c r="A128" s="447">
        <v>94</v>
      </c>
      <c r="B128" s="449" t="s">
        <v>5360</v>
      </c>
      <c r="C128" s="449" t="s">
        <v>5351</v>
      </c>
      <c r="D128" s="449" t="s">
        <v>5298</v>
      </c>
      <c r="E128" s="450" t="s">
        <v>5361</v>
      </c>
      <c r="F128" s="446"/>
      <c r="G128" s="446"/>
      <c r="H128" s="732"/>
    </row>
    <row r="129" spans="1:8" ht="24" customHeight="1">
      <c r="A129" s="447" t="s">
        <v>5290</v>
      </c>
      <c r="B129" s="454" t="s">
        <v>5291</v>
      </c>
      <c r="C129" s="454" t="s">
        <v>5351</v>
      </c>
      <c r="D129" s="454" t="s">
        <v>5362</v>
      </c>
      <c r="E129" s="455" t="s">
        <v>5363</v>
      </c>
      <c r="F129" s="447" t="s">
        <v>5199</v>
      </c>
      <c r="G129" s="447" t="s">
        <v>5130</v>
      </c>
      <c r="H129" s="732"/>
    </row>
    <row r="130" spans="1:8" ht="24" customHeight="1">
      <c r="A130" s="447" t="s">
        <v>5290</v>
      </c>
      <c r="B130" s="454" t="s">
        <v>5293</v>
      </c>
      <c r="C130" s="454" t="s">
        <v>5362</v>
      </c>
      <c r="D130" s="454" t="s">
        <v>5364</v>
      </c>
      <c r="E130" s="455" t="s">
        <v>5365</v>
      </c>
      <c r="F130" s="447" t="s">
        <v>5195</v>
      </c>
      <c r="G130" s="447" t="s">
        <v>5130</v>
      </c>
      <c r="H130" s="732"/>
    </row>
    <row r="131" spans="1:8" ht="24" customHeight="1">
      <c r="A131" s="447">
        <v>95</v>
      </c>
      <c r="B131" s="449" t="s">
        <v>5366</v>
      </c>
      <c r="C131" s="449" t="s">
        <v>5351</v>
      </c>
      <c r="D131" s="449" t="s">
        <v>5298</v>
      </c>
      <c r="E131" s="450" t="s">
        <v>5367</v>
      </c>
      <c r="F131" s="447" t="s">
        <v>5195</v>
      </c>
      <c r="G131" s="447" t="s">
        <v>5132</v>
      </c>
      <c r="H131" s="732"/>
    </row>
    <row r="132" spans="1:8" ht="24" customHeight="1">
      <c r="A132" s="447">
        <v>96</v>
      </c>
      <c r="B132" s="449" t="s">
        <v>5368</v>
      </c>
      <c r="C132" s="449" t="s">
        <v>5351</v>
      </c>
      <c r="D132" s="449" t="s">
        <v>5298</v>
      </c>
      <c r="E132" s="450" t="s">
        <v>5369</v>
      </c>
      <c r="F132" s="447" t="s">
        <v>5199</v>
      </c>
      <c r="G132" s="447" t="s">
        <v>5130</v>
      </c>
      <c r="H132" s="732"/>
    </row>
    <row r="133" spans="1:8" ht="24" customHeight="1">
      <c r="A133" s="447" t="s">
        <v>5290</v>
      </c>
      <c r="B133" s="454" t="s">
        <v>5291</v>
      </c>
      <c r="C133" s="454" t="s">
        <v>5351</v>
      </c>
      <c r="D133" s="454" t="s">
        <v>5364</v>
      </c>
      <c r="E133" s="455" t="s">
        <v>5370</v>
      </c>
      <c r="F133" s="447" t="s">
        <v>5199</v>
      </c>
      <c r="G133" s="447" t="s">
        <v>5130</v>
      </c>
      <c r="H133" s="732"/>
    </row>
    <row r="134" spans="1:8" ht="24" customHeight="1">
      <c r="A134" s="447" t="s">
        <v>5290</v>
      </c>
      <c r="B134" s="454" t="s">
        <v>5293</v>
      </c>
      <c r="C134" s="454" t="s">
        <v>5371</v>
      </c>
      <c r="D134" s="454" t="s">
        <v>5364</v>
      </c>
      <c r="E134" s="455" t="s">
        <v>5372</v>
      </c>
      <c r="F134" s="447" t="s">
        <v>5199</v>
      </c>
      <c r="G134" s="447" t="s">
        <v>5130</v>
      </c>
      <c r="H134" s="732"/>
    </row>
    <row r="135" spans="1:8" ht="24" customHeight="1">
      <c r="A135" s="447">
        <v>97</v>
      </c>
      <c r="B135" s="449" t="s">
        <v>5373</v>
      </c>
      <c r="C135" s="449" t="s">
        <v>5283</v>
      </c>
      <c r="D135" s="449" t="s">
        <v>5374</v>
      </c>
      <c r="E135" s="450" t="s">
        <v>5375</v>
      </c>
      <c r="F135" s="446"/>
      <c r="G135" s="446"/>
      <c r="H135" s="732"/>
    </row>
    <row r="136" spans="1:8" ht="24" customHeight="1">
      <c r="A136" s="447" t="s">
        <v>5290</v>
      </c>
      <c r="B136" s="454" t="s">
        <v>5291</v>
      </c>
      <c r="C136" s="454" t="s">
        <v>5283</v>
      </c>
      <c r="D136" s="454" t="s">
        <v>5376</v>
      </c>
      <c r="E136" s="455" t="s">
        <v>5377</v>
      </c>
      <c r="F136" s="447" t="s">
        <v>5272</v>
      </c>
      <c r="G136" s="447" t="s">
        <v>1110</v>
      </c>
      <c r="H136" s="732"/>
    </row>
    <row r="137" spans="1:8" ht="24" customHeight="1">
      <c r="A137" s="447" t="s">
        <v>5290</v>
      </c>
      <c r="B137" s="454" t="s">
        <v>5293</v>
      </c>
      <c r="C137" s="454" t="s">
        <v>5376</v>
      </c>
      <c r="D137" s="454" t="s">
        <v>5519</v>
      </c>
      <c r="E137" s="455" t="s">
        <v>5378</v>
      </c>
      <c r="F137" s="447" t="s">
        <v>5255</v>
      </c>
      <c r="G137" s="447" t="s">
        <v>1114</v>
      </c>
      <c r="H137" s="732"/>
    </row>
    <row r="138" spans="1:8" ht="24" customHeight="1">
      <c r="A138" s="447">
        <v>98</v>
      </c>
      <c r="B138" s="449" t="s">
        <v>5379</v>
      </c>
      <c r="C138" s="449" t="s">
        <v>5380</v>
      </c>
      <c r="D138" s="449" t="s">
        <v>5381</v>
      </c>
      <c r="E138" s="450" t="s">
        <v>5382</v>
      </c>
      <c r="F138" s="446"/>
      <c r="G138" s="446"/>
      <c r="H138" s="732"/>
    </row>
    <row r="139" spans="1:8" ht="24" customHeight="1">
      <c r="A139" s="447" t="s">
        <v>5290</v>
      </c>
      <c r="B139" s="454" t="s">
        <v>5291</v>
      </c>
      <c r="C139" s="454" t="s">
        <v>5380</v>
      </c>
      <c r="D139" s="454" t="s">
        <v>5383</v>
      </c>
      <c r="E139" s="455" t="s">
        <v>5384</v>
      </c>
      <c r="F139" s="447" t="s">
        <v>5231</v>
      </c>
      <c r="G139" s="447" t="s">
        <v>1116</v>
      </c>
      <c r="H139" s="732"/>
    </row>
    <row r="140" spans="1:8" ht="24" customHeight="1">
      <c r="A140" s="447" t="s">
        <v>5290</v>
      </c>
      <c r="B140" s="454" t="s">
        <v>5293</v>
      </c>
      <c r="C140" s="454" t="s">
        <v>5385</v>
      </c>
      <c r="D140" s="454" t="s">
        <v>5381</v>
      </c>
      <c r="E140" s="455" t="s">
        <v>5386</v>
      </c>
      <c r="F140" s="447" t="s">
        <v>5255</v>
      </c>
      <c r="G140" s="447" t="s">
        <v>1116</v>
      </c>
      <c r="H140" s="732"/>
    </row>
    <row r="141" spans="1:8" ht="24" customHeight="1">
      <c r="A141" s="447">
        <v>99</v>
      </c>
      <c r="B141" s="449" t="s">
        <v>5387</v>
      </c>
      <c r="C141" s="449" t="s">
        <v>5352</v>
      </c>
      <c r="D141" s="449" t="s">
        <v>5298</v>
      </c>
      <c r="E141" s="450" t="s">
        <v>5388</v>
      </c>
      <c r="F141" s="447" t="s">
        <v>5231</v>
      </c>
      <c r="G141" s="447" t="s">
        <v>5130</v>
      </c>
      <c r="H141" s="732"/>
    </row>
    <row r="142" spans="1:8" ht="31.5">
      <c r="A142" s="447">
        <v>100</v>
      </c>
      <c r="B142" s="449" t="s">
        <v>5389</v>
      </c>
      <c r="C142" s="449" t="s">
        <v>5390</v>
      </c>
      <c r="D142" s="449" t="s">
        <v>5391</v>
      </c>
      <c r="E142" s="450" t="s">
        <v>5392</v>
      </c>
      <c r="F142" s="447" t="s">
        <v>5231</v>
      </c>
      <c r="G142" s="447" t="s">
        <v>5130</v>
      </c>
      <c r="H142" s="732" t="s">
        <v>9062</v>
      </c>
    </row>
    <row r="143" spans="1:8">
      <c r="A143" s="447">
        <v>101</v>
      </c>
      <c r="B143" s="449" t="s">
        <v>5393</v>
      </c>
      <c r="C143" s="449" t="s">
        <v>5394</v>
      </c>
      <c r="D143" s="449" t="s">
        <v>5395</v>
      </c>
      <c r="E143" s="450" t="s">
        <v>5396</v>
      </c>
      <c r="F143" s="447" t="s">
        <v>5199</v>
      </c>
      <c r="G143" s="447" t="s">
        <v>5130</v>
      </c>
      <c r="H143" s="732"/>
    </row>
    <row r="144" spans="1:8" ht="31.5">
      <c r="A144" s="447">
        <v>102</v>
      </c>
      <c r="B144" s="449" t="s">
        <v>5394</v>
      </c>
      <c r="C144" s="449" t="s">
        <v>5397</v>
      </c>
      <c r="D144" s="449" t="s">
        <v>5398</v>
      </c>
      <c r="E144" s="450" t="s">
        <v>5399</v>
      </c>
      <c r="F144" s="446"/>
      <c r="G144" s="446"/>
      <c r="H144" s="732"/>
    </row>
    <row r="145" spans="1:8">
      <c r="A145" s="447" t="s">
        <v>5290</v>
      </c>
      <c r="B145" s="454" t="s">
        <v>5291</v>
      </c>
      <c r="C145" s="454" t="s">
        <v>5397</v>
      </c>
      <c r="D145" s="454" t="s">
        <v>5400</v>
      </c>
      <c r="E145" s="455" t="s">
        <v>5401</v>
      </c>
      <c r="F145" s="447" t="s">
        <v>5255</v>
      </c>
      <c r="G145" s="447" t="s">
        <v>1114</v>
      </c>
      <c r="H145" s="732"/>
    </row>
    <row r="146" spans="1:8">
      <c r="A146" s="447" t="s">
        <v>5290</v>
      </c>
      <c r="B146" s="454" t="s">
        <v>5293</v>
      </c>
      <c r="C146" s="454" t="s">
        <v>5402</v>
      </c>
      <c r="D146" s="454" t="s">
        <v>5403</v>
      </c>
      <c r="E146" s="455" t="s">
        <v>5404</v>
      </c>
      <c r="F146" s="447" t="s">
        <v>5231</v>
      </c>
      <c r="G146" s="447" t="s">
        <v>1118</v>
      </c>
      <c r="H146" s="732"/>
    </row>
    <row r="147" spans="1:8">
      <c r="A147" s="447" t="s">
        <v>5290</v>
      </c>
      <c r="B147" s="454" t="s">
        <v>5318</v>
      </c>
      <c r="C147" s="454" t="s">
        <v>5405</v>
      </c>
      <c r="D147" s="454" t="s">
        <v>5298</v>
      </c>
      <c r="E147" s="455" t="s">
        <v>5406</v>
      </c>
      <c r="F147" s="447" t="s">
        <v>5192</v>
      </c>
      <c r="G147" s="447" t="s">
        <v>5132</v>
      </c>
      <c r="H147" s="732"/>
    </row>
    <row r="148" spans="1:8">
      <c r="A148" s="447">
        <v>103</v>
      </c>
      <c r="B148" s="449" t="s">
        <v>5407</v>
      </c>
      <c r="C148" s="449" t="s">
        <v>5408</v>
      </c>
      <c r="D148" s="449" t="s">
        <v>5409</v>
      </c>
      <c r="E148" s="450" t="s">
        <v>5410</v>
      </c>
      <c r="F148" s="447" t="s">
        <v>5231</v>
      </c>
      <c r="G148" s="447" t="s">
        <v>1116</v>
      </c>
      <c r="H148" s="732"/>
    </row>
    <row r="149" spans="1:8">
      <c r="A149" s="447">
        <v>104</v>
      </c>
      <c r="B149" s="449" t="s">
        <v>5411</v>
      </c>
      <c r="C149" s="449" t="s">
        <v>5283</v>
      </c>
      <c r="D149" s="449" t="s">
        <v>5412</v>
      </c>
      <c r="E149" s="450" t="s">
        <v>5413</v>
      </c>
      <c r="F149" s="446"/>
      <c r="G149" s="446"/>
      <c r="H149" s="732"/>
    </row>
    <row r="150" spans="1:8">
      <c r="A150" s="447" t="s">
        <v>5290</v>
      </c>
      <c r="B150" s="454" t="s">
        <v>5291</v>
      </c>
      <c r="C150" s="454" t="s">
        <v>5283</v>
      </c>
      <c r="D150" s="454" t="s">
        <v>5414</v>
      </c>
      <c r="E150" s="455" t="s">
        <v>5415</v>
      </c>
      <c r="F150" s="447" t="s">
        <v>5255</v>
      </c>
      <c r="G150" s="447" t="s">
        <v>5130</v>
      </c>
      <c r="H150" s="732"/>
    </row>
    <row r="151" spans="1:8" ht="31.5">
      <c r="A151" s="447" t="s">
        <v>5290</v>
      </c>
      <c r="B151" s="454" t="s">
        <v>5416</v>
      </c>
      <c r="C151" s="454" t="s">
        <v>5417</v>
      </c>
      <c r="D151" s="454" t="s">
        <v>5418</v>
      </c>
      <c r="E151" s="455" t="s">
        <v>5419</v>
      </c>
      <c r="F151" s="447" t="s">
        <v>5195</v>
      </c>
      <c r="G151" s="447" t="s">
        <v>5130</v>
      </c>
      <c r="H151" s="732"/>
    </row>
    <row r="152" spans="1:8">
      <c r="A152" s="447" t="s">
        <v>5290</v>
      </c>
      <c r="B152" s="454" t="s">
        <v>5318</v>
      </c>
      <c r="C152" s="454" t="s">
        <v>5420</v>
      </c>
      <c r="D152" s="454" t="s">
        <v>5421</v>
      </c>
      <c r="E152" s="455" t="s">
        <v>5422</v>
      </c>
      <c r="F152" s="447" t="s">
        <v>5231</v>
      </c>
      <c r="G152" s="447" t="s">
        <v>1116</v>
      </c>
      <c r="H152" s="732"/>
    </row>
    <row r="153" spans="1:8">
      <c r="A153" s="447" t="s">
        <v>5290</v>
      </c>
      <c r="B153" s="454" t="s">
        <v>5423</v>
      </c>
      <c r="C153" s="454" t="s">
        <v>5424</v>
      </c>
      <c r="D153" s="454" t="s">
        <v>5412</v>
      </c>
      <c r="E153" s="455" t="s">
        <v>5425</v>
      </c>
      <c r="F153" s="447" t="s">
        <v>5255</v>
      </c>
      <c r="G153" s="447" t="s">
        <v>5130</v>
      </c>
      <c r="H153" s="732"/>
    </row>
    <row r="154" spans="1:8" ht="31.5">
      <c r="A154" s="447">
        <v>105</v>
      </c>
      <c r="B154" s="449" t="s">
        <v>5426</v>
      </c>
      <c r="C154" s="449" t="s">
        <v>5427</v>
      </c>
      <c r="D154" s="449" t="s">
        <v>5428</v>
      </c>
      <c r="E154" s="450" t="s">
        <v>5429</v>
      </c>
      <c r="F154" s="447" t="s">
        <v>5195</v>
      </c>
      <c r="G154" s="447" t="s">
        <v>5132</v>
      </c>
      <c r="H154" s="732"/>
    </row>
    <row r="155" spans="1:8" ht="31.5">
      <c r="A155" s="447">
        <v>106</v>
      </c>
      <c r="B155" s="449" t="s">
        <v>5430</v>
      </c>
      <c r="C155" s="449" t="s">
        <v>5431</v>
      </c>
      <c r="D155" s="449" t="s">
        <v>5298</v>
      </c>
      <c r="E155" s="450" t="s">
        <v>5432</v>
      </c>
      <c r="F155" s="447" t="s">
        <v>5195</v>
      </c>
      <c r="G155" s="447" t="s">
        <v>5132</v>
      </c>
      <c r="H155" s="732"/>
    </row>
    <row r="156" spans="1:8" ht="31.5">
      <c r="A156" s="447">
        <v>107</v>
      </c>
      <c r="B156" s="449" t="s">
        <v>5433</v>
      </c>
      <c r="C156" s="449" t="s">
        <v>5434</v>
      </c>
      <c r="D156" s="449" t="s">
        <v>5435</v>
      </c>
      <c r="E156" s="450" t="s">
        <v>5436</v>
      </c>
      <c r="F156" s="446"/>
      <c r="G156" s="446"/>
      <c r="H156" s="732"/>
    </row>
    <row r="157" spans="1:8">
      <c r="A157" s="447"/>
      <c r="B157" s="454" t="s">
        <v>5291</v>
      </c>
      <c r="C157" s="454" t="s">
        <v>5437</v>
      </c>
      <c r="D157" s="454" t="s">
        <v>5438</v>
      </c>
      <c r="E157" s="455" t="s">
        <v>5439</v>
      </c>
      <c r="F157" s="447" t="s">
        <v>5199</v>
      </c>
      <c r="G157" s="447" t="s">
        <v>5132</v>
      </c>
      <c r="H157" s="732"/>
    </row>
    <row r="158" spans="1:8">
      <c r="A158" s="447"/>
      <c r="B158" s="454" t="s">
        <v>5293</v>
      </c>
      <c r="C158" s="454" t="s">
        <v>5440</v>
      </c>
      <c r="D158" s="454" t="s">
        <v>5441</v>
      </c>
      <c r="E158" s="455" t="s">
        <v>5442</v>
      </c>
      <c r="F158" s="447" t="s">
        <v>5199</v>
      </c>
      <c r="G158" s="447" t="s">
        <v>5132</v>
      </c>
      <c r="H158" s="732"/>
    </row>
    <row r="159" spans="1:8" ht="31.5">
      <c r="A159" s="447">
        <v>108</v>
      </c>
      <c r="B159" s="449" t="s">
        <v>5443</v>
      </c>
      <c r="C159" s="449" t="s">
        <v>5444</v>
      </c>
      <c r="D159" s="449" t="s">
        <v>5445</v>
      </c>
      <c r="E159" s="450" t="s">
        <v>5446</v>
      </c>
      <c r="F159" s="447" t="s">
        <v>5199</v>
      </c>
      <c r="G159" s="447" t="s">
        <v>5130</v>
      </c>
      <c r="H159" s="732"/>
    </row>
    <row r="160" spans="1:8">
      <c r="A160" s="618" t="s">
        <v>5500</v>
      </c>
      <c r="B160" s="739" t="s">
        <v>5501</v>
      </c>
      <c r="C160" s="739"/>
      <c r="D160" s="739"/>
      <c r="E160" s="577"/>
      <c r="F160" s="575"/>
      <c r="G160" s="575"/>
      <c r="H160" s="732"/>
    </row>
    <row r="161" spans="1:8">
      <c r="A161" s="447">
        <v>109</v>
      </c>
      <c r="B161" s="449" t="s">
        <v>5447</v>
      </c>
      <c r="C161" s="300"/>
      <c r="D161" s="300"/>
      <c r="E161" s="456">
        <f>SUM(E162:E165)</f>
        <v>48.5</v>
      </c>
      <c r="F161" s="446"/>
      <c r="G161" s="446"/>
      <c r="H161" s="732"/>
    </row>
    <row r="162" spans="1:8">
      <c r="A162" s="447"/>
      <c r="B162" s="449"/>
      <c r="C162" s="454" t="s">
        <v>5448</v>
      </c>
      <c r="D162" s="454" t="s">
        <v>5449</v>
      </c>
      <c r="E162" s="455">
        <v>8.5</v>
      </c>
      <c r="F162" s="447" t="s">
        <v>1110</v>
      </c>
      <c r="G162" s="446"/>
      <c r="H162" s="732"/>
    </row>
    <row r="163" spans="1:8">
      <c r="A163" s="447"/>
      <c r="B163" s="449"/>
      <c r="C163" s="454" t="s">
        <v>5448</v>
      </c>
      <c r="D163" s="454" t="s">
        <v>5450</v>
      </c>
      <c r="E163" s="455">
        <v>11.8</v>
      </c>
      <c r="F163" s="447" t="s">
        <v>1110</v>
      </c>
      <c r="G163" s="446"/>
      <c r="H163" s="732"/>
    </row>
    <row r="164" spans="1:8">
      <c r="A164" s="447"/>
      <c r="B164" s="449"/>
      <c r="C164" s="454" t="s">
        <v>5448</v>
      </c>
      <c r="D164" s="454" t="s">
        <v>5451</v>
      </c>
      <c r="E164" s="455">
        <v>13.9</v>
      </c>
      <c r="F164" s="447" t="s">
        <v>1110</v>
      </c>
      <c r="G164" s="446"/>
      <c r="H164" s="732"/>
    </row>
    <row r="165" spans="1:8">
      <c r="A165" s="447"/>
      <c r="B165" s="449"/>
      <c r="C165" s="454" t="s">
        <v>5448</v>
      </c>
      <c r="D165" s="454" t="s">
        <v>5452</v>
      </c>
      <c r="E165" s="455">
        <v>14.3</v>
      </c>
      <c r="F165" s="447" t="s">
        <v>1110</v>
      </c>
      <c r="G165" s="446"/>
      <c r="H165" s="732"/>
    </row>
    <row r="166" spans="1:8">
      <c r="A166" s="447">
        <v>110</v>
      </c>
      <c r="B166" s="449" t="s">
        <v>5453</v>
      </c>
      <c r="C166" s="300"/>
      <c r="D166" s="300"/>
      <c r="E166" s="452">
        <f>E167+E168</f>
        <v>35.5</v>
      </c>
      <c r="F166" s="446"/>
      <c r="G166" s="446"/>
      <c r="H166" s="732"/>
    </row>
    <row r="167" spans="1:8">
      <c r="A167" s="446"/>
      <c r="B167" s="300"/>
      <c r="C167" s="454" t="s">
        <v>5448</v>
      </c>
      <c r="D167" s="454" t="s">
        <v>5450</v>
      </c>
      <c r="E167" s="455" t="s">
        <v>5454</v>
      </c>
      <c r="F167" s="447" t="s">
        <v>1110</v>
      </c>
      <c r="G167" s="446"/>
      <c r="H167" s="732"/>
    </row>
    <row r="168" spans="1:8">
      <c r="A168" s="446"/>
      <c r="B168" s="300"/>
      <c r="C168" s="454" t="s">
        <v>5448</v>
      </c>
      <c r="D168" s="454" t="s">
        <v>5455</v>
      </c>
      <c r="E168" s="455" t="s">
        <v>5456</v>
      </c>
      <c r="F168" s="447" t="s">
        <v>1110</v>
      </c>
      <c r="G168" s="446"/>
      <c r="H168" s="732"/>
    </row>
    <row r="169" spans="1:8" ht="36" customHeight="1">
      <c r="A169" s="447">
        <v>111</v>
      </c>
      <c r="B169" s="449" t="s">
        <v>5457</v>
      </c>
      <c r="C169" s="449" t="s">
        <v>5448</v>
      </c>
      <c r="D169" s="449" t="s">
        <v>5458</v>
      </c>
      <c r="E169" s="450" t="s">
        <v>5459</v>
      </c>
      <c r="F169" s="447" t="s">
        <v>1110</v>
      </c>
      <c r="G169" s="446"/>
      <c r="H169" s="732" t="s">
        <v>9062</v>
      </c>
    </row>
    <row r="170" spans="1:8" ht="36" customHeight="1">
      <c r="A170" s="447">
        <v>112</v>
      </c>
      <c r="B170" s="449" t="s">
        <v>5460</v>
      </c>
      <c r="C170" s="449" t="s">
        <v>5448</v>
      </c>
      <c r="D170" s="449" t="s">
        <v>5461</v>
      </c>
      <c r="E170" s="450" t="s">
        <v>5462</v>
      </c>
      <c r="F170" s="447" t="s">
        <v>1110</v>
      </c>
      <c r="G170" s="446"/>
      <c r="H170" s="732"/>
    </row>
    <row r="171" spans="1:8" ht="36" customHeight="1">
      <c r="A171" s="447">
        <v>113</v>
      </c>
      <c r="B171" s="449" t="s">
        <v>5463</v>
      </c>
      <c r="C171" s="449" t="s">
        <v>5448</v>
      </c>
      <c r="D171" s="449" t="s">
        <v>5464</v>
      </c>
      <c r="E171" s="450" t="s">
        <v>5465</v>
      </c>
      <c r="F171" s="447" t="s">
        <v>1110</v>
      </c>
      <c r="G171" s="446"/>
      <c r="H171" s="732"/>
    </row>
    <row r="172" spans="1:8" ht="36" customHeight="1">
      <c r="A172" s="447">
        <v>114</v>
      </c>
      <c r="B172" s="449" t="s">
        <v>5466</v>
      </c>
      <c r="C172" s="449" t="s">
        <v>5448</v>
      </c>
      <c r="D172" s="449" t="s">
        <v>5467</v>
      </c>
      <c r="E172" s="450" t="s">
        <v>5468</v>
      </c>
      <c r="F172" s="447" t="s">
        <v>1110</v>
      </c>
      <c r="G172" s="446"/>
      <c r="H172" s="732"/>
    </row>
    <row r="173" spans="1:8" ht="30.75" customHeight="1">
      <c r="A173" s="447">
        <v>115</v>
      </c>
      <c r="B173" s="449" t="s">
        <v>5469</v>
      </c>
      <c r="C173" s="449" t="s">
        <v>5448</v>
      </c>
      <c r="D173" s="449" t="s">
        <v>5470</v>
      </c>
      <c r="E173" s="450" t="s">
        <v>5471</v>
      </c>
      <c r="F173" s="447" t="s">
        <v>1110</v>
      </c>
      <c r="G173" s="446"/>
      <c r="H173" s="732"/>
    </row>
    <row r="174" spans="1:8" ht="30.75" customHeight="1">
      <c r="A174" s="447">
        <v>116</v>
      </c>
      <c r="B174" s="449" t="s">
        <v>5472</v>
      </c>
      <c r="C174" s="449" t="s">
        <v>5448</v>
      </c>
      <c r="D174" s="449" t="s">
        <v>5473</v>
      </c>
      <c r="E174" s="450" t="s">
        <v>5474</v>
      </c>
      <c r="F174" s="447" t="s">
        <v>1110</v>
      </c>
      <c r="G174" s="446"/>
      <c r="H174" s="732"/>
    </row>
    <row r="175" spans="1:8" ht="40.5" customHeight="1">
      <c r="A175" s="447">
        <v>117</v>
      </c>
      <c r="B175" s="449" t="s">
        <v>5475</v>
      </c>
      <c r="C175" s="449" t="s">
        <v>5476</v>
      </c>
      <c r="D175" s="449" t="s">
        <v>5477</v>
      </c>
      <c r="E175" s="450" t="s">
        <v>5478</v>
      </c>
      <c r="F175" s="447" t="s">
        <v>1110</v>
      </c>
      <c r="G175" s="446"/>
      <c r="H175" s="732"/>
    </row>
    <row r="176" spans="1:8" ht="38.25" customHeight="1">
      <c r="A176" s="447">
        <v>118</v>
      </c>
      <c r="B176" s="449" t="s">
        <v>5479</v>
      </c>
      <c r="C176" s="449" t="s">
        <v>5448</v>
      </c>
      <c r="D176" s="449" t="s">
        <v>5480</v>
      </c>
      <c r="E176" s="450">
        <v>59</v>
      </c>
      <c r="F176" s="447" t="s">
        <v>1110</v>
      </c>
      <c r="G176" s="446"/>
      <c r="H176" s="732"/>
    </row>
    <row r="177" spans="1:8" ht="38.25" customHeight="1">
      <c r="A177" s="447">
        <v>119</v>
      </c>
      <c r="B177" s="449" t="s">
        <v>5481</v>
      </c>
      <c r="C177" s="449" t="s">
        <v>5448</v>
      </c>
      <c r="D177" s="449" t="s">
        <v>5482</v>
      </c>
      <c r="E177" s="450">
        <v>65</v>
      </c>
      <c r="F177" s="447" t="s">
        <v>1110</v>
      </c>
      <c r="G177" s="446"/>
      <c r="H177" s="732"/>
    </row>
    <row r="178" spans="1:8" ht="38.25" customHeight="1">
      <c r="A178" s="447">
        <v>120</v>
      </c>
      <c r="B178" s="449" t="s">
        <v>5483</v>
      </c>
      <c r="C178" s="449" t="s">
        <v>5448</v>
      </c>
      <c r="D178" s="449" t="s">
        <v>5484</v>
      </c>
      <c r="E178" s="450">
        <v>10</v>
      </c>
      <c r="F178" s="447" t="s">
        <v>1110</v>
      </c>
      <c r="G178" s="446"/>
      <c r="H178" s="732"/>
    </row>
    <row r="179" spans="1:8" ht="38.25" customHeight="1">
      <c r="A179" s="447">
        <v>121</v>
      </c>
      <c r="B179" s="449" t="s">
        <v>5485</v>
      </c>
      <c r="C179" s="449" t="s">
        <v>5448</v>
      </c>
      <c r="D179" s="449" t="s">
        <v>5486</v>
      </c>
      <c r="E179" s="450" t="s">
        <v>5487</v>
      </c>
      <c r="F179" s="447" t="s">
        <v>1110</v>
      </c>
      <c r="G179" s="446"/>
      <c r="H179" s="732"/>
    </row>
    <row r="180" spans="1:8" ht="38.25" customHeight="1">
      <c r="A180" s="447">
        <v>122</v>
      </c>
      <c r="B180" s="449" t="s">
        <v>5488</v>
      </c>
      <c r="C180" s="449" t="s">
        <v>5448</v>
      </c>
      <c r="D180" s="449" t="s">
        <v>5489</v>
      </c>
      <c r="E180" s="450" t="s">
        <v>5490</v>
      </c>
      <c r="F180" s="447" t="s">
        <v>1110</v>
      </c>
      <c r="G180" s="446"/>
      <c r="H180" s="732"/>
    </row>
    <row r="181" spans="1:8" ht="38.25" customHeight="1">
      <c r="A181" s="447">
        <v>123</v>
      </c>
      <c r="B181" s="449" t="s">
        <v>5491</v>
      </c>
      <c r="C181" s="449" t="s">
        <v>5448</v>
      </c>
      <c r="D181" s="449" t="s">
        <v>5492</v>
      </c>
      <c r="E181" s="450" t="s">
        <v>5493</v>
      </c>
      <c r="F181" s="447" t="s">
        <v>1110</v>
      </c>
      <c r="G181" s="446"/>
      <c r="H181" s="732"/>
    </row>
    <row r="182" spans="1:8" ht="38.25" customHeight="1">
      <c r="A182" s="447">
        <v>124</v>
      </c>
      <c r="B182" s="449" t="s">
        <v>5494</v>
      </c>
      <c r="C182" s="449" t="s">
        <v>5448</v>
      </c>
      <c r="D182" s="449" t="s">
        <v>5495</v>
      </c>
      <c r="E182" s="450" t="s">
        <v>5496</v>
      </c>
      <c r="F182" s="446"/>
      <c r="G182" s="446"/>
      <c r="H182" s="732"/>
    </row>
    <row r="183" spans="1:8" ht="21" customHeight="1">
      <c r="A183" s="579" t="s">
        <v>5515</v>
      </c>
      <c r="B183" s="578" t="s">
        <v>5516</v>
      </c>
      <c r="C183" s="578"/>
      <c r="D183" s="578"/>
      <c r="E183" s="579"/>
      <c r="F183" s="579"/>
      <c r="G183" s="579"/>
      <c r="H183" s="579"/>
    </row>
    <row r="184" spans="1:8" ht="37.5" customHeight="1">
      <c r="A184" s="457">
        <v>1</v>
      </c>
      <c r="B184" s="432" t="s">
        <v>433</v>
      </c>
      <c r="C184" s="458" t="s">
        <v>7321</v>
      </c>
      <c r="D184" s="458" t="s">
        <v>7322</v>
      </c>
      <c r="E184" s="459">
        <v>12.6</v>
      </c>
      <c r="F184" s="446"/>
      <c r="G184" s="446"/>
      <c r="H184" s="460"/>
    </row>
    <row r="185" spans="1:8" ht="37.5" customHeight="1">
      <c r="A185" s="457">
        <v>2</v>
      </c>
      <c r="B185" s="432" t="s">
        <v>482</v>
      </c>
      <c r="C185" s="458" t="s">
        <v>7321</v>
      </c>
      <c r="D185" s="458" t="s">
        <v>7323</v>
      </c>
      <c r="E185" s="459">
        <v>37.5</v>
      </c>
      <c r="F185" s="446"/>
      <c r="G185" s="446"/>
      <c r="H185" s="461"/>
    </row>
    <row r="186" spans="1:8" ht="56.25" customHeight="1">
      <c r="A186" s="457">
        <v>3</v>
      </c>
      <c r="B186" s="432" t="s">
        <v>691</v>
      </c>
      <c r="C186" s="458" t="s">
        <v>7321</v>
      </c>
      <c r="D186" s="458" t="s">
        <v>7324</v>
      </c>
      <c r="E186" s="459">
        <v>11.1</v>
      </c>
      <c r="F186" s="446"/>
      <c r="G186" s="446"/>
      <c r="H186" s="461"/>
    </row>
    <row r="187" spans="1:8" ht="56.25" customHeight="1">
      <c r="A187" s="457">
        <v>4</v>
      </c>
      <c r="B187" s="432" t="s">
        <v>127</v>
      </c>
      <c r="C187" s="458" t="s">
        <v>7325</v>
      </c>
      <c r="D187" s="458" t="s">
        <v>7326</v>
      </c>
      <c r="E187" s="459">
        <v>66.599999999999994</v>
      </c>
      <c r="F187" s="446"/>
      <c r="G187" s="446"/>
      <c r="H187" s="461"/>
    </row>
    <row r="188" spans="1:8" ht="56.25" customHeight="1">
      <c r="A188" s="457">
        <v>5</v>
      </c>
      <c r="B188" s="432" t="s">
        <v>739</v>
      </c>
      <c r="C188" s="458" t="s">
        <v>7325</v>
      </c>
      <c r="D188" s="458" t="s">
        <v>7324</v>
      </c>
      <c r="E188" s="459">
        <v>32.4</v>
      </c>
      <c r="F188" s="446"/>
      <c r="G188" s="446"/>
      <c r="H188" s="461"/>
    </row>
    <row r="189" spans="1:8" ht="25.5" customHeight="1">
      <c r="A189" s="457">
        <v>6</v>
      </c>
      <c r="B189" s="432" t="s">
        <v>7327</v>
      </c>
      <c r="C189" s="458" t="s">
        <v>739</v>
      </c>
      <c r="D189" s="458" t="s">
        <v>7328</v>
      </c>
      <c r="E189" s="459">
        <v>9.3000000000000007</v>
      </c>
      <c r="F189" s="446"/>
      <c r="G189" s="446"/>
      <c r="H189" s="459"/>
    </row>
    <row r="190" spans="1:8" ht="40.5" customHeight="1">
      <c r="A190" s="457">
        <v>7</v>
      </c>
      <c r="B190" s="432" t="s">
        <v>7329</v>
      </c>
      <c r="C190" s="458" t="s">
        <v>7330</v>
      </c>
      <c r="D190" s="458" t="s">
        <v>739</v>
      </c>
      <c r="E190" s="459">
        <v>10.4</v>
      </c>
      <c r="F190" s="446"/>
      <c r="G190" s="446"/>
      <c r="H190" s="459"/>
    </row>
    <row r="191" spans="1:8" ht="27.75" customHeight="1">
      <c r="A191" s="457">
        <v>8</v>
      </c>
      <c r="B191" s="432" t="s">
        <v>1132</v>
      </c>
      <c r="C191" s="458" t="s">
        <v>7331</v>
      </c>
      <c r="D191" s="458" t="s">
        <v>732</v>
      </c>
      <c r="E191" s="459">
        <v>6.4</v>
      </c>
      <c r="F191" s="446"/>
      <c r="G191" s="446"/>
      <c r="H191" s="459"/>
    </row>
    <row r="192" spans="1:8" ht="37.5" customHeight="1">
      <c r="A192" s="457">
        <v>9</v>
      </c>
      <c r="B192" s="432" t="s">
        <v>7332</v>
      </c>
      <c r="C192" s="458" t="s">
        <v>7333</v>
      </c>
      <c r="D192" s="458" t="s">
        <v>7334</v>
      </c>
      <c r="E192" s="459">
        <v>10.199999999999999</v>
      </c>
      <c r="F192" s="446"/>
      <c r="G192" s="446"/>
      <c r="H192" s="459"/>
    </row>
    <row r="193" spans="1:8" ht="31.5">
      <c r="A193" s="457">
        <v>10</v>
      </c>
      <c r="B193" s="432" t="s">
        <v>7331</v>
      </c>
      <c r="C193" s="458" t="s">
        <v>7330</v>
      </c>
      <c r="D193" s="458" t="s">
        <v>7335</v>
      </c>
      <c r="E193" s="459">
        <v>25.5</v>
      </c>
      <c r="F193" s="446"/>
      <c r="G193" s="446"/>
      <c r="H193" s="459"/>
    </row>
    <row r="194" spans="1:8" ht="26.25" customHeight="1">
      <c r="A194" s="457">
        <v>11</v>
      </c>
      <c r="B194" s="432" t="s">
        <v>732</v>
      </c>
      <c r="C194" s="458" t="s">
        <v>742</v>
      </c>
      <c r="D194" s="458" t="s">
        <v>1132</v>
      </c>
      <c r="E194" s="459">
        <v>9</v>
      </c>
      <c r="F194" s="446"/>
      <c r="G194" s="446"/>
      <c r="H194" s="459"/>
    </row>
    <row r="195" spans="1:8" ht="56.25" customHeight="1">
      <c r="A195" s="457">
        <v>12</v>
      </c>
      <c r="B195" s="432" t="s">
        <v>7336</v>
      </c>
      <c r="C195" s="458" t="s">
        <v>7337</v>
      </c>
      <c r="D195" s="458" t="s">
        <v>7338</v>
      </c>
      <c r="E195" s="459">
        <v>50.5</v>
      </c>
      <c r="F195" s="446"/>
      <c r="G195" s="446"/>
      <c r="H195" s="459"/>
    </row>
    <row r="196" spans="1:8" ht="57.75" customHeight="1">
      <c r="A196" s="457">
        <v>13</v>
      </c>
      <c r="B196" s="432" t="s">
        <v>7339</v>
      </c>
      <c r="C196" s="458" t="s">
        <v>7340</v>
      </c>
      <c r="D196" s="458" t="s">
        <v>7341</v>
      </c>
      <c r="E196" s="459">
        <v>16.600000000000001</v>
      </c>
      <c r="F196" s="446"/>
      <c r="G196" s="446"/>
      <c r="H196" s="459"/>
    </row>
    <row r="197" spans="1:8" ht="45" customHeight="1">
      <c r="A197" s="457">
        <v>14</v>
      </c>
      <c r="B197" s="432" t="s">
        <v>7342</v>
      </c>
      <c r="C197" s="458" t="s">
        <v>7328</v>
      </c>
      <c r="D197" s="458" t="s">
        <v>7343</v>
      </c>
      <c r="E197" s="459">
        <v>6.54</v>
      </c>
      <c r="F197" s="446"/>
      <c r="G197" s="446"/>
      <c r="H197" s="459"/>
    </row>
    <row r="198" spans="1:8" ht="75" customHeight="1">
      <c r="A198" s="457">
        <v>15</v>
      </c>
      <c r="B198" s="432" t="s">
        <v>7344</v>
      </c>
      <c r="C198" s="458" t="s">
        <v>7345</v>
      </c>
      <c r="D198" s="458" t="s">
        <v>7345</v>
      </c>
      <c r="E198" s="459">
        <v>2.4500000000000002</v>
      </c>
      <c r="F198" s="446"/>
      <c r="G198" s="446"/>
      <c r="H198" s="459"/>
    </row>
    <row r="199" spans="1:8" ht="24.75" customHeight="1">
      <c r="A199" s="457">
        <v>16</v>
      </c>
      <c r="B199" s="432" t="s">
        <v>7346</v>
      </c>
      <c r="C199" s="458" t="s">
        <v>7347</v>
      </c>
      <c r="D199" s="458" t="s">
        <v>7348</v>
      </c>
      <c r="E199" s="459">
        <v>3.4</v>
      </c>
      <c r="F199" s="446"/>
      <c r="G199" s="446"/>
      <c r="H199" s="459"/>
    </row>
    <row r="200" spans="1:8" ht="24.75" customHeight="1">
      <c r="A200" s="457">
        <v>17</v>
      </c>
      <c r="B200" s="432" t="s">
        <v>7349</v>
      </c>
      <c r="C200" s="458" t="s">
        <v>7347</v>
      </c>
      <c r="D200" s="458" t="s">
        <v>7350</v>
      </c>
      <c r="E200" s="459">
        <v>14</v>
      </c>
      <c r="F200" s="446"/>
      <c r="G200" s="446"/>
      <c r="H200" s="459"/>
    </row>
  </sheetData>
  <mergeCells count="20">
    <mergeCell ref="A1:H1"/>
    <mergeCell ref="C2:D2"/>
    <mergeCell ref="F2:G2"/>
    <mergeCell ref="H5:H12"/>
    <mergeCell ref="B160:D160"/>
    <mergeCell ref="B14:D14"/>
    <mergeCell ref="B99:D99"/>
    <mergeCell ref="B103:D103"/>
    <mergeCell ref="H15:H33"/>
    <mergeCell ref="H34:H56"/>
    <mergeCell ref="H57:H77"/>
    <mergeCell ref="H78:H98"/>
    <mergeCell ref="H99:H120"/>
    <mergeCell ref="H121:H141"/>
    <mergeCell ref="H142:H168"/>
    <mergeCell ref="H169:H182"/>
    <mergeCell ref="A2:A3"/>
    <mergeCell ref="B2:B3"/>
    <mergeCell ref="A13:F13"/>
    <mergeCell ref="A4:F4"/>
  </mergeCells>
  <pageMargins left="0.95" right="0" top="0.5" bottom="0.5" header="0.05" footer="0.05"/>
  <pageSetup paperSize="9" scale="92" orientation="landscape" r:id="rId1"/>
  <rowBreaks count="2" manualBreakCount="2">
    <brk id="12" max="7" man="1"/>
    <brk id="182" max="7"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9"/>
  <sheetViews>
    <sheetView zoomScale="85" zoomScaleNormal="85" zoomScaleSheetLayoutView="115" workbookViewId="0">
      <selection sqref="A1:H1"/>
    </sheetView>
  </sheetViews>
  <sheetFormatPr defaultColWidth="20" defaultRowHeight="15.75"/>
  <cols>
    <col min="1" max="1" width="5.5703125" style="440" bestFit="1" customWidth="1"/>
    <col min="2" max="2" width="31" style="361" customWidth="1"/>
    <col min="3" max="3" width="47.28515625" style="361" customWidth="1"/>
    <col min="4" max="4" width="32.28515625" style="441" customWidth="1"/>
    <col min="5" max="5" width="29.42578125" style="441" customWidth="1"/>
    <col min="6" max="6" width="11.42578125" style="648" customWidth="1"/>
    <col min="7" max="7" width="15.5703125" style="442" customWidth="1"/>
    <col min="8" max="8" width="11.5703125" style="361" customWidth="1"/>
    <col min="9" max="9" width="9.5703125" style="361" hidden="1" customWidth="1"/>
    <col min="10" max="16384" width="20" style="361"/>
  </cols>
  <sheetData>
    <row r="1" spans="1:9" ht="93.75" customHeight="1">
      <c r="A1" s="756" t="s">
        <v>9120</v>
      </c>
      <c r="B1" s="757"/>
      <c r="C1" s="757"/>
      <c r="D1" s="757"/>
      <c r="E1" s="757"/>
      <c r="F1" s="757"/>
      <c r="G1" s="757"/>
      <c r="H1" s="757"/>
    </row>
    <row r="2" spans="1:9" ht="15.75" customHeight="1">
      <c r="A2" s="758" t="s">
        <v>474</v>
      </c>
      <c r="B2" s="759" t="s">
        <v>922</v>
      </c>
      <c r="C2" s="759" t="s">
        <v>3918</v>
      </c>
      <c r="D2" s="758" t="s">
        <v>147</v>
      </c>
      <c r="E2" s="758"/>
      <c r="F2" s="758" t="s">
        <v>3917</v>
      </c>
      <c r="G2" s="758"/>
      <c r="H2" s="429"/>
    </row>
    <row r="3" spans="1:9">
      <c r="A3" s="758"/>
      <c r="B3" s="759"/>
      <c r="C3" s="759"/>
      <c r="D3" s="625" t="s">
        <v>583</v>
      </c>
      <c r="E3" s="625" t="s">
        <v>584</v>
      </c>
      <c r="F3" s="625" t="s">
        <v>585</v>
      </c>
      <c r="G3" s="430" t="s">
        <v>586</v>
      </c>
      <c r="H3" s="625" t="s">
        <v>587</v>
      </c>
    </row>
    <row r="4" spans="1:9" ht="20.100000000000001" customHeight="1">
      <c r="A4" s="752" t="s">
        <v>9054</v>
      </c>
      <c r="B4" s="752"/>
      <c r="C4" s="626"/>
      <c r="D4" s="625"/>
      <c r="E4" s="625"/>
      <c r="F4" s="638">
        <f>+F5+F138+F148</f>
        <v>241496.88999999996</v>
      </c>
      <c r="G4" s="430"/>
      <c r="H4" s="625"/>
    </row>
    <row r="5" spans="1:9" ht="20.100000000000001" customHeight="1">
      <c r="A5" s="625" t="s">
        <v>5530</v>
      </c>
      <c r="B5" s="753" t="s">
        <v>9052</v>
      </c>
      <c r="C5" s="753"/>
      <c r="D5" s="625"/>
      <c r="E5" s="625"/>
      <c r="F5" s="638">
        <f>SUM(F6:F136)</f>
        <v>157128.09999999998</v>
      </c>
      <c r="G5" s="430"/>
      <c r="H5" s="625"/>
    </row>
    <row r="6" spans="1:9" s="431" customFormat="1" ht="31.5">
      <c r="A6" s="622">
        <v>1</v>
      </c>
      <c r="B6" s="270" t="s">
        <v>3203</v>
      </c>
      <c r="C6" s="622" t="s">
        <v>8811</v>
      </c>
      <c r="D6" s="270" t="s">
        <v>384</v>
      </c>
      <c r="E6" s="270" t="s">
        <v>3190</v>
      </c>
      <c r="F6" s="529">
        <v>120</v>
      </c>
      <c r="G6" s="622">
        <v>7</v>
      </c>
      <c r="H6" s="622"/>
    </row>
    <row r="7" spans="1:9" s="431" customFormat="1" ht="31.5">
      <c r="A7" s="622">
        <v>2</v>
      </c>
      <c r="B7" s="270" t="s">
        <v>3493</v>
      </c>
      <c r="C7" s="622" t="s">
        <v>8812</v>
      </c>
      <c r="D7" s="270" t="s">
        <v>3190</v>
      </c>
      <c r="E7" s="270" t="s">
        <v>361</v>
      </c>
      <c r="F7" s="529">
        <v>726</v>
      </c>
      <c r="G7" s="622">
        <v>2</v>
      </c>
      <c r="H7" s="622"/>
    </row>
    <row r="8" spans="1:9" s="431" customFormat="1">
      <c r="A8" s="622">
        <v>3</v>
      </c>
      <c r="B8" s="270" t="s">
        <v>3494</v>
      </c>
      <c r="C8" s="622" t="s">
        <v>8813</v>
      </c>
      <c r="D8" s="270" t="s">
        <v>383</v>
      </c>
      <c r="E8" s="270" t="s">
        <v>3191</v>
      </c>
      <c r="F8" s="529">
        <v>267</v>
      </c>
      <c r="G8" s="622">
        <v>2.9</v>
      </c>
      <c r="H8" s="622"/>
    </row>
    <row r="9" spans="1:9" s="431" customFormat="1">
      <c r="A9" s="622">
        <v>4</v>
      </c>
      <c r="B9" s="270" t="s">
        <v>385</v>
      </c>
      <c r="C9" s="622" t="s">
        <v>8814</v>
      </c>
      <c r="D9" s="270" t="s">
        <v>362</v>
      </c>
      <c r="E9" s="270" t="s">
        <v>386</v>
      </c>
      <c r="F9" s="529">
        <v>1577</v>
      </c>
      <c r="G9" s="622">
        <v>7</v>
      </c>
      <c r="H9" s="622"/>
    </row>
    <row r="10" spans="1:9" s="431" customFormat="1" ht="41.25" customHeight="1">
      <c r="A10" s="622">
        <v>5</v>
      </c>
      <c r="B10" s="270" t="s">
        <v>3495</v>
      </c>
      <c r="C10" s="622" t="s">
        <v>8815</v>
      </c>
      <c r="D10" s="270" t="s">
        <v>3193</v>
      </c>
      <c r="E10" s="270" t="s">
        <v>3194</v>
      </c>
      <c r="F10" s="529">
        <v>814</v>
      </c>
      <c r="G10" s="622">
        <v>42.8</v>
      </c>
      <c r="H10" s="622"/>
    </row>
    <row r="11" spans="1:9" s="431" customFormat="1" ht="31.5">
      <c r="A11" s="622">
        <v>6</v>
      </c>
      <c r="B11" s="270" t="s">
        <v>390</v>
      </c>
      <c r="C11" s="622" t="s">
        <v>9001</v>
      </c>
      <c r="D11" s="270" t="s">
        <v>4407</v>
      </c>
      <c r="E11" s="270" t="s">
        <v>3193</v>
      </c>
      <c r="F11" s="529">
        <f>1540+540</f>
        <v>2080</v>
      </c>
      <c r="G11" s="622" t="s">
        <v>9002</v>
      </c>
      <c r="H11" s="622"/>
    </row>
    <row r="12" spans="1:9" s="431" customFormat="1">
      <c r="A12" s="622">
        <v>7</v>
      </c>
      <c r="B12" s="270" t="s">
        <v>392</v>
      </c>
      <c r="C12" s="622" t="s">
        <v>8816</v>
      </c>
      <c r="D12" s="270" t="s">
        <v>3435</v>
      </c>
      <c r="E12" s="270" t="s">
        <v>3199</v>
      </c>
      <c r="F12" s="529">
        <v>730</v>
      </c>
      <c r="G12" s="622">
        <v>7.1</v>
      </c>
      <c r="H12" s="622"/>
    </row>
    <row r="13" spans="1:9" s="431" customFormat="1">
      <c r="A13" s="622">
        <v>8</v>
      </c>
      <c r="B13" s="533" t="s">
        <v>1121</v>
      </c>
      <c r="C13" s="622" t="s">
        <v>8817</v>
      </c>
      <c r="D13" s="533" t="s">
        <v>1119</v>
      </c>
      <c r="E13" s="533" t="s">
        <v>1082</v>
      </c>
      <c r="F13" s="529">
        <v>4500</v>
      </c>
      <c r="G13" s="622"/>
      <c r="H13" s="622"/>
    </row>
    <row r="14" spans="1:9" s="532" customFormat="1">
      <c r="A14" s="622">
        <v>9</v>
      </c>
      <c r="B14" s="533" t="s">
        <v>659</v>
      </c>
      <c r="C14" s="622" t="s">
        <v>8818</v>
      </c>
      <c r="D14" s="533" t="s">
        <v>1126</v>
      </c>
      <c r="E14" s="533" t="s">
        <v>100</v>
      </c>
      <c r="F14" s="529">
        <v>1028</v>
      </c>
      <c r="G14" s="622" t="s">
        <v>9064</v>
      </c>
      <c r="H14" s="433"/>
    </row>
    <row r="15" spans="1:9" s="532" customFormat="1">
      <c r="A15" s="622">
        <v>10</v>
      </c>
      <c r="B15" s="533" t="s">
        <v>1125</v>
      </c>
      <c r="C15" s="622" t="s">
        <v>8818</v>
      </c>
      <c r="D15" s="533" t="s">
        <v>660</v>
      </c>
      <c r="E15" s="533" t="s">
        <v>100</v>
      </c>
      <c r="F15" s="529">
        <v>1150</v>
      </c>
      <c r="G15" s="622" t="s">
        <v>9064</v>
      </c>
      <c r="H15" s="433"/>
      <c r="I15" s="534" t="s">
        <v>8875</v>
      </c>
    </row>
    <row r="16" spans="1:9" s="306" customFormat="1">
      <c r="A16" s="622">
        <v>11</v>
      </c>
      <c r="B16" s="270" t="s">
        <v>1036</v>
      </c>
      <c r="C16" s="622" t="s">
        <v>8816</v>
      </c>
      <c r="D16" s="270" t="s">
        <v>364</v>
      </c>
      <c r="E16" s="270" t="s">
        <v>3901</v>
      </c>
      <c r="F16" s="529">
        <v>430</v>
      </c>
      <c r="G16" s="535" t="s">
        <v>312</v>
      </c>
      <c r="H16" s="433"/>
    </row>
    <row r="17" spans="1:9" s="431" customFormat="1">
      <c r="A17" s="622">
        <v>12</v>
      </c>
      <c r="B17" s="270" t="s">
        <v>1048</v>
      </c>
      <c r="C17" s="622" t="s">
        <v>8819</v>
      </c>
      <c r="D17" s="270" t="s">
        <v>1049</v>
      </c>
      <c r="E17" s="270" t="s">
        <v>1045</v>
      </c>
      <c r="F17" s="529">
        <v>1700</v>
      </c>
      <c r="G17" s="621" t="s">
        <v>228</v>
      </c>
      <c r="H17" s="622"/>
    </row>
    <row r="18" spans="1:9" s="431" customFormat="1">
      <c r="A18" s="622">
        <v>13</v>
      </c>
      <c r="B18" s="270" t="s">
        <v>1045</v>
      </c>
      <c r="C18" s="622" t="s">
        <v>8819</v>
      </c>
      <c r="D18" s="270" t="s">
        <v>3396</v>
      </c>
      <c r="E18" s="270" t="s">
        <v>3401</v>
      </c>
      <c r="F18" s="529">
        <f>2294+2800</f>
        <v>5094</v>
      </c>
      <c r="G18" s="621" t="s">
        <v>225</v>
      </c>
      <c r="H18" s="622"/>
    </row>
    <row r="19" spans="1:9" s="431" customFormat="1" ht="31.5">
      <c r="A19" s="622">
        <v>14</v>
      </c>
      <c r="B19" s="270" t="s">
        <v>472</v>
      </c>
      <c r="C19" s="622" t="s">
        <v>8820</v>
      </c>
      <c r="D19" s="270" t="s">
        <v>3557</v>
      </c>
      <c r="E19" s="270" t="s">
        <v>1075</v>
      </c>
      <c r="F19" s="529">
        <v>3650</v>
      </c>
      <c r="G19" s="622">
        <v>10</v>
      </c>
      <c r="H19" s="622"/>
    </row>
    <row r="20" spans="1:9" s="431" customFormat="1" ht="31.5">
      <c r="A20" s="622">
        <v>15</v>
      </c>
      <c r="B20" s="536" t="s">
        <v>3910</v>
      </c>
      <c r="C20" s="622" t="s">
        <v>8816</v>
      </c>
      <c r="D20" s="270" t="s">
        <v>3906</v>
      </c>
      <c r="E20" s="270" t="s">
        <v>422</v>
      </c>
      <c r="F20" s="529">
        <v>690</v>
      </c>
      <c r="G20" s="537" t="s">
        <v>3911</v>
      </c>
      <c r="H20" s="622"/>
    </row>
    <row r="21" spans="1:9" s="431" customFormat="1">
      <c r="A21" s="622">
        <v>16</v>
      </c>
      <c r="B21" s="270" t="s">
        <v>444</v>
      </c>
      <c r="C21" s="622" t="s">
        <v>8821</v>
      </c>
      <c r="D21" s="270" t="s">
        <v>3405</v>
      </c>
      <c r="E21" s="270" t="s">
        <v>597</v>
      </c>
      <c r="F21" s="529">
        <v>1420</v>
      </c>
      <c r="G21" s="622">
        <v>23</v>
      </c>
      <c r="H21" s="622"/>
    </row>
    <row r="22" spans="1:9" s="288" customFormat="1" ht="16.5">
      <c r="A22" s="622">
        <v>17</v>
      </c>
      <c r="B22" s="275" t="s">
        <v>436</v>
      </c>
      <c r="C22" s="422" t="s">
        <v>5101</v>
      </c>
      <c r="D22" s="276" t="s">
        <v>444</v>
      </c>
      <c r="E22" s="276" t="s">
        <v>3405</v>
      </c>
      <c r="F22" s="352">
        <v>347</v>
      </c>
      <c r="G22" s="287">
        <v>5.2</v>
      </c>
      <c r="H22" s="287"/>
    </row>
    <row r="23" spans="1:9" s="288" customFormat="1" ht="49.5">
      <c r="A23" s="622">
        <v>18</v>
      </c>
      <c r="B23" s="538" t="s">
        <v>3497</v>
      </c>
      <c r="C23" s="541" t="s">
        <v>8841</v>
      </c>
      <c r="D23" s="287" t="s">
        <v>3392</v>
      </c>
      <c r="E23" s="276" t="s">
        <v>3404</v>
      </c>
      <c r="F23" s="352">
        <v>980</v>
      </c>
      <c r="G23" s="287">
        <v>8.6</v>
      </c>
      <c r="H23" s="270"/>
      <c r="I23" s="288" t="s">
        <v>8875</v>
      </c>
    </row>
    <row r="24" spans="1:9" s="288" customFormat="1" ht="33">
      <c r="A24" s="622">
        <v>19</v>
      </c>
      <c r="B24" s="538" t="s">
        <v>3485</v>
      </c>
      <c r="C24" s="541" t="s">
        <v>8840</v>
      </c>
      <c r="D24" s="287" t="s">
        <v>9000</v>
      </c>
      <c r="E24" s="276" t="s">
        <v>3404</v>
      </c>
      <c r="F24" s="639">
        <v>1023</v>
      </c>
      <c r="G24" s="541">
        <v>26.6</v>
      </c>
      <c r="H24" s="270"/>
    </row>
    <row r="25" spans="1:9" s="288" customFormat="1" ht="33">
      <c r="A25" s="622">
        <v>20</v>
      </c>
      <c r="B25" s="275" t="s">
        <v>435</v>
      </c>
      <c r="C25" s="422" t="s">
        <v>5102</v>
      </c>
      <c r="D25" s="287" t="s">
        <v>4433</v>
      </c>
      <c r="E25" s="287" t="s">
        <v>3395</v>
      </c>
      <c r="F25" s="352">
        <v>522</v>
      </c>
      <c r="G25" s="287">
        <v>40.200000000000003</v>
      </c>
      <c r="H25" s="270"/>
    </row>
    <row r="26" spans="1:9" s="288" customFormat="1" ht="16.5">
      <c r="A26" s="622">
        <v>21</v>
      </c>
      <c r="B26" s="275" t="s">
        <v>434</v>
      </c>
      <c r="C26" s="422" t="s">
        <v>9053</v>
      </c>
      <c r="D26" s="287" t="s">
        <v>3395</v>
      </c>
      <c r="E26" s="287" t="s">
        <v>433</v>
      </c>
      <c r="F26" s="352">
        <v>745</v>
      </c>
      <c r="G26" s="287">
        <v>42.4</v>
      </c>
      <c r="H26" s="270"/>
    </row>
    <row r="27" spans="1:9" s="431" customFormat="1" ht="31.5">
      <c r="A27" s="622">
        <v>22</v>
      </c>
      <c r="B27" s="270" t="s">
        <v>3913</v>
      </c>
      <c r="C27" s="622" t="s">
        <v>8822</v>
      </c>
      <c r="D27" s="270" t="s">
        <v>597</v>
      </c>
      <c r="E27" s="270" t="s">
        <v>3916</v>
      </c>
      <c r="F27" s="529">
        <v>1440</v>
      </c>
      <c r="G27" s="621" t="s">
        <v>209</v>
      </c>
      <c r="H27" s="622"/>
    </row>
    <row r="28" spans="1:9" s="431" customFormat="1" ht="31.5">
      <c r="A28" s="622">
        <v>23</v>
      </c>
      <c r="B28" s="270" t="s">
        <v>3914</v>
      </c>
      <c r="C28" s="622" t="s">
        <v>8822</v>
      </c>
      <c r="D28" s="270" t="s">
        <v>597</v>
      </c>
      <c r="E28" s="270" t="s">
        <v>3915</v>
      </c>
      <c r="F28" s="529">
        <v>200</v>
      </c>
      <c r="G28" s="622">
        <v>8</v>
      </c>
      <c r="H28" s="433"/>
    </row>
    <row r="29" spans="1:9" s="431" customFormat="1" ht="75.75" customHeight="1">
      <c r="A29" s="622">
        <v>24</v>
      </c>
      <c r="B29" s="270" t="s">
        <v>969</v>
      </c>
      <c r="C29" s="622" t="s">
        <v>8823</v>
      </c>
      <c r="D29" s="270" t="s">
        <v>3373</v>
      </c>
      <c r="E29" s="270" t="s">
        <v>1100</v>
      </c>
      <c r="F29" s="529">
        <v>5500</v>
      </c>
      <c r="G29" s="622" t="s">
        <v>968</v>
      </c>
      <c r="H29" s="749" t="s">
        <v>9056</v>
      </c>
      <c r="I29" s="754" t="s">
        <v>9034</v>
      </c>
    </row>
    <row r="30" spans="1:9" s="431" customFormat="1" ht="59.25" customHeight="1">
      <c r="A30" s="622">
        <v>25</v>
      </c>
      <c r="B30" s="270" t="s">
        <v>1107</v>
      </c>
      <c r="C30" s="622" t="s">
        <v>8824</v>
      </c>
      <c r="D30" s="270" t="s">
        <v>1104</v>
      </c>
      <c r="E30" s="270" t="s">
        <v>1105</v>
      </c>
      <c r="F30" s="529">
        <v>1100</v>
      </c>
      <c r="G30" s="622"/>
      <c r="H30" s="749"/>
      <c r="I30" s="755"/>
    </row>
    <row r="31" spans="1:9" s="431" customFormat="1" ht="47.25">
      <c r="A31" s="622">
        <v>26</v>
      </c>
      <c r="B31" s="270" t="s">
        <v>3902</v>
      </c>
      <c r="C31" s="622" t="s">
        <v>8825</v>
      </c>
      <c r="D31" s="270" t="s">
        <v>3903</v>
      </c>
      <c r="E31" s="270" t="s">
        <v>1170</v>
      </c>
      <c r="F31" s="529">
        <v>2400</v>
      </c>
      <c r="G31" s="621" t="s">
        <v>3904</v>
      </c>
      <c r="H31" s="622"/>
    </row>
    <row r="32" spans="1:9" s="431" customFormat="1">
      <c r="A32" s="622">
        <v>27</v>
      </c>
      <c r="B32" s="270" t="s">
        <v>3907</v>
      </c>
      <c r="C32" s="622" t="s">
        <v>8817</v>
      </c>
      <c r="D32" s="270" t="s">
        <v>3908</v>
      </c>
      <c r="E32" s="270" t="s">
        <v>1083</v>
      </c>
      <c r="F32" s="529">
        <v>1060</v>
      </c>
      <c r="G32" s="621" t="s">
        <v>3909</v>
      </c>
      <c r="H32" s="622"/>
    </row>
    <row r="33" spans="1:8" s="431" customFormat="1">
      <c r="A33" s="622">
        <v>28</v>
      </c>
      <c r="B33" s="294" t="s">
        <v>408</v>
      </c>
      <c r="C33" s="627" t="s">
        <v>8826</v>
      </c>
      <c r="D33" s="294" t="s">
        <v>8827</v>
      </c>
      <c r="E33" s="294" t="s">
        <v>386</v>
      </c>
      <c r="F33" s="327">
        <v>256</v>
      </c>
      <c r="G33" s="627">
        <v>11.8</v>
      </c>
      <c r="H33" s="622"/>
    </row>
    <row r="34" spans="1:8" s="431" customFormat="1" ht="31.5">
      <c r="A34" s="622">
        <v>29</v>
      </c>
      <c r="B34" s="294" t="s">
        <v>421</v>
      </c>
      <c r="C34" s="622" t="s">
        <v>5575</v>
      </c>
      <c r="D34" s="294" t="s">
        <v>4408</v>
      </c>
      <c r="E34" s="294" t="s">
        <v>8828</v>
      </c>
      <c r="F34" s="327">
        <v>1880</v>
      </c>
      <c r="G34" s="627">
        <v>8.1</v>
      </c>
      <c r="H34" s="622"/>
    </row>
    <row r="35" spans="1:8" s="288" customFormat="1" ht="31.5">
      <c r="A35" s="622">
        <v>30</v>
      </c>
      <c r="B35" s="294" t="s">
        <v>1078</v>
      </c>
      <c r="C35" s="622" t="s">
        <v>8829</v>
      </c>
      <c r="D35" s="294" t="s">
        <v>3510</v>
      </c>
      <c r="E35" s="294" t="s">
        <v>422</v>
      </c>
      <c r="F35" s="327">
        <v>700</v>
      </c>
      <c r="G35" s="627">
        <v>2.8</v>
      </c>
      <c r="H35" s="270"/>
    </row>
    <row r="36" spans="1:8" s="288" customFormat="1" ht="31.5">
      <c r="A36" s="622">
        <v>31</v>
      </c>
      <c r="B36" s="294" t="s">
        <v>419</v>
      </c>
      <c r="C36" s="622" t="s">
        <v>8830</v>
      </c>
      <c r="D36" s="294" t="s">
        <v>368</v>
      </c>
      <c r="E36" s="294" t="s">
        <v>422</v>
      </c>
      <c r="F36" s="327">
        <v>1480</v>
      </c>
      <c r="G36" s="627">
        <v>7</v>
      </c>
      <c r="H36" s="270"/>
    </row>
    <row r="37" spans="1:8" s="288" customFormat="1" ht="16.5">
      <c r="A37" s="622">
        <v>32</v>
      </c>
      <c r="B37" s="294" t="s">
        <v>3205</v>
      </c>
      <c r="C37" s="627" t="s">
        <v>431</v>
      </c>
      <c r="D37" s="294" t="s">
        <v>8831</v>
      </c>
      <c r="E37" s="294" t="s">
        <v>8832</v>
      </c>
      <c r="F37" s="327">
        <v>631</v>
      </c>
      <c r="G37" s="627">
        <v>24</v>
      </c>
      <c r="H37" s="270"/>
    </row>
    <row r="38" spans="1:8" s="288" customFormat="1" ht="31.5">
      <c r="A38" s="622">
        <v>33</v>
      </c>
      <c r="B38" s="294" t="s">
        <v>3500</v>
      </c>
      <c r="C38" s="627" t="s">
        <v>431</v>
      </c>
      <c r="D38" s="294" t="s">
        <v>8831</v>
      </c>
      <c r="E38" s="294" t="s">
        <v>8833</v>
      </c>
      <c r="F38" s="327">
        <v>651</v>
      </c>
      <c r="G38" s="627">
        <v>28</v>
      </c>
      <c r="H38" s="270"/>
    </row>
    <row r="39" spans="1:8" s="288" customFormat="1" ht="16.5">
      <c r="A39" s="622">
        <v>34</v>
      </c>
      <c r="B39" s="294" t="s">
        <v>3501</v>
      </c>
      <c r="C39" s="627" t="s">
        <v>431</v>
      </c>
      <c r="D39" s="294" t="s">
        <v>8834</v>
      </c>
      <c r="E39" s="294" t="s">
        <v>8835</v>
      </c>
      <c r="F39" s="327">
        <v>312</v>
      </c>
      <c r="G39" s="627">
        <v>10.8</v>
      </c>
      <c r="H39" s="270"/>
    </row>
    <row r="40" spans="1:8" s="288" customFormat="1" ht="16.5">
      <c r="A40" s="622">
        <v>35</v>
      </c>
      <c r="B40" s="294" t="s">
        <v>3502</v>
      </c>
      <c r="C40" s="627" t="s">
        <v>431</v>
      </c>
      <c r="D40" s="294" t="s">
        <v>8835</v>
      </c>
      <c r="E40" s="294" t="s">
        <v>8832</v>
      </c>
      <c r="F40" s="327">
        <v>640</v>
      </c>
      <c r="G40" s="627">
        <v>8.8000000000000007</v>
      </c>
      <c r="H40" s="270"/>
    </row>
    <row r="41" spans="1:8" s="524" customFormat="1" ht="16.5">
      <c r="A41" s="622">
        <v>36</v>
      </c>
      <c r="B41" s="294" t="s">
        <v>3206</v>
      </c>
      <c r="C41" s="627" t="s">
        <v>8836</v>
      </c>
      <c r="D41" s="294" t="s">
        <v>8837</v>
      </c>
      <c r="E41" s="294" t="s">
        <v>439</v>
      </c>
      <c r="F41" s="327">
        <v>185</v>
      </c>
      <c r="G41" s="627">
        <v>3.5</v>
      </c>
      <c r="H41" s="270"/>
    </row>
    <row r="42" spans="1:8" s="524" customFormat="1" ht="16.5">
      <c r="A42" s="622">
        <v>37</v>
      </c>
      <c r="B42" s="294" t="s">
        <v>3504</v>
      </c>
      <c r="C42" s="627" t="s">
        <v>431</v>
      </c>
      <c r="D42" s="294" t="s">
        <v>4435</v>
      </c>
      <c r="E42" s="294" t="s">
        <v>439</v>
      </c>
      <c r="F42" s="327">
        <v>410</v>
      </c>
      <c r="G42" s="627">
        <v>6.9</v>
      </c>
      <c r="H42" s="270"/>
    </row>
    <row r="43" spans="1:8" s="524" customFormat="1" ht="31.5" customHeight="1">
      <c r="A43" s="622">
        <v>38</v>
      </c>
      <c r="B43" s="294" t="s">
        <v>3207</v>
      </c>
      <c r="C43" s="627" t="s">
        <v>8836</v>
      </c>
      <c r="D43" s="294" t="s">
        <v>8838</v>
      </c>
      <c r="E43" s="294" t="s">
        <v>3387</v>
      </c>
      <c r="F43" s="327">
        <v>445</v>
      </c>
      <c r="G43" s="627">
        <v>22.3</v>
      </c>
      <c r="H43" s="270"/>
    </row>
    <row r="44" spans="1:8" s="496" customFormat="1" ht="31.5">
      <c r="A44" s="622">
        <v>39</v>
      </c>
      <c r="B44" s="294" t="s">
        <v>3486</v>
      </c>
      <c r="C44" s="627" t="s">
        <v>8836</v>
      </c>
      <c r="D44" s="294" t="s">
        <v>3387</v>
      </c>
      <c r="E44" s="294" t="s">
        <v>8839</v>
      </c>
      <c r="F44" s="327">
        <v>585</v>
      </c>
      <c r="G44" s="627">
        <v>33.200000000000003</v>
      </c>
      <c r="H44" s="434"/>
    </row>
    <row r="45" spans="1:8" s="496" customFormat="1" ht="36.75" customHeight="1">
      <c r="A45" s="622">
        <v>40</v>
      </c>
      <c r="B45" s="294" t="s">
        <v>3487</v>
      </c>
      <c r="C45" s="627" t="s">
        <v>8836</v>
      </c>
      <c r="D45" s="294" t="s">
        <v>3382</v>
      </c>
      <c r="E45" s="294" t="s">
        <v>4436</v>
      </c>
      <c r="F45" s="330">
        <v>512</v>
      </c>
      <c r="G45" s="627">
        <v>30.4</v>
      </c>
      <c r="H45" s="434"/>
    </row>
    <row r="46" spans="1:8" s="524" customFormat="1" ht="31.5">
      <c r="A46" s="622">
        <v>41</v>
      </c>
      <c r="B46" s="294" t="s">
        <v>3488</v>
      </c>
      <c r="C46" s="627" t="s">
        <v>8836</v>
      </c>
      <c r="D46" s="294" t="s">
        <v>4436</v>
      </c>
      <c r="E46" s="294" t="s">
        <v>3408</v>
      </c>
      <c r="F46" s="330">
        <v>320</v>
      </c>
      <c r="G46" s="627">
        <v>34.9</v>
      </c>
      <c r="H46" s="270"/>
    </row>
    <row r="47" spans="1:8" s="288" customFormat="1" ht="31.5">
      <c r="A47" s="622">
        <v>42</v>
      </c>
      <c r="B47" s="294" t="s">
        <v>353</v>
      </c>
      <c r="C47" s="627" t="s">
        <v>8836</v>
      </c>
      <c r="D47" s="294" t="s">
        <v>3389</v>
      </c>
      <c r="E47" s="294" t="s">
        <v>433</v>
      </c>
      <c r="F47" s="327">
        <v>250</v>
      </c>
      <c r="G47" s="627">
        <v>2</v>
      </c>
      <c r="H47" s="270"/>
    </row>
    <row r="48" spans="1:8" s="288" customFormat="1" ht="31.5">
      <c r="A48" s="622">
        <v>43</v>
      </c>
      <c r="B48" s="294" t="s">
        <v>447</v>
      </c>
      <c r="C48" s="627" t="s">
        <v>8842</v>
      </c>
      <c r="D48" s="294" t="s">
        <v>4526</v>
      </c>
      <c r="E48" s="294" t="s">
        <v>3409</v>
      </c>
      <c r="F48" s="327">
        <v>350</v>
      </c>
      <c r="G48" s="627">
        <v>6.6</v>
      </c>
      <c r="H48" s="270"/>
    </row>
    <row r="49" spans="1:8" s="288" customFormat="1" ht="31.5">
      <c r="A49" s="622">
        <v>44</v>
      </c>
      <c r="B49" s="294" t="s">
        <v>448</v>
      </c>
      <c r="C49" s="627" t="s">
        <v>8842</v>
      </c>
      <c r="D49" s="294" t="s">
        <v>4527</v>
      </c>
      <c r="E49" s="294" t="s">
        <v>447</v>
      </c>
      <c r="F49" s="327">
        <v>660</v>
      </c>
      <c r="G49" s="627">
        <v>4.5</v>
      </c>
      <c r="H49" s="270"/>
    </row>
    <row r="50" spans="1:8" s="288" customFormat="1" ht="16.5">
      <c r="A50" s="622">
        <v>45</v>
      </c>
      <c r="B50" s="294" t="s">
        <v>266</v>
      </c>
      <c r="C50" s="627" t="s">
        <v>8843</v>
      </c>
      <c r="D50" s="294" t="s">
        <v>452</v>
      </c>
      <c r="E50" s="294" t="s">
        <v>597</v>
      </c>
      <c r="F50" s="327">
        <v>670</v>
      </c>
      <c r="G50" s="627">
        <v>17.5</v>
      </c>
      <c r="H50" s="270"/>
    </row>
    <row r="51" spans="1:8" s="288" customFormat="1" ht="31.5">
      <c r="A51" s="622">
        <v>46</v>
      </c>
      <c r="B51" s="294" t="s">
        <v>267</v>
      </c>
      <c r="C51" s="627" t="s">
        <v>8844</v>
      </c>
      <c r="D51" s="294" t="s">
        <v>3561</v>
      </c>
      <c r="E51" s="294" t="s">
        <v>4529</v>
      </c>
      <c r="F51" s="327">
        <v>1220</v>
      </c>
      <c r="G51" s="627">
        <v>3</v>
      </c>
      <c r="H51" s="270"/>
    </row>
    <row r="52" spans="1:8" s="288" customFormat="1" ht="16.5">
      <c r="A52" s="622">
        <v>47</v>
      </c>
      <c r="B52" s="294" t="s">
        <v>268</v>
      </c>
      <c r="C52" s="627" t="s">
        <v>8844</v>
      </c>
      <c r="D52" s="294" t="s">
        <v>4530</v>
      </c>
      <c r="E52" s="294" t="s">
        <v>597</v>
      </c>
      <c r="F52" s="327">
        <v>370</v>
      </c>
      <c r="G52" s="627">
        <v>13.6</v>
      </c>
      <c r="H52" s="270"/>
    </row>
    <row r="53" spans="1:8" s="288" customFormat="1" ht="16.5">
      <c r="A53" s="622">
        <v>48</v>
      </c>
      <c r="B53" s="294" t="s">
        <v>454</v>
      </c>
      <c r="C53" s="627" t="s">
        <v>8845</v>
      </c>
      <c r="D53" s="294" t="s">
        <v>269</v>
      </c>
      <c r="E53" s="294" t="s">
        <v>453</v>
      </c>
      <c r="F53" s="327">
        <v>390</v>
      </c>
      <c r="G53" s="627">
        <v>2.4</v>
      </c>
      <c r="H53" s="270"/>
    </row>
    <row r="54" spans="1:8" s="524" customFormat="1" ht="31.5">
      <c r="A54" s="622">
        <v>49</v>
      </c>
      <c r="B54" s="294" t="s">
        <v>270</v>
      </c>
      <c r="C54" s="627" t="s">
        <v>8843</v>
      </c>
      <c r="D54" s="294" t="s">
        <v>3564</v>
      </c>
      <c r="E54" s="294" t="s">
        <v>597</v>
      </c>
      <c r="F54" s="327">
        <v>481</v>
      </c>
      <c r="G54" s="627">
        <v>6.8</v>
      </c>
      <c r="H54" s="270"/>
    </row>
    <row r="55" spans="1:8" s="289" customFormat="1" ht="31.5">
      <c r="A55" s="622">
        <v>50</v>
      </c>
      <c r="B55" s="294" t="s">
        <v>450</v>
      </c>
      <c r="C55" s="627" t="s">
        <v>8842</v>
      </c>
      <c r="D55" s="294" t="s">
        <v>275</v>
      </c>
      <c r="E55" s="294" t="s">
        <v>597</v>
      </c>
      <c r="F55" s="327">
        <v>846</v>
      </c>
      <c r="G55" s="627">
        <v>6</v>
      </c>
      <c r="H55" s="434"/>
    </row>
    <row r="56" spans="1:8" s="289" customFormat="1" ht="16.5">
      <c r="A56" s="622">
        <v>51</v>
      </c>
      <c r="B56" s="294" t="s">
        <v>463</v>
      </c>
      <c r="C56" s="627" t="s">
        <v>8843</v>
      </c>
      <c r="D56" s="294" t="s">
        <v>3569</v>
      </c>
      <c r="E56" s="294" t="s">
        <v>597</v>
      </c>
      <c r="F56" s="327">
        <v>360</v>
      </c>
      <c r="G56" s="627">
        <v>11</v>
      </c>
      <c r="H56" s="434"/>
    </row>
    <row r="57" spans="1:8" s="289" customFormat="1" ht="16.5">
      <c r="A57" s="622">
        <v>52</v>
      </c>
      <c r="B57" s="294" t="s">
        <v>4367</v>
      </c>
      <c r="C57" s="627" t="s">
        <v>8846</v>
      </c>
      <c r="D57" s="294" t="s">
        <v>621</v>
      </c>
      <c r="E57" s="294" t="s">
        <v>606</v>
      </c>
      <c r="F57" s="327">
        <v>2398</v>
      </c>
      <c r="G57" s="627" t="s">
        <v>1033</v>
      </c>
      <c r="H57" s="434"/>
    </row>
    <row r="58" spans="1:8" s="289" customFormat="1" ht="16.5">
      <c r="A58" s="622">
        <v>53</v>
      </c>
      <c r="B58" s="294" t="s">
        <v>4335</v>
      </c>
      <c r="C58" s="627" t="s">
        <v>8846</v>
      </c>
      <c r="D58" s="294" t="s">
        <v>621</v>
      </c>
      <c r="E58" s="294" t="s">
        <v>606</v>
      </c>
      <c r="F58" s="327">
        <v>1448</v>
      </c>
      <c r="G58" s="627" t="s">
        <v>219</v>
      </c>
      <c r="H58" s="434"/>
    </row>
    <row r="59" spans="1:8" s="289" customFormat="1" ht="16.5">
      <c r="A59" s="622">
        <v>54</v>
      </c>
      <c r="B59" s="294" t="s">
        <v>599</v>
      </c>
      <c r="C59" s="627" t="s">
        <v>8847</v>
      </c>
      <c r="D59" s="294" t="s">
        <v>1028</v>
      </c>
      <c r="E59" s="294" t="s">
        <v>461</v>
      </c>
      <c r="F59" s="327">
        <v>1407</v>
      </c>
      <c r="G59" s="627" t="s">
        <v>1027</v>
      </c>
      <c r="H59" s="434"/>
    </row>
    <row r="60" spans="1:8" s="431" customFormat="1">
      <c r="A60" s="622">
        <v>55</v>
      </c>
      <c r="B60" s="294" t="s">
        <v>612</v>
      </c>
      <c r="C60" s="627" t="s">
        <v>8848</v>
      </c>
      <c r="D60" s="294" t="s">
        <v>621</v>
      </c>
      <c r="E60" s="294" t="s">
        <v>433</v>
      </c>
      <c r="F60" s="327">
        <v>404.7</v>
      </c>
      <c r="G60" s="627" t="s">
        <v>1021</v>
      </c>
      <c r="H60" s="375"/>
    </row>
    <row r="61" spans="1:8" s="431" customFormat="1">
      <c r="A61" s="622">
        <v>56</v>
      </c>
      <c r="B61" s="294" t="s">
        <v>614</v>
      </c>
      <c r="C61" s="627" t="s">
        <v>8849</v>
      </c>
      <c r="D61" s="294" t="s">
        <v>387</v>
      </c>
      <c r="E61" s="294" t="s">
        <v>433</v>
      </c>
      <c r="F61" s="327">
        <v>1237.5999999999999</v>
      </c>
      <c r="G61" s="627" t="s">
        <v>222</v>
      </c>
      <c r="H61" s="375"/>
    </row>
    <row r="62" spans="1:8" s="431" customFormat="1">
      <c r="A62" s="622">
        <v>57</v>
      </c>
      <c r="B62" s="294" t="s">
        <v>600</v>
      </c>
      <c r="C62" s="627" t="s">
        <v>8849</v>
      </c>
      <c r="D62" s="294" t="s">
        <v>1011</v>
      </c>
      <c r="E62" s="294" t="s">
        <v>433</v>
      </c>
      <c r="F62" s="327">
        <v>2500</v>
      </c>
      <c r="G62" s="627" t="s">
        <v>1016</v>
      </c>
      <c r="H62" s="270"/>
    </row>
    <row r="63" spans="1:8" s="431" customFormat="1">
      <c r="A63" s="622">
        <v>58</v>
      </c>
      <c r="B63" s="294" t="s">
        <v>610</v>
      </c>
      <c r="C63" s="627" t="s">
        <v>8848</v>
      </c>
      <c r="D63" s="294" t="s">
        <v>621</v>
      </c>
      <c r="E63" s="294" t="s">
        <v>1015</v>
      </c>
      <c r="F63" s="327">
        <v>890</v>
      </c>
      <c r="G63" s="627" t="s">
        <v>213</v>
      </c>
      <c r="H63" s="270"/>
    </row>
    <row r="64" spans="1:8" s="431" customFormat="1">
      <c r="A64" s="622">
        <v>59</v>
      </c>
      <c r="B64" s="294" t="s">
        <v>1012</v>
      </c>
      <c r="C64" s="627" t="s">
        <v>8848</v>
      </c>
      <c r="D64" s="294" t="s">
        <v>597</v>
      </c>
      <c r="E64" s="294" t="s">
        <v>1011</v>
      </c>
      <c r="F64" s="327">
        <v>1000</v>
      </c>
      <c r="G64" s="627" t="s">
        <v>226</v>
      </c>
      <c r="H64" s="270"/>
    </row>
    <row r="65" spans="1:8" s="431" customFormat="1">
      <c r="A65" s="622">
        <v>60</v>
      </c>
      <c r="B65" s="294" t="s">
        <v>595</v>
      </c>
      <c r="C65" s="627" t="s">
        <v>8848</v>
      </c>
      <c r="D65" s="294" t="s">
        <v>591</v>
      </c>
      <c r="E65" s="294" t="s">
        <v>461</v>
      </c>
      <c r="F65" s="327">
        <v>1135</v>
      </c>
      <c r="G65" s="627" t="s">
        <v>1008</v>
      </c>
      <c r="H65" s="270"/>
    </row>
    <row r="66" spans="1:8" s="431" customFormat="1">
      <c r="A66" s="622">
        <v>61</v>
      </c>
      <c r="B66" s="294" t="s">
        <v>596</v>
      </c>
      <c r="C66" s="627" t="s">
        <v>8848</v>
      </c>
      <c r="D66" s="294" t="s">
        <v>387</v>
      </c>
      <c r="E66" s="294" t="s">
        <v>595</v>
      </c>
      <c r="F66" s="327">
        <v>1907.5</v>
      </c>
      <c r="G66" s="627" t="s">
        <v>1007</v>
      </c>
      <c r="H66" s="270"/>
    </row>
    <row r="67" spans="1:8" s="431" customFormat="1">
      <c r="A67" s="622">
        <v>62</v>
      </c>
      <c r="B67" s="294" t="s">
        <v>994</v>
      </c>
      <c r="C67" s="627" t="s">
        <v>8848</v>
      </c>
      <c r="D67" s="294" t="s">
        <v>595</v>
      </c>
      <c r="E67" s="294" t="s">
        <v>433</v>
      </c>
      <c r="F67" s="327">
        <v>2397.5</v>
      </c>
      <c r="G67" s="627" t="s">
        <v>999</v>
      </c>
      <c r="H67" s="270"/>
    </row>
    <row r="68" spans="1:8" s="431" customFormat="1">
      <c r="A68" s="622">
        <v>63</v>
      </c>
      <c r="B68" s="294" t="s">
        <v>588</v>
      </c>
      <c r="C68" s="627" t="s">
        <v>8848</v>
      </c>
      <c r="D68" s="294" t="s">
        <v>998</v>
      </c>
      <c r="E68" s="294" t="s">
        <v>433</v>
      </c>
      <c r="F68" s="327">
        <v>634.4</v>
      </c>
      <c r="G68" s="627" t="s">
        <v>997</v>
      </c>
      <c r="H68" s="270"/>
    </row>
    <row r="69" spans="1:8" s="431" customFormat="1">
      <c r="A69" s="622">
        <v>64</v>
      </c>
      <c r="B69" s="294" t="s">
        <v>594</v>
      </c>
      <c r="C69" s="627" t="s">
        <v>8848</v>
      </c>
      <c r="D69" s="294" t="s">
        <v>2522</v>
      </c>
      <c r="E69" s="294" t="s">
        <v>461</v>
      </c>
      <c r="F69" s="649">
        <v>1215.4000000000001</v>
      </c>
      <c r="G69" s="311" t="s">
        <v>995</v>
      </c>
      <c r="H69" s="270"/>
    </row>
    <row r="70" spans="1:8" s="431" customFormat="1">
      <c r="A70" s="622">
        <v>65</v>
      </c>
      <c r="B70" s="294" t="s">
        <v>993</v>
      </c>
      <c r="C70" s="627" t="s">
        <v>8848</v>
      </c>
      <c r="D70" s="294" t="s">
        <v>976</v>
      </c>
      <c r="E70" s="294" t="s">
        <v>2512</v>
      </c>
      <c r="F70" s="327">
        <v>650</v>
      </c>
      <c r="G70" s="627" t="s">
        <v>312</v>
      </c>
      <c r="H70" s="270"/>
    </row>
    <row r="71" spans="1:8" s="431" customFormat="1">
      <c r="A71" s="622">
        <v>66</v>
      </c>
      <c r="B71" s="294" t="s">
        <v>4371</v>
      </c>
      <c r="C71" s="627" t="s">
        <v>8848</v>
      </c>
      <c r="D71" s="294" t="s">
        <v>4372</v>
      </c>
      <c r="E71" s="294" t="s">
        <v>594</v>
      </c>
      <c r="F71" s="327">
        <v>950</v>
      </c>
      <c r="G71" s="336" t="s">
        <v>989</v>
      </c>
      <c r="H71" s="270"/>
    </row>
    <row r="72" spans="1:8" s="431" customFormat="1">
      <c r="A72" s="622">
        <v>67</v>
      </c>
      <c r="B72" s="294" t="s">
        <v>4373</v>
      </c>
      <c r="C72" s="627" t="s">
        <v>8848</v>
      </c>
      <c r="D72" s="294" t="s">
        <v>4374</v>
      </c>
      <c r="E72" s="294" t="s">
        <v>433</v>
      </c>
      <c r="F72" s="327">
        <v>1050</v>
      </c>
      <c r="G72" s="336" t="s">
        <v>989</v>
      </c>
      <c r="H72" s="270"/>
    </row>
    <row r="73" spans="1:8" s="431" customFormat="1">
      <c r="A73" s="622">
        <v>68</v>
      </c>
      <c r="B73" s="294" t="s">
        <v>598</v>
      </c>
      <c r="C73" s="627" t="s">
        <v>8846</v>
      </c>
      <c r="D73" s="294" t="s">
        <v>387</v>
      </c>
      <c r="E73" s="294" t="s">
        <v>597</v>
      </c>
      <c r="F73" s="327">
        <v>485</v>
      </c>
      <c r="G73" s="627" t="s">
        <v>975</v>
      </c>
      <c r="H73" s="270"/>
    </row>
    <row r="74" spans="1:8" s="431" customFormat="1">
      <c r="A74" s="622">
        <v>69</v>
      </c>
      <c r="B74" s="294" t="s">
        <v>4380</v>
      </c>
      <c r="C74" s="627" t="s">
        <v>8850</v>
      </c>
      <c r="D74" s="294" t="s">
        <v>4381</v>
      </c>
      <c r="E74" s="294" t="s">
        <v>4382</v>
      </c>
      <c r="F74" s="327">
        <v>264</v>
      </c>
      <c r="G74" s="436" t="s">
        <v>189</v>
      </c>
      <c r="H74" s="270"/>
    </row>
    <row r="75" spans="1:8" s="431" customFormat="1">
      <c r="A75" s="622">
        <v>70</v>
      </c>
      <c r="B75" s="294" t="s">
        <v>4383</v>
      </c>
      <c r="C75" s="627" t="s">
        <v>8850</v>
      </c>
      <c r="D75" s="294" t="s">
        <v>4384</v>
      </c>
      <c r="E75" s="294" t="s">
        <v>4385</v>
      </c>
      <c r="F75" s="327">
        <v>296</v>
      </c>
      <c r="G75" s="436" t="s">
        <v>189</v>
      </c>
      <c r="H75" s="270"/>
    </row>
    <row r="76" spans="1:8" s="431" customFormat="1" ht="31.5">
      <c r="A76" s="622">
        <v>71</v>
      </c>
      <c r="B76" s="294" t="s">
        <v>973</v>
      </c>
      <c r="C76" s="627" t="s">
        <v>8851</v>
      </c>
      <c r="D76" s="294" t="s">
        <v>959</v>
      </c>
      <c r="E76" s="294" t="s">
        <v>597</v>
      </c>
      <c r="F76" s="327">
        <v>2270</v>
      </c>
      <c r="G76" s="627" t="s">
        <v>204</v>
      </c>
      <c r="H76" s="270"/>
    </row>
    <row r="77" spans="1:8" s="431" customFormat="1">
      <c r="A77" s="622">
        <v>72</v>
      </c>
      <c r="B77" s="294" t="s">
        <v>4386</v>
      </c>
      <c r="C77" s="627" t="s">
        <v>8848</v>
      </c>
      <c r="D77" s="294" t="s">
        <v>4387</v>
      </c>
      <c r="E77" s="294" t="s">
        <v>461</v>
      </c>
      <c r="F77" s="327">
        <v>1390</v>
      </c>
      <c r="G77" s="592" t="s">
        <v>4388</v>
      </c>
      <c r="H77" s="270"/>
    </row>
    <row r="78" spans="1:8" s="431" customFormat="1">
      <c r="A78" s="622">
        <v>73</v>
      </c>
      <c r="B78" s="294" t="s">
        <v>2527</v>
      </c>
      <c r="C78" s="627" t="s">
        <v>8846</v>
      </c>
      <c r="D78" s="294" t="s">
        <v>387</v>
      </c>
      <c r="E78" s="294" t="s">
        <v>597</v>
      </c>
      <c r="F78" s="327">
        <v>481</v>
      </c>
      <c r="G78" s="336" t="s">
        <v>179</v>
      </c>
      <c r="H78" s="270"/>
    </row>
    <row r="79" spans="1:8" s="431" customFormat="1">
      <c r="A79" s="622">
        <v>74</v>
      </c>
      <c r="B79" s="294" t="s">
        <v>2514</v>
      </c>
      <c r="C79" s="627" t="s">
        <v>8848</v>
      </c>
      <c r="D79" s="294" t="s">
        <v>976</v>
      </c>
      <c r="E79" s="294" t="s">
        <v>4389</v>
      </c>
      <c r="F79" s="327">
        <v>485</v>
      </c>
      <c r="G79" s="336" t="s">
        <v>1005</v>
      </c>
      <c r="H79" s="270"/>
    </row>
    <row r="80" spans="1:8" s="431" customFormat="1">
      <c r="A80" s="622">
        <v>75</v>
      </c>
      <c r="B80" s="294" t="s">
        <v>4395</v>
      </c>
      <c r="C80" s="627" t="s">
        <v>8850</v>
      </c>
      <c r="D80" s="294" t="s">
        <v>4396</v>
      </c>
      <c r="E80" s="294" t="s">
        <v>597</v>
      </c>
      <c r="F80" s="327">
        <v>107</v>
      </c>
      <c r="G80" s="627">
        <v>8</v>
      </c>
      <c r="H80" s="270"/>
    </row>
    <row r="81" spans="1:8" s="431" customFormat="1">
      <c r="A81" s="622">
        <v>76</v>
      </c>
      <c r="B81" s="294" t="s">
        <v>250</v>
      </c>
      <c r="C81" s="627" t="s">
        <v>8852</v>
      </c>
      <c r="D81" s="294" t="s">
        <v>3576</v>
      </c>
      <c r="E81" s="294" t="s">
        <v>251</v>
      </c>
      <c r="F81" s="327">
        <v>4950</v>
      </c>
      <c r="G81" s="627"/>
      <c r="H81" s="270"/>
    </row>
    <row r="82" spans="1:8" s="431" customFormat="1">
      <c r="A82" s="622">
        <v>77</v>
      </c>
      <c r="B82" s="294" t="s">
        <v>3703</v>
      </c>
      <c r="C82" s="627" t="s">
        <v>5554</v>
      </c>
      <c r="D82" s="294" t="s">
        <v>3601</v>
      </c>
      <c r="E82" s="294" t="s">
        <v>3595</v>
      </c>
      <c r="F82" s="327">
        <v>263</v>
      </c>
      <c r="G82" s="627" t="s">
        <v>183</v>
      </c>
      <c r="H82" s="270"/>
    </row>
    <row r="83" spans="1:8" s="431" customFormat="1">
      <c r="A83" s="622">
        <v>78</v>
      </c>
      <c r="B83" s="294" t="s">
        <v>3704</v>
      </c>
      <c r="C83" s="627" t="s">
        <v>632</v>
      </c>
      <c r="D83" s="294" t="s">
        <v>287</v>
      </c>
      <c r="E83" s="294" t="s">
        <v>3414</v>
      </c>
      <c r="F83" s="327">
        <v>1240</v>
      </c>
      <c r="G83" s="336" t="s">
        <v>9063</v>
      </c>
      <c r="H83" s="270"/>
    </row>
    <row r="84" spans="1:8" s="431" customFormat="1">
      <c r="A84" s="622">
        <v>79</v>
      </c>
      <c r="B84" s="294" t="s">
        <v>3414</v>
      </c>
      <c r="C84" s="627" t="s">
        <v>8853</v>
      </c>
      <c r="D84" s="294" t="s">
        <v>960</v>
      </c>
      <c r="E84" s="294" t="s">
        <v>1115</v>
      </c>
      <c r="F84" s="327">
        <v>6700</v>
      </c>
      <c r="G84" s="336" t="s">
        <v>182</v>
      </c>
      <c r="H84" s="270"/>
    </row>
    <row r="85" spans="1:8" s="431" customFormat="1">
      <c r="A85" s="622">
        <v>80</v>
      </c>
      <c r="B85" s="294" t="s">
        <v>3705</v>
      </c>
      <c r="C85" s="627" t="s">
        <v>8853</v>
      </c>
      <c r="D85" s="294" t="s">
        <v>3602</v>
      </c>
      <c r="E85" s="294" t="s">
        <v>626</v>
      </c>
      <c r="F85" s="327">
        <v>2500</v>
      </c>
      <c r="G85" s="336" t="s">
        <v>210</v>
      </c>
      <c r="H85" s="270"/>
    </row>
    <row r="86" spans="1:8" s="431" customFormat="1" ht="31.5">
      <c r="A86" s="622">
        <v>81</v>
      </c>
      <c r="B86" s="294" t="s">
        <v>4538</v>
      </c>
      <c r="C86" s="627" t="s">
        <v>9051</v>
      </c>
      <c r="D86" s="294" t="s">
        <v>287</v>
      </c>
      <c r="E86" s="294" t="s">
        <v>3415</v>
      </c>
      <c r="F86" s="327">
        <v>172</v>
      </c>
      <c r="G86" s="627" t="s">
        <v>186</v>
      </c>
      <c r="H86" s="270"/>
    </row>
    <row r="87" spans="1:8" s="431" customFormat="1" ht="31.5">
      <c r="A87" s="622">
        <v>82</v>
      </c>
      <c r="B87" s="294" t="s">
        <v>4539</v>
      </c>
      <c r="C87" s="627" t="s">
        <v>5540</v>
      </c>
      <c r="D87" s="294" t="s">
        <v>4540</v>
      </c>
      <c r="E87" s="294" t="s">
        <v>4541</v>
      </c>
      <c r="F87" s="327">
        <v>142</v>
      </c>
      <c r="G87" s="336" t="s">
        <v>210</v>
      </c>
      <c r="H87" s="270"/>
    </row>
    <row r="88" spans="1:8" s="431" customFormat="1">
      <c r="A88" s="622">
        <v>83</v>
      </c>
      <c r="B88" s="294" t="s">
        <v>4542</v>
      </c>
      <c r="C88" s="627" t="s">
        <v>632</v>
      </c>
      <c r="D88" s="294" t="s">
        <v>287</v>
      </c>
      <c r="E88" s="294" t="s">
        <v>4543</v>
      </c>
      <c r="F88" s="327">
        <v>268</v>
      </c>
      <c r="G88" s="336" t="s">
        <v>210</v>
      </c>
      <c r="H88" s="270"/>
    </row>
    <row r="89" spans="1:8" s="431" customFormat="1">
      <c r="A89" s="622">
        <v>84</v>
      </c>
      <c r="B89" s="294" t="s">
        <v>4554</v>
      </c>
      <c r="C89" s="627" t="s">
        <v>632</v>
      </c>
      <c r="D89" s="294" t="s">
        <v>4555</v>
      </c>
      <c r="E89" s="294" t="s">
        <v>3414</v>
      </c>
      <c r="F89" s="327">
        <v>150</v>
      </c>
      <c r="G89" s="592" t="s">
        <v>964</v>
      </c>
      <c r="H89" s="270"/>
    </row>
    <row r="90" spans="1:8" s="431" customFormat="1" ht="31.5">
      <c r="A90" s="622">
        <v>85</v>
      </c>
      <c r="B90" s="294" t="s">
        <v>4242</v>
      </c>
      <c r="C90" s="627" t="s">
        <v>8854</v>
      </c>
      <c r="D90" s="294" t="s">
        <v>8855</v>
      </c>
      <c r="E90" s="294" t="s">
        <v>649</v>
      </c>
      <c r="F90" s="327">
        <v>910</v>
      </c>
      <c r="G90" s="627" t="s">
        <v>206</v>
      </c>
      <c r="H90" s="270"/>
    </row>
    <row r="91" spans="1:8" s="431" customFormat="1">
      <c r="A91" s="622">
        <v>86</v>
      </c>
      <c r="B91" s="294" t="s">
        <v>240</v>
      </c>
      <c r="C91" s="627" t="s">
        <v>243</v>
      </c>
      <c r="D91" s="294" t="s">
        <v>245</v>
      </c>
      <c r="E91" s="294" t="s">
        <v>244</v>
      </c>
      <c r="F91" s="327">
        <v>3800</v>
      </c>
      <c r="G91" s="627"/>
      <c r="H91" s="270"/>
    </row>
    <row r="92" spans="1:8" s="431" customFormat="1">
      <c r="A92" s="622">
        <v>87</v>
      </c>
      <c r="B92" s="294" t="s">
        <v>29</v>
      </c>
      <c r="C92" s="627" t="s">
        <v>8856</v>
      </c>
      <c r="D92" s="294" t="s">
        <v>17</v>
      </c>
      <c r="E92" s="294" t="s">
        <v>3598</v>
      </c>
      <c r="F92" s="327">
        <v>5032</v>
      </c>
      <c r="G92" s="627" t="s">
        <v>219</v>
      </c>
      <c r="H92" s="270"/>
    </row>
    <row r="93" spans="1:8" s="431" customFormat="1" ht="31.5">
      <c r="A93" s="622">
        <v>88</v>
      </c>
      <c r="B93" s="294" t="s">
        <v>9030</v>
      </c>
      <c r="C93" s="627" t="s">
        <v>8856</v>
      </c>
      <c r="D93" s="294" t="s">
        <v>3364</v>
      </c>
      <c r="E93" s="294" t="s">
        <v>29</v>
      </c>
      <c r="F93" s="327">
        <v>1025</v>
      </c>
      <c r="G93" s="627" t="s">
        <v>220</v>
      </c>
      <c r="H93" s="270"/>
    </row>
    <row r="94" spans="1:8" s="431" customFormat="1">
      <c r="A94" s="622">
        <v>89</v>
      </c>
      <c r="B94" s="294" t="s">
        <v>30</v>
      </c>
      <c r="C94" s="627" t="s">
        <v>8857</v>
      </c>
      <c r="D94" s="294" t="s">
        <v>31</v>
      </c>
      <c r="E94" s="294" t="s">
        <v>32</v>
      </c>
      <c r="F94" s="327">
        <v>500</v>
      </c>
      <c r="G94" s="627" t="s">
        <v>33</v>
      </c>
      <c r="H94" s="270"/>
    </row>
    <row r="95" spans="1:8" s="431" customFormat="1">
      <c r="A95" s="622">
        <v>90</v>
      </c>
      <c r="B95" s="294" t="s">
        <v>40</v>
      </c>
      <c r="C95" s="627" t="s">
        <v>8857</v>
      </c>
      <c r="D95" s="294" t="s">
        <v>41</v>
      </c>
      <c r="E95" s="294" t="s">
        <v>232</v>
      </c>
      <c r="F95" s="327">
        <v>500</v>
      </c>
      <c r="G95" s="627" t="s">
        <v>42</v>
      </c>
      <c r="H95" s="270"/>
    </row>
    <row r="96" spans="1:8" s="431" customFormat="1">
      <c r="A96" s="622">
        <v>91</v>
      </c>
      <c r="B96" s="294" t="s">
        <v>3711</v>
      </c>
      <c r="C96" s="627" t="s">
        <v>8857</v>
      </c>
      <c r="D96" s="294" t="s">
        <v>3362</v>
      </c>
      <c r="E96" s="294" t="s">
        <v>47</v>
      </c>
      <c r="F96" s="327">
        <v>300</v>
      </c>
      <c r="G96" s="627" t="s">
        <v>222</v>
      </c>
      <c r="H96" s="270"/>
    </row>
    <row r="97" spans="1:9" s="431" customFormat="1">
      <c r="A97" s="622">
        <v>92</v>
      </c>
      <c r="B97" s="294" t="s">
        <v>70</v>
      </c>
      <c r="C97" s="627" t="s">
        <v>8857</v>
      </c>
      <c r="D97" s="294" t="s">
        <v>71</v>
      </c>
      <c r="E97" s="294" t="s">
        <v>72</v>
      </c>
      <c r="F97" s="327">
        <v>720</v>
      </c>
      <c r="G97" s="627" t="s">
        <v>224</v>
      </c>
      <c r="H97" s="270"/>
    </row>
    <row r="98" spans="1:9" s="431" customFormat="1" ht="31.5">
      <c r="A98" s="622">
        <v>93</v>
      </c>
      <c r="B98" s="294" t="s">
        <v>4650</v>
      </c>
      <c r="C98" s="627" t="s">
        <v>96</v>
      </c>
      <c r="D98" s="294" t="s">
        <v>3583</v>
      </c>
      <c r="E98" s="294" t="s">
        <v>127</v>
      </c>
      <c r="F98" s="327">
        <v>500</v>
      </c>
      <c r="G98" s="627" t="s">
        <v>120</v>
      </c>
      <c r="H98" s="270"/>
    </row>
    <row r="99" spans="1:9" s="431" customFormat="1" ht="47.25">
      <c r="A99" s="622">
        <v>94</v>
      </c>
      <c r="B99" s="294" t="s">
        <v>233</v>
      </c>
      <c r="C99" s="627" t="s">
        <v>96</v>
      </c>
      <c r="D99" s="294" t="s">
        <v>135</v>
      </c>
      <c r="E99" s="294" t="s">
        <v>122</v>
      </c>
      <c r="F99" s="327">
        <v>50</v>
      </c>
      <c r="G99" s="627" t="s">
        <v>221</v>
      </c>
      <c r="H99" s="270"/>
    </row>
    <row r="100" spans="1:9" s="431" customFormat="1" ht="47.25">
      <c r="A100" s="622">
        <v>95</v>
      </c>
      <c r="B100" s="294" t="s">
        <v>136</v>
      </c>
      <c r="C100" s="627" t="s">
        <v>8858</v>
      </c>
      <c r="D100" s="294" t="s">
        <v>137</v>
      </c>
      <c r="E100" s="294" t="s">
        <v>138</v>
      </c>
      <c r="F100" s="327">
        <v>50</v>
      </c>
      <c r="G100" s="627" t="s">
        <v>221</v>
      </c>
      <c r="H100" s="270"/>
    </row>
    <row r="101" spans="1:9" s="431" customFormat="1" ht="31.5">
      <c r="A101" s="622">
        <v>96</v>
      </c>
      <c r="B101" s="294" t="s">
        <v>3337</v>
      </c>
      <c r="C101" s="627" t="s">
        <v>96</v>
      </c>
      <c r="D101" s="338" t="s">
        <v>8859</v>
      </c>
      <c r="E101" s="338" t="s">
        <v>1126</v>
      </c>
      <c r="F101" s="329">
        <v>460</v>
      </c>
      <c r="G101" s="627" t="s">
        <v>154</v>
      </c>
      <c r="H101" s="270"/>
    </row>
    <row r="102" spans="1:9" s="431" customFormat="1">
      <c r="A102" s="622">
        <v>97</v>
      </c>
      <c r="B102" s="338" t="s">
        <v>4893</v>
      </c>
      <c r="C102" s="285" t="s">
        <v>96</v>
      </c>
      <c r="D102" s="338" t="s">
        <v>4894</v>
      </c>
      <c r="E102" s="338" t="s">
        <v>4895</v>
      </c>
      <c r="F102" s="327">
        <v>825</v>
      </c>
      <c r="G102" s="593">
        <v>6</v>
      </c>
      <c r="H102" s="270"/>
    </row>
    <row r="103" spans="1:9" s="431" customFormat="1">
      <c r="A103" s="622">
        <v>98</v>
      </c>
      <c r="B103" s="270" t="s">
        <v>3214</v>
      </c>
      <c r="C103" s="627" t="s">
        <v>8860</v>
      </c>
      <c r="D103" s="270" t="s">
        <v>576</v>
      </c>
      <c r="E103" s="270" t="s">
        <v>3590</v>
      </c>
      <c r="F103" s="529">
        <v>1600</v>
      </c>
      <c r="G103" s="622" t="s">
        <v>156</v>
      </c>
      <c r="H103" s="270"/>
      <c r="I103" s="751" t="s">
        <v>8861</v>
      </c>
    </row>
    <row r="104" spans="1:9" s="431" customFormat="1">
      <c r="A104" s="622">
        <v>99</v>
      </c>
      <c r="B104" s="270" t="s">
        <v>391</v>
      </c>
      <c r="C104" s="627" t="s">
        <v>8860</v>
      </c>
      <c r="D104" s="270" t="s">
        <v>3378</v>
      </c>
      <c r="E104" s="270" t="s">
        <v>3608</v>
      </c>
      <c r="F104" s="529">
        <v>1000</v>
      </c>
      <c r="G104" s="622" t="s">
        <v>161</v>
      </c>
      <c r="H104" s="270"/>
      <c r="I104" s="751"/>
    </row>
    <row r="105" spans="1:9" s="431" customFormat="1">
      <c r="A105" s="622">
        <v>100</v>
      </c>
      <c r="B105" s="270" t="s">
        <v>489</v>
      </c>
      <c r="C105" s="627" t="s">
        <v>8860</v>
      </c>
      <c r="D105" s="270" t="s">
        <v>490</v>
      </c>
      <c r="E105" s="270" t="s">
        <v>485</v>
      </c>
      <c r="F105" s="529">
        <v>427</v>
      </c>
      <c r="G105" s="622" t="s">
        <v>162</v>
      </c>
      <c r="H105" s="270"/>
      <c r="I105" s="751"/>
    </row>
    <row r="106" spans="1:9" s="431" customFormat="1">
      <c r="A106" s="622">
        <v>101</v>
      </c>
      <c r="B106" s="270" t="s">
        <v>3621</v>
      </c>
      <c r="C106" s="622" t="s">
        <v>8862</v>
      </c>
      <c r="D106" s="270" t="s">
        <v>481</v>
      </c>
      <c r="E106" s="270" t="s">
        <v>508</v>
      </c>
      <c r="F106" s="529">
        <v>1009</v>
      </c>
      <c r="G106" s="622" t="s">
        <v>169</v>
      </c>
      <c r="H106" s="270"/>
      <c r="I106" s="751"/>
    </row>
    <row r="107" spans="1:9" s="431" customFormat="1">
      <c r="A107" s="622">
        <v>102</v>
      </c>
      <c r="B107" s="270" t="s">
        <v>3622</v>
      </c>
      <c r="C107" s="622" t="s">
        <v>8862</v>
      </c>
      <c r="D107" s="270" t="s">
        <v>3625</v>
      </c>
      <c r="E107" s="270" t="s">
        <v>3629</v>
      </c>
      <c r="F107" s="529">
        <v>2000</v>
      </c>
      <c r="G107" s="622" t="s">
        <v>170</v>
      </c>
      <c r="H107" s="270"/>
      <c r="I107" s="751"/>
    </row>
    <row r="108" spans="1:9" s="431" customFormat="1">
      <c r="A108" s="622">
        <v>103</v>
      </c>
      <c r="B108" s="270" t="s">
        <v>528</v>
      </c>
      <c r="C108" s="622" t="s">
        <v>8862</v>
      </c>
      <c r="D108" s="270" t="s">
        <v>529</v>
      </c>
      <c r="E108" s="270" t="s">
        <v>526</v>
      </c>
      <c r="F108" s="529">
        <v>2000</v>
      </c>
      <c r="G108" s="622" t="s">
        <v>517</v>
      </c>
      <c r="H108" s="270"/>
      <c r="I108" s="751"/>
    </row>
    <row r="109" spans="1:9" s="431" customFormat="1">
      <c r="A109" s="622">
        <v>104</v>
      </c>
      <c r="B109" s="270" t="s">
        <v>543</v>
      </c>
      <c r="C109" s="622" t="s">
        <v>8863</v>
      </c>
      <c r="D109" s="270" t="s">
        <v>544</v>
      </c>
      <c r="E109" s="270" t="s">
        <v>531</v>
      </c>
      <c r="F109" s="529">
        <v>4100</v>
      </c>
      <c r="G109" s="622" t="s">
        <v>176</v>
      </c>
      <c r="H109" s="270"/>
      <c r="I109" s="751"/>
    </row>
    <row r="110" spans="1:9" s="431" customFormat="1">
      <c r="A110" s="622">
        <v>105</v>
      </c>
      <c r="B110" s="270" t="s">
        <v>545</v>
      </c>
      <c r="C110" s="622" t="s">
        <v>8864</v>
      </c>
      <c r="D110" s="270" t="s">
        <v>546</v>
      </c>
      <c r="E110" s="270" t="s">
        <v>407</v>
      </c>
      <c r="F110" s="529">
        <v>10500</v>
      </c>
      <c r="G110" s="622" t="s">
        <v>154</v>
      </c>
      <c r="H110" s="270"/>
      <c r="I110" s="751"/>
    </row>
    <row r="111" spans="1:9" s="431" customFormat="1">
      <c r="A111" s="622">
        <v>106</v>
      </c>
      <c r="B111" s="270" t="s">
        <v>255</v>
      </c>
      <c r="C111" s="622" t="s">
        <v>8865</v>
      </c>
      <c r="D111" s="270" t="s">
        <v>3376</v>
      </c>
      <c r="E111" s="270" t="s">
        <v>257</v>
      </c>
      <c r="F111" s="529">
        <v>689</v>
      </c>
      <c r="G111" s="622"/>
      <c r="H111" s="270"/>
      <c r="I111" s="751"/>
    </row>
    <row r="112" spans="1:9" s="431" customFormat="1" ht="31.5">
      <c r="A112" s="622">
        <v>107</v>
      </c>
      <c r="B112" s="270" t="s">
        <v>661</v>
      </c>
      <c r="C112" s="622" t="s">
        <v>8866</v>
      </c>
      <c r="D112" s="270" t="s">
        <v>3937</v>
      </c>
      <c r="E112" s="270" t="s">
        <v>3938</v>
      </c>
      <c r="F112" s="529">
        <v>2670</v>
      </c>
      <c r="G112" s="622" t="s">
        <v>153</v>
      </c>
      <c r="H112" s="270"/>
      <c r="I112" s="751"/>
    </row>
    <row r="113" spans="1:9" s="431" customFormat="1">
      <c r="A113" s="622">
        <v>108</v>
      </c>
      <c r="B113" s="270" t="s">
        <v>3920</v>
      </c>
      <c r="C113" s="627" t="s">
        <v>8867</v>
      </c>
      <c r="D113" s="270" t="s">
        <v>484</v>
      </c>
      <c r="E113" s="270" t="s">
        <v>433</v>
      </c>
      <c r="F113" s="529">
        <v>105</v>
      </c>
      <c r="G113" s="622" t="s">
        <v>152</v>
      </c>
      <c r="H113" s="270"/>
      <c r="I113" s="751"/>
    </row>
    <row r="114" spans="1:9" s="431" customFormat="1">
      <c r="A114" s="622">
        <v>109</v>
      </c>
      <c r="B114" s="270" t="s">
        <v>3921</v>
      </c>
      <c r="C114" s="627" t="s">
        <v>8867</v>
      </c>
      <c r="D114" s="270" t="s">
        <v>484</v>
      </c>
      <c r="E114" s="270" t="s">
        <v>433</v>
      </c>
      <c r="F114" s="529">
        <v>90</v>
      </c>
      <c r="G114" s="622" t="s">
        <v>152</v>
      </c>
      <c r="H114" s="270"/>
      <c r="I114" s="751"/>
    </row>
    <row r="115" spans="1:9" s="431" customFormat="1">
      <c r="A115" s="622">
        <v>110</v>
      </c>
      <c r="B115" s="270" t="s">
        <v>3922</v>
      </c>
      <c r="C115" s="627" t="s">
        <v>8867</v>
      </c>
      <c r="D115" s="270" t="s">
        <v>484</v>
      </c>
      <c r="E115" s="270" t="s">
        <v>433</v>
      </c>
      <c r="F115" s="529">
        <v>88</v>
      </c>
      <c r="G115" s="622" t="s">
        <v>153</v>
      </c>
      <c r="H115" s="270"/>
      <c r="I115" s="751"/>
    </row>
    <row r="116" spans="1:9" s="431" customFormat="1">
      <c r="A116" s="622">
        <v>111</v>
      </c>
      <c r="B116" s="270" t="s">
        <v>3923</v>
      </c>
      <c r="C116" s="627" t="s">
        <v>8867</v>
      </c>
      <c r="D116" s="270" t="s">
        <v>484</v>
      </c>
      <c r="E116" s="270" t="s">
        <v>433</v>
      </c>
      <c r="F116" s="529">
        <v>87</v>
      </c>
      <c r="G116" s="622" t="s">
        <v>154</v>
      </c>
      <c r="H116" s="270"/>
      <c r="I116" s="751"/>
    </row>
    <row r="117" spans="1:9" s="431" customFormat="1" ht="31.5">
      <c r="A117" s="622">
        <v>112</v>
      </c>
      <c r="B117" s="270" t="s">
        <v>3924</v>
      </c>
      <c r="C117" s="627" t="s">
        <v>8867</v>
      </c>
      <c r="D117" s="270" t="s">
        <v>376</v>
      </c>
      <c r="E117" s="270" t="s">
        <v>433</v>
      </c>
      <c r="F117" s="529">
        <v>570</v>
      </c>
      <c r="G117" s="622" t="s">
        <v>155</v>
      </c>
      <c r="H117" s="270"/>
      <c r="I117" s="751"/>
    </row>
    <row r="118" spans="1:9" s="431" customFormat="1">
      <c r="A118" s="622">
        <v>113</v>
      </c>
      <c r="B118" s="270" t="s">
        <v>8868</v>
      </c>
      <c r="C118" s="627" t="s">
        <v>8867</v>
      </c>
      <c r="D118" s="270" t="s">
        <v>3609</v>
      </c>
      <c r="E118" s="270" t="s">
        <v>433</v>
      </c>
      <c r="F118" s="529">
        <v>1100</v>
      </c>
      <c r="G118" s="622" t="s">
        <v>156</v>
      </c>
      <c r="H118" s="270"/>
      <c r="I118" s="751"/>
    </row>
    <row r="119" spans="1:9" s="431" customFormat="1">
      <c r="A119" s="622">
        <v>114</v>
      </c>
      <c r="B119" s="270" t="s">
        <v>3636</v>
      </c>
      <c r="C119" s="627" t="s">
        <v>8867</v>
      </c>
      <c r="D119" s="270" t="s">
        <v>375</v>
      </c>
      <c r="E119" s="270" t="s">
        <v>378</v>
      </c>
      <c r="F119" s="529">
        <v>450</v>
      </c>
      <c r="G119" s="525" t="s">
        <v>179</v>
      </c>
      <c r="H119" s="270"/>
      <c r="I119" s="751"/>
    </row>
    <row r="120" spans="1:9" s="431" customFormat="1">
      <c r="A120" s="622">
        <v>115</v>
      </c>
      <c r="B120" s="270" t="s">
        <v>3637</v>
      </c>
      <c r="C120" s="627" t="s">
        <v>8867</v>
      </c>
      <c r="D120" s="270" t="s">
        <v>3925</v>
      </c>
      <c r="E120" s="270" t="s">
        <v>433</v>
      </c>
      <c r="F120" s="529">
        <v>650</v>
      </c>
      <c r="G120" s="622" t="s">
        <v>154</v>
      </c>
      <c r="H120" s="270"/>
      <c r="I120" s="751"/>
    </row>
    <row r="121" spans="1:9" s="431" customFormat="1">
      <c r="A121" s="622">
        <v>116</v>
      </c>
      <c r="B121" s="270" t="s">
        <v>3217</v>
      </c>
      <c r="C121" s="622" t="s">
        <v>8869</v>
      </c>
      <c r="D121" s="270" t="s">
        <v>485</v>
      </c>
      <c r="E121" s="270" t="s">
        <v>3516</v>
      </c>
      <c r="F121" s="529">
        <v>1700</v>
      </c>
      <c r="G121" s="622" t="s">
        <v>158</v>
      </c>
      <c r="H121" s="270"/>
      <c r="I121" s="751"/>
    </row>
    <row r="122" spans="1:9" s="431" customFormat="1">
      <c r="A122" s="622">
        <v>117</v>
      </c>
      <c r="B122" s="270" t="s">
        <v>513</v>
      </c>
      <c r="C122" s="622" t="s">
        <v>8870</v>
      </c>
      <c r="D122" s="270" t="s">
        <v>3625</v>
      </c>
      <c r="E122" s="270" t="s">
        <v>3928</v>
      </c>
      <c r="F122" s="529">
        <v>115</v>
      </c>
      <c r="G122" s="622" t="s">
        <v>164</v>
      </c>
      <c r="H122" s="270"/>
      <c r="I122" s="751"/>
    </row>
    <row r="123" spans="1:9" s="431" customFormat="1">
      <c r="A123" s="622">
        <v>118</v>
      </c>
      <c r="B123" s="270" t="s">
        <v>3645</v>
      </c>
      <c r="C123" s="622" t="s">
        <v>8871</v>
      </c>
      <c r="D123" s="270" t="s">
        <v>387</v>
      </c>
      <c r="E123" s="270" t="s">
        <v>508</v>
      </c>
      <c r="F123" s="529">
        <v>158</v>
      </c>
      <c r="G123" s="621" t="s">
        <v>188</v>
      </c>
      <c r="H123" s="270"/>
      <c r="I123" s="751"/>
    </row>
    <row r="124" spans="1:9" s="431" customFormat="1">
      <c r="A124" s="622">
        <v>119</v>
      </c>
      <c r="B124" s="270" t="s">
        <v>348</v>
      </c>
      <c r="C124" s="622" t="s">
        <v>8872</v>
      </c>
      <c r="D124" s="270" t="s">
        <v>349</v>
      </c>
      <c r="E124" s="270" t="s">
        <v>350</v>
      </c>
      <c r="F124" s="529">
        <v>1800</v>
      </c>
      <c r="G124" s="621" t="s">
        <v>3935</v>
      </c>
      <c r="H124" s="270"/>
      <c r="I124" s="751"/>
    </row>
    <row r="125" spans="1:9" s="431" customFormat="1">
      <c r="A125" s="622">
        <v>120</v>
      </c>
      <c r="B125" s="270" t="s">
        <v>3665</v>
      </c>
      <c r="C125" s="627" t="s">
        <v>8872</v>
      </c>
      <c r="D125" s="270" t="s">
        <v>256</v>
      </c>
      <c r="E125" s="270" t="s">
        <v>407</v>
      </c>
      <c r="F125" s="529">
        <v>360</v>
      </c>
      <c r="G125" s="622" t="s">
        <v>154</v>
      </c>
      <c r="H125" s="270"/>
      <c r="I125" s="751"/>
    </row>
    <row r="126" spans="1:9" s="431" customFormat="1">
      <c r="A126" s="622">
        <v>121</v>
      </c>
      <c r="B126" s="270" t="s">
        <v>952</v>
      </c>
      <c r="C126" s="622" t="s">
        <v>575</v>
      </c>
      <c r="D126" s="270" t="s">
        <v>3376</v>
      </c>
      <c r="E126" s="270" t="s">
        <v>433</v>
      </c>
      <c r="F126" s="529">
        <v>1972</v>
      </c>
      <c r="G126" s="622" t="s">
        <v>156</v>
      </c>
      <c r="H126" s="270"/>
      <c r="I126" s="751"/>
    </row>
    <row r="127" spans="1:9" s="431" customFormat="1">
      <c r="A127" s="622">
        <v>122</v>
      </c>
      <c r="B127" s="270" t="s">
        <v>558</v>
      </c>
      <c r="C127" s="622" t="s">
        <v>8872</v>
      </c>
      <c r="D127" s="270" t="s">
        <v>331</v>
      </c>
      <c r="E127" s="270" t="s">
        <v>433</v>
      </c>
      <c r="F127" s="529">
        <v>478</v>
      </c>
      <c r="G127" s="622" t="s">
        <v>156</v>
      </c>
      <c r="H127" s="270"/>
      <c r="I127" s="751"/>
    </row>
    <row r="128" spans="1:9" s="431" customFormat="1">
      <c r="A128" s="622">
        <v>123</v>
      </c>
      <c r="B128" s="270" t="s">
        <v>559</v>
      </c>
      <c r="C128" s="622" t="s">
        <v>575</v>
      </c>
      <c r="D128" s="270" t="s">
        <v>3941</v>
      </c>
      <c r="E128" s="270" t="s">
        <v>332</v>
      </c>
      <c r="F128" s="529">
        <v>2109</v>
      </c>
      <c r="G128" s="622" t="s">
        <v>152</v>
      </c>
      <c r="H128" s="270"/>
      <c r="I128" s="751"/>
    </row>
    <row r="129" spans="1:9" s="431" customFormat="1">
      <c r="A129" s="622">
        <v>124</v>
      </c>
      <c r="B129" s="270" t="s">
        <v>572</v>
      </c>
      <c r="C129" s="622" t="s">
        <v>8873</v>
      </c>
      <c r="D129" s="270" t="s">
        <v>562</v>
      </c>
      <c r="E129" s="270" t="s">
        <v>3684</v>
      </c>
      <c r="F129" s="529">
        <v>300</v>
      </c>
      <c r="G129" s="622" t="s">
        <v>153</v>
      </c>
      <c r="H129" s="270"/>
      <c r="I129" s="751"/>
    </row>
    <row r="130" spans="1:9" s="431" customFormat="1">
      <c r="A130" s="622">
        <v>125</v>
      </c>
      <c r="B130" s="270" t="s">
        <v>3453</v>
      </c>
      <c r="C130" s="622" t="s">
        <v>8874</v>
      </c>
      <c r="D130" s="270" t="s">
        <v>3739</v>
      </c>
      <c r="E130" s="270" t="s">
        <v>255</v>
      </c>
      <c r="F130" s="529">
        <v>197</v>
      </c>
      <c r="G130" s="622" t="s">
        <v>186</v>
      </c>
      <c r="H130" s="270"/>
      <c r="I130" s="751"/>
    </row>
    <row r="131" spans="1:9" s="431" customFormat="1">
      <c r="A131" s="622">
        <v>126</v>
      </c>
      <c r="B131" s="270" t="s">
        <v>3673</v>
      </c>
      <c r="C131" s="622" t="s">
        <v>8872</v>
      </c>
      <c r="D131" s="270" t="s">
        <v>3946</v>
      </c>
      <c r="E131" s="270" t="s">
        <v>563</v>
      </c>
      <c r="F131" s="529">
        <v>450</v>
      </c>
      <c r="G131" s="622" t="s">
        <v>187</v>
      </c>
      <c r="H131" s="270"/>
      <c r="I131" s="751"/>
    </row>
    <row r="132" spans="1:9" s="431" customFormat="1">
      <c r="A132" s="622">
        <v>127</v>
      </c>
      <c r="B132" s="270" t="s">
        <v>3698</v>
      </c>
      <c r="C132" s="622" t="s">
        <v>8873</v>
      </c>
      <c r="D132" s="270" t="s">
        <v>3758</v>
      </c>
      <c r="E132" s="270" t="s">
        <v>569</v>
      </c>
      <c r="F132" s="529">
        <v>480</v>
      </c>
      <c r="G132" s="622" t="s">
        <v>154</v>
      </c>
      <c r="H132" s="270"/>
      <c r="I132" s="751"/>
    </row>
    <row r="133" spans="1:9" s="431" customFormat="1">
      <c r="A133" s="622">
        <v>128</v>
      </c>
      <c r="B133" s="270" t="s">
        <v>3948</v>
      </c>
      <c r="C133" s="622" t="s">
        <v>8872</v>
      </c>
      <c r="D133" s="270" t="s">
        <v>3972</v>
      </c>
      <c r="E133" s="270" t="s">
        <v>433</v>
      </c>
      <c r="F133" s="529">
        <v>1500</v>
      </c>
      <c r="G133" s="622">
        <v>12</v>
      </c>
      <c r="H133" s="270"/>
      <c r="I133" s="751"/>
    </row>
    <row r="134" spans="1:9" s="431" customFormat="1">
      <c r="A134" s="622">
        <v>129</v>
      </c>
      <c r="B134" s="270" t="s">
        <v>579</v>
      </c>
      <c r="C134" s="622" t="s">
        <v>8872</v>
      </c>
      <c r="D134" s="270" t="s">
        <v>3571</v>
      </c>
      <c r="E134" s="270" t="s">
        <v>433</v>
      </c>
      <c r="F134" s="529">
        <v>1000</v>
      </c>
      <c r="G134" s="622" t="s">
        <v>154</v>
      </c>
      <c r="H134" s="270"/>
      <c r="I134" s="751"/>
    </row>
    <row r="135" spans="1:9" s="431" customFormat="1" ht="31.5">
      <c r="A135" s="622">
        <v>130</v>
      </c>
      <c r="B135" s="270" t="s">
        <v>3982</v>
      </c>
      <c r="C135" s="622" t="s">
        <v>8818</v>
      </c>
      <c r="D135" s="270" t="s">
        <v>3983</v>
      </c>
      <c r="E135" s="270" t="s">
        <v>659</v>
      </c>
      <c r="F135" s="529">
        <v>1300</v>
      </c>
      <c r="G135" s="622" t="s">
        <v>3984</v>
      </c>
      <c r="H135" s="270"/>
      <c r="I135" s="751" t="s">
        <v>8875</v>
      </c>
    </row>
    <row r="136" spans="1:9" s="431" customFormat="1" ht="31.5">
      <c r="A136" s="622">
        <v>131</v>
      </c>
      <c r="B136" s="270" t="s">
        <v>3985</v>
      </c>
      <c r="C136" s="622" t="s">
        <v>8818</v>
      </c>
      <c r="D136" s="270" t="s">
        <v>3986</v>
      </c>
      <c r="E136" s="270" t="s">
        <v>407</v>
      </c>
      <c r="F136" s="529">
        <v>117</v>
      </c>
      <c r="G136" s="622" t="s">
        <v>3987</v>
      </c>
      <c r="H136" s="270"/>
      <c r="I136" s="751"/>
    </row>
    <row r="137" spans="1:9" s="431" customFormat="1" ht="16.5">
      <c r="A137" s="622">
        <v>132</v>
      </c>
      <c r="B137" s="270" t="s">
        <v>3606</v>
      </c>
      <c r="C137" s="650" t="s">
        <v>9031</v>
      </c>
      <c r="D137" s="276" t="s">
        <v>48</v>
      </c>
      <c r="E137" s="276" t="s">
        <v>49</v>
      </c>
      <c r="F137" s="352">
        <v>6000</v>
      </c>
      <c r="G137" s="287" t="s">
        <v>224</v>
      </c>
      <c r="H137" s="270"/>
      <c r="I137" s="531"/>
    </row>
    <row r="138" spans="1:9" s="431" customFormat="1" ht="20.100000000000001" customHeight="1">
      <c r="A138" s="594" t="s">
        <v>5900</v>
      </c>
      <c r="B138" s="760" t="s">
        <v>9032</v>
      </c>
      <c r="C138" s="760"/>
      <c r="D138" s="595"/>
      <c r="E138" s="595"/>
      <c r="F138" s="640">
        <f>+SUM(F139:F147)</f>
        <v>25073</v>
      </c>
      <c r="G138" s="595"/>
      <c r="H138" s="595"/>
    </row>
    <row r="139" spans="1:9" s="431" customFormat="1" ht="31.5">
      <c r="A139" s="622">
        <v>1</v>
      </c>
      <c r="B139" s="375" t="s">
        <v>5973</v>
      </c>
      <c r="C139" s="619" t="s">
        <v>6110</v>
      </c>
      <c r="D139" s="375" t="s">
        <v>6112</v>
      </c>
      <c r="E139" s="375" t="s">
        <v>6111</v>
      </c>
      <c r="F139" s="641">
        <v>5800</v>
      </c>
      <c r="G139" s="619" t="s">
        <v>5974</v>
      </c>
      <c r="H139" s="270"/>
    </row>
    <row r="140" spans="1:9" s="431" customFormat="1" ht="31.5">
      <c r="A140" s="622">
        <v>2</v>
      </c>
      <c r="B140" s="375" t="s">
        <v>5975</v>
      </c>
      <c r="C140" s="619" t="s">
        <v>6214</v>
      </c>
      <c r="D140" s="375" t="s">
        <v>6113</v>
      </c>
      <c r="E140" s="375" t="s">
        <v>6114</v>
      </c>
      <c r="F140" s="641">
        <v>3000</v>
      </c>
      <c r="G140" s="619" t="s">
        <v>5977</v>
      </c>
      <c r="H140" s="270"/>
    </row>
    <row r="141" spans="1:9" s="431" customFormat="1" ht="47.25">
      <c r="A141" s="622">
        <v>3</v>
      </c>
      <c r="B141" s="270" t="s">
        <v>6117</v>
      </c>
      <c r="C141" s="622" t="s">
        <v>8876</v>
      </c>
      <c r="D141" s="270" t="s">
        <v>7381</v>
      </c>
      <c r="E141" s="270" t="s">
        <v>8518</v>
      </c>
      <c r="F141" s="642">
        <v>3910</v>
      </c>
      <c r="G141" s="622"/>
      <c r="H141" s="270" t="s">
        <v>7379</v>
      </c>
    </row>
    <row r="142" spans="1:9" s="431" customFormat="1" ht="47.25">
      <c r="A142" s="622">
        <v>4</v>
      </c>
      <c r="B142" s="270" t="s">
        <v>7380</v>
      </c>
      <c r="C142" s="622" t="s">
        <v>6118</v>
      </c>
      <c r="D142" s="270" t="s">
        <v>7383</v>
      </c>
      <c r="E142" s="270" t="s">
        <v>7382</v>
      </c>
      <c r="F142" s="642">
        <v>1453</v>
      </c>
      <c r="G142" s="622"/>
      <c r="H142" s="270" t="s">
        <v>7379</v>
      </c>
    </row>
    <row r="143" spans="1:9" s="431" customFormat="1" ht="47.25">
      <c r="A143" s="622">
        <v>5</v>
      </c>
      <c r="B143" s="270" t="s">
        <v>6115</v>
      </c>
      <c r="C143" s="622" t="s">
        <v>6118</v>
      </c>
      <c r="D143" s="270" t="s">
        <v>7382</v>
      </c>
      <c r="E143" s="270" t="s">
        <v>433</v>
      </c>
      <c r="F143" s="642">
        <v>2300</v>
      </c>
      <c r="G143" s="622"/>
      <c r="H143" s="270" t="s">
        <v>7379</v>
      </c>
    </row>
    <row r="144" spans="1:9" s="431" customFormat="1">
      <c r="A144" s="622">
        <v>6</v>
      </c>
      <c r="B144" s="317" t="s">
        <v>8012</v>
      </c>
      <c r="C144" s="619" t="s">
        <v>8023</v>
      </c>
      <c r="D144" s="317" t="s">
        <v>8011</v>
      </c>
      <c r="E144" s="317" t="s">
        <v>8013</v>
      </c>
      <c r="F144" s="327">
        <v>2516</v>
      </c>
      <c r="G144" s="435" t="s">
        <v>228</v>
      </c>
      <c r="H144" s="270"/>
    </row>
    <row r="145" spans="1:8" s="431" customFormat="1">
      <c r="A145" s="622">
        <v>7</v>
      </c>
      <c r="B145" s="294" t="s">
        <v>8014</v>
      </c>
      <c r="C145" s="619" t="s">
        <v>8023</v>
      </c>
      <c r="D145" s="294" t="s">
        <v>8015</v>
      </c>
      <c r="E145" s="294" t="s">
        <v>8025</v>
      </c>
      <c r="F145" s="329">
        <v>1900</v>
      </c>
      <c r="G145" s="436" t="s">
        <v>312</v>
      </c>
      <c r="H145" s="270"/>
    </row>
    <row r="146" spans="1:8" s="431" customFormat="1">
      <c r="A146" s="622">
        <v>8</v>
      </c>
      <c r="B146" s="294" t="s">
        <v>8024</v>
      </c>
      <c r="C146" s="619" t="s">
        <v>8023</v>
      </c>
      <c r="D146" s="294" t="s">
        <v>7374</v>
      </c>
      <c r="E146" s="294" t="s">
        <v>482</v>
      </c>
      <c r="F146" s="329">
        <v>2135</v>
      </c>
      <c r="G146" s="437" t="s">
        <v>7375</v>
      </c>
      <c r="H146" s="270"/>
    </row>
    <row r="147" spans="1:8" s="431" customFormat="1">
      <c r="A147" s="622">
        <v>9</v>
      </c>
      <c r="B147" s="317" t="s">
        <v>8016</v>
      </c>
      <c r="C147" s="619" t="s">
        <v>8023</v>
      </c>
      <c r="D147" s="317" t="s">
        <v>6263</v>
      </c>
      <c r="E147" s="511" t="s">
        <v>482</v>
      </c>
      <c r="F147" s="327">
        <v>2059</v>
      </c>
      <c r="G147" s="285" t="s">
        <v>8877</v>
      </c>
      <c r="H147" s="270"/>
    </row>
    <row r="148" spans="1:8" s="431" customFormat="1" ht="20.100000000000001" customHeight="1">
      <c r="A148" s="625" t="s">
        <v>5515</v>
      </c>
      <c r="B148" s="753" t="s">
        <v>8998</v>
      </c>
      <c r="C148" s="753"/>
      <c r="D148" s="624"/>
      <c r="E148" s="624"/>
      <c r="F148" s="643">
        <f>SUM(F149:F167)</f>
        <v>59295.789999999994</v>
      </c>
      <c r="G148" s="626"/>
      <c r="H148" s="626"/>
    </row>
    <row r="149" spans="1:8" s="431" customFormat="1" ht="31.5">
      <c r="A149" s="619">
        <v>1</v>
      </c>
      <c r="B149" s="270" t="s">
        <v>8388</v>
      </c>
      <c r="C149" s="622" t="s">
        <v>8389</v>
      </c>
      <c r="D149" s="270" t="s">
        <v>8390</v>
      </c>
      <c r="E149" s="270" t="s">
        <v>7339</v>
      </c>
      <c r="F149" s="644">
        <v>21869.89</v>
      </c>
      <c r="G149" s="621">
        <v>4</v>
      </c>
      <c r="H149" s="270"/>
    </row>
    <row r="150" spans="1:8" s="431" customFormat="1" ht="31.5">
      <c r="A150" s="619">
        <v>2</v>
      </c>
      <c r="B150" s="270" t="s">
        <v>8391</v>
      </c>
      <c r="C150" s="622" t="s">
        <v>8389</v>
      </c>
      <c r="D150" s="270" t="s">
        <v>8390</v>
      </c>
      <c r="E150" s="270" t="s">
        <v>6952</v>
      </c>
      <c r="F150" s="644">
        <v>6016.7</v>
      </c>
      <c r="G150" s="621">
        <v>4</v>
      </c>
      <c r="H150" s="270"/>
    </row>
    <row r="151" spans="1:8" s="524" customFormat="1" ht="16.5" customHeight="1">
      <c r="A151" s="746">
        <v>3</v>
      </c>
      <c r="B151" s="750" t="s">
        <v>8878</v>
      </c>
      <c r="C151" s="747" t="s">
        <v>7002</v>
      </c>
      <c r="D151" s="750" t="s">
        <v>8879</v>
      </c>
      <c r="E151" s="750" t="s">
        <v>8880</v>
      </c>
      <c r="F151" s="327">
        <v>2000</v>
      </c>
      <c r="G151" s="748" t="s">
        <v>9065</v>
      </c>
      <c r="H151" s="749"/>
    </row>
    <row r="152" spans="1:8" s="524" customFormat="1" ht="16.5" customHeight="1">
      <c r="A152" s="746"/>
      <c r="B152" s="750"/>
      <c r="C152" s="747"/>
      <c r="D152" s="750"/>
      <c r="E152" s="750"/>
      <c r="F152" s="645">
        <v>595</v>
      </c>
      <c r="G152" s="748"/>
      <c r="H152" s="749"/>
    </row>
    <row r="153" spans="1:8" s="524" customFormat="1" ht="16.5" customHeight="1">
      <c r="A153" s="746"/>
      <c r="B153" s="750"/>
      <c r="C153" s="747"/>
      <c r="D153" s="596" t="s">
        <v>8879</v>
      </c>
      <c r="E153" s="623" t="s">
        <v>8881</v>
      </c>
      <c r="F153" s="645">
        <f>850+26+43</f>
        <v>919</v>
      </c>
      <c r="G153" s="748"/>
      <c r="H153" s="749"/>
    </row>
    <row r="154" spans="1:8" s="524" customFormat="1" ht="16.5" customHeight="1">
      <c r="A154" s="746"/>
      <c r="B154" s="750"/>
      <c r="C154" s="747"/>
      <c r="D154" s="623" t="s">
        <v>8882</v>
      </c>
      <c r="E154" s="623" t="s">
        <v>8883</v>
      </c>
      <c r="F154" s="645">
        <v>418</v>
      </c>
      <c r="G154" s="748"/>
      <c r="H154" s="749"/>
    </row>
    <row r="155" spans="1:8" s="524" customFormat="1" ht="16.5" customHeight="1">
      <c r="A155" s="746">
        <v>4</v>
      </c>
      <c r="B155" s="750" t="s">
        <v>8884</v>
      </c>
      <c r="C155" s="747" t="s">
        <v>7002</v>
      </c>
      <c r="D155" s="623" t="s">
        <v>8885</v>
      </c>
      <c r="E155" s="623" t="s">
        <v>8886</v>
      </c>
      <c r="F155" s="645">
        <v>690</v>
      </c>
      <c r="G155" s="748" t="s">
        <v>8887</v>
      </c>
      <c r="H155" s="749"/>
    </row>
    <row r="156" spans="1:8" s="524" customFormat="1" ht="16.5" customHeight="1">
      <c r="A156" s="746"/>
      <c r="B156" s="750"/>
      <c r="C156" s="747"/>
      <c r="D156" s="623" t="s">
        <v>8888</v>
      </c>
      <c r="E156" s="623"/>
      <c r="F156" s="645">
        <f>327-100</f>
        <v>227</v>
      </c>
      <c r="G156" s="748"/>
      <c r="H156" s="749"/>
    </row>
    <row r="157" spans="1:8" s="524" customFormat="1" ht="16.5" customHeight="1">
      <c r="A157" s="746">
        <v>5</v>
      </c>
      <c r="B157" s="750" t="s">
        <v>8889</v>
      </c>
      <c r="C157" s="747" t="s">
        <v>7002</v>
      </c>
      <c r="D157" s="623" t="s">
        <v>8890</v>
      </c>
      <c r="E157" s="623" t="s">
        <v>8891</v>
      </c>
      <c r="F157" s="645">
        <v>576</v>
      </c>
      <c r="G157" s="748" t="s">
        <v>8892</v>
      </c>
      <c r="H157" s="749"/>
    </row>
    <row r="158" spans="1:8" s="524" customFormat="1" ht="16.5" customHeight="1">
      <c r="A158" s="746"/>
      <c r="B158" s="750"/>
      <c r="C158" s="747"/>
      <c r="D158" s="623" t="s">
        <v>8893</v>
      </c>
      <c r="E158" s="623"/>
      <c r="F158" s="645">
        <f>850+100</f>
        <v>950</v>
      </c>
      <c r="G158" s="748"/>
      <c r="H158" s="749"/>
    </row>
    <row r="159" spans="1:8" s="524" customFormat="1" ht="16.5" customHeight="1">
      <c r="A159" s="746">
        <v>6</v>
      </c>
      <c r="B159" s="623" t="s">
        <v>8894</v>
      </c>
      <c r="C159" s="747" t="s">
        <v>7002</v>
      </c>
      <c r="D159" s="623" t="s">
        <v>8895</v>
      </c>
      <c r="E159" s="623" t="s">
        <v>8896</v>
      </c>
      <c r="F159" s="645">
        <v>495</v>
      </c>
      <c r="G159" s="748" t="s">
        <v>8892</v>
      </c>
      <c r="H159" s="749"/>
    </row>
    <row r="160" spans="1:8" s="524" customFormat="1" ht="16.5" customHeight="1">
      <c r="A160" s="746"/>
      <c r="B160" s="623" t="s">
        <v>8897</v>
      </c>
      <c r="C160" s="747"/>
      <c r="D160" s="623" t="s">
        <v>8893</v>
      </c>
      <c r="E160" s="623"/>
      <c r="F160" s="645">
        <f>450-100</f>
        <v>350</v>
      </c>
      <c r="G160" s="748"/>
      <c r="H160" s="749"/>
    </row>
    <row r="161" spans="1:8" s="524" customFormat="1" ht="16.5" customHeight="1">
      <c r="A161" s="746">
        <v>7</v>
      </c>
      <c r="B161" s="623" t="s">
        <v>8898</v>
      </c>
      <c r="C161" s="747" t="s">
        <v>7002</v>
      </c>
      <c r="D161" s="623" t="s">
        <v>8899</v>
      </c>
      <c r="E161" s="623" t="s">
        <v>8900</v>
      </c>
      <c r="F161" s="645">
        <v>350</v>
      </c>
      <c r="G161" s="748" t="s">
        <v>8901</v>
      </c>
      <c r="H161" s="749"/>
    </row>
    <row r="162" spans="1:8" s="524" customFormat="1" ht="16.5" customHeight="1">
      <c r="A162" s="746"/>
      <c r="B162" s="623" t="s">
        <v>8902</v>
      </c>
      <c r="C162" s="747"/>
      <c r="D162" s="623" t="s">
        <v>8903</v>
      </c>
      <c r="E162" s="623" t="s">
        <v>8904</v>
      </c>
      <c r="F162" s="327">
        <v>1022</v>
      </c>
      <c r="G162" s="748"/>
      <c r="H162" s="749"/>
    </row>
    <row r="163" spans="1:8" s="524" customFormat="1" ht="31.5">
      <c r="A163" s="619">
        <v>8</v>
      </c>
      <c r="B163" s="596" t="s">
        <v>8905</v>
      </c>
      <c r="C163" s="620" t="s">
        <v>7002</v>
      </c>
      <c r="D163" s="623" t="s">
        <v>8906</v>
      </c>
      <c r="E163" s="623" t="s">
        <v>8907</v>
      </c>
      <c r="F163" s="645">
        <v>574</v>
      </c>
      <c r="G163" s="621" t="s">
        <v>8908</v>
      </c>
      <c r="H163" s="622"/>
    </row>
    <row r="164" spans="1:8" s="546" customFormat="1" ht="31.5">
      <c r="A164" s="619">
        <v>9</v>
      </c>
      <c r="B164" s="623" t="s">
        <v>8909</v>
      </c>
      <c r="C164" s="285" t="s">
        <v>6962</v>
      </c>
      <c r="D164" s="623" t="s">
        <v>8910</v>
      </c>
      <c r="E164" s="317" t="s">
        <v>8911</v>
      </c>
      <c r="F164" s="645">
        <v>185</v>
      </c>
      <c r="G164" s="621" t="s">
        <v>8908</v>
      </c>
      <c r="H164" s="622" t="s">
        <v>8912</v>
      </c>
    </row>
    <row r="165" spans="1:8" s="439" customFormat="1" ht="31.5">
      <c r="A165" s="619">
        <v>10</v>
      </c>
      <c r="B165" s="270" t="s">
        <v>8913</v>
      </c>
      <c r="C165" s="622" t="s">
        <v>8914</v>
      </c>
      <c r="D165" s="270" t="s">
        <v>8915</v>
      </c>
      <c r="E165" s="270" t="s">
        <v>8916</v>
      </c>
      <c r="F165" s="651">
        <v>8973.7000000000007</v>
      </c>
      <c r="G165" s="525" t="s">
        <v>8917</v>
      </c>
      <c r="H165" s="433"/>
    </row>
    <row r="166" spans="1:8" s="439" customFormat="1">
      <c r="A166" s="619">
        <v>11</v>
      </c>
      <c r="B166" s="270" t="s">
        <v>8918</v>
      </c>
      <c r="C166" s="622" t="s">
        <v>8919</v>
      </c>
      <c r="D166" s="270" t="s">
        <v>8920</v>
      </c>
      <c r="E166" s="270" t="s">
        <v>8921</v>
      </c>
      <c r="F166" s="646">
        <v>7090</v>
      </c>
      <c r="G166" s="525" t="s">
        <v>8922</v>
      </c>
      <c r="H166" s="433"/>
    </row>
    <row r="167" spans="1:8" s="439" customFormat="1">
      <c r="A167" s="619">
        <v>12</v>
      </c>
      <c r="B167" s="270" t="s">
        <v>8923</v>
      </c>
      <c r="C167" s="622" t="s">
        <v>8919</v>
      </c>
      <c r="D167" s="472" t="s">
        <v>8924</v>
      </c>
      <c r="E167" s="472" t="s">
        <v>8925</v>
      </c>
      <c r="F167" s="647">
        <v>5994.5</v>
      </c>
      <c r="G167" s="597" t="s">
        <v>8926</v>
      </c>
      <c r="H167" s="434"/>
    </row>
    <row r="168" spans="1:8" s="431" customFormat="1" ht="20.100000000000001" customHeight="1">
      <c r="A168" s="625" t="s">
        <v>8934</v>
      </c>
      <c r="B168" s="753" t="s">
        <v>8935</v>
      </c>
      <c r="C168" s="753"/>
      <c r="D168" s="624"/>
      <c r="E168" s="624"/>
      <c r="F168" s="643"/>
      <c r="G168" s="626"/>
      <c r="H168" s="626"/>
    </row>
    <row r="169" spans="1:8">
      <c r="A169" s="471">
        <v>1</v>
      </c>
      <c r="B169" s="434" t="s">
        <v>8936</v>
      </c>
      <c r="C169" s="474" t="s">
        <v>8798</v>
      </c>
      <c r="D169" s="472"/>
      <c r="E169" s="472"/>
      <c r="F169" s="647"/>
      <c r="G169" s="473"/>
      <c r="H169" s="434"/>
    </row>
  </sheetData>
  <mergeCells count="40">
    <mergeCell ref="B168:C168"/>
    <mergeCell ref="A151:A154"/>
    <mergeCell ref="B151:B154"/>
    <mergeCell ref="C151:C154"/>
    <mergeCell ref="A1:H1"/>
    <mergeCell ref="D2:E2"/>
    <mergeCell ref="F2:G2"/>
    <mergeCell ref="A2:A3"/>
    <mergeCell ref="B2:B3"/>
    <mergeCell ref="C2:C3"/>
    <mergeCell ref="B138:C138"/>
    <mergeCell ref="B148:C148"/>
    <mergeCell ref="D151:D152"/>
    <mergeCell ref="E151:E152"/>
    <mergeCell ref="G151:G154"/>
    <mergeCell ref="H151:H154"/>
    <mergeCell ref="I103:I134"/>
    <mergeCell ref="I135:I136"/>
    <mergeCell ref="A4:B4"/>
    <mergeCell ref="B5:C5"/>
    <mergeCell ref="H29:H30"/>
    <mergeCell ref="I29:I30"/>
    <mergeCell ref="A155:A156"/>
    <mergeCell ref="B155:B156"/>
    <mergeCell ref="C155:C156"/>
    <mergeCell ref="G155:G156"/>
    <mergeCell ref="H155:H156"/>
    <mergeCell ref="A157:A158"/>
    <mergeCell ref="B157:B158"/>
    <mergeCell ref="C157:C158"/>
    <mergeCell ref="G157:G158"/>
    <mergeCell ref="H157:H158"/>
    <mergeCell ref="A159:A160"/>
    <mergeCell ref="C159:C160"/>
    <mergeCell ref="G159:G160"/>
    <mergeCell ref="H159:H160"/>
    <mergeCell ref="A161:A162"/>
    <mergeCell ref="C161:C162"/>
    <mergeCell ref="G161:G162"/>
    <mergeCell ref="H161:H162"/>
  </mergeCells>
  <pageMargins left="0.7" right="0.2" top="0.5" bottom="0.5" header="0.05" footer="0.05"/>
  <pageSetup paperSize="9" scale="71"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44"/>
  <sheetViews>
    <sheetView zoomScale="85" zoomScaleNormal="85" zoomScaleSheetLayoutView="85" workbookViewId="0">
      <selection sqref="A1:I1"/>
    </sheetView>
  </sheetViews>
  <sheetFormatPr defaultRowHeight="15.75"/>
  <cols>
    <col min="1" max="1" width="7.28515625" style="230" customWidth="1"/>
    <col min="2" max="2" width="29.140625" style="233" customWidth="1"/>
    <col min="3" max="3" width="33.5703125" style="230" customWidth="1"/>
    <col min="4" max="4" width="37.5703125" style="230" hidden="1" customWidth="1"/>
    <col min="5" max="5" width="25.5703125" style="230" bestFit="1" customWidth="1"/>
    <col min="6" max="6" width="24.28515625" style="230" bestFit="1" customWidth="1"/>
    <col min="7" max="7" width="16.42578125" style="234" customWidth="1"/>
    <col min="8" max="8" width="13.7109375" style="347" customWidth="1"/>
    <col min="9" max="9" width="15.5703125" style="227" customWidth="1"/>
    <col min="10" max="10" width="12.5703125" style="227" hidden="1" customWidth="1"/>
    <col min="11" max="223" width="9.140625" style="227"/>
    <col min="224" max="224" width="7.7109375" style="227" customWidth="1"/>
    <col min="225" max="225" width="27.28515625" style="227" customWidth="1"/>
    <col min="226" max="226" width="15.7109375" style="227" customWidth="1"/>
    <col min="227" max="227" width="25.5703125" style="227" customWidth="1"/>
    <col min="228" max="228" width="29.7109375" style="227" customWidth="1"/>
    <col min="229" max="229" width="20.85546875" style="227" customWidth="1"/>
    <col min="230" max="230" width="18.5703125" style="227" customWidth="1"/>
    <col min="231" max="231" width="16.7109375" style="227" customWidth="1"/>
    <col min="232" max="232" width="13.85546875" style="227" customWidth="1"/>
    <col min="233" max="233" width="14.28515625" style="227" customWidth="1"/>
    <col min="234" max="234" width="12" style="227" customWidth="1"/>
    <col min="235" max="256" width="9.140625" style="227"/>
    <col min="257" max="257" width="7.28515625" style="227" customWidth="1"/>
    <col min="258" max="258" width="27.7109375" style="227" customWidth="1"/>
    <col min="259" max="259" width="21.42578125" style="227" customWidth="1"/>
    <col min="260" max="260" width="35.42578125" style="227" customWidth="1"/>
    <col min="261" max="261" width="21.7109375" style="227" customWidth="1"/>
    <col min="262" max="262" width="18" style="227" customWidth="1"/>
    <col min="263" max="263" width="11.42578125" style="227" customWidth="1"/>
    <col min="264" max="264" width="9.85546875" style="227" customWidth="1"/>
    <col min="265" max="265" width="15.5703125" style="227" customWidth="1"/>
    <col min="266" max="266" width="3.85546875" style="227" customWidth="1"/>
    <col min="267" max="479" width="9.140625" style="227"/>
    <col min="480" max="480" width="7.7109375" style="227" customWidth="1"/>
    <col min="481" max="481" width="27.28515625" style="227" customWidth="1"/>
    <col min="482" max="482" width="15.7109375" style="227" customWidth="1"/>
    <col min="483" max="483" width="25.5703125" style="227" customWidth="1"/>
    <col min="484" max="484" width="29.7109375" style="227" customWidth="1"/>
    <col min="485" max="485" width="20.85546875" style="227" customWidth="1"/>
    <col min="486" max="486" width="18.5703125" style="227" customWidth="1"/>
    <col min="487" max="487" width="16.7109375" style="227" customWidth="1"/>
    <col min="488" max="488" width="13.85546875" style="227" customWidth="1"/>
    <col min="489" max="489" width="14.28515625" style="227" customWidth="1"/>
    <col min="490" max="490" width="12" style="227" customWidth="1"/>
    <col min="491" max="512" width="9.140625" style="227"/>
    <col min="513" max="513" width="7.28515625" style="227" customWidth="1"/>
    <col min="514" max="514" width="27.7109375" style="227" customWidth="1"/>
    <col min="515" max="515" width="21.42578125" style="227" customWidth="1"/>
    <col min="516" max="516" width="35.42578125" style="227" customWidth="1"/>
    <col min="517" max="517" width="21.7109375" style="227" customWidth="1"/>
    <col min="518" max="518" width="18" style="227" customWidth="1"/>
    <col min="519" max="519" width="11.42578125" style="227" customWidth="1"/>
    <col min="520" max="520" width="9.85546875" style="227" customWidth="1"/>
    <col min="521" max="521" width="15.5703125" style="227" customWidth="1"/>
    <col min="522" max="522" width="3.85546875" style="227" customWidth="1"/>
    <col min="523" max="735" width="9.140625" style="227"/>
    <col min="736" max="736" width="7.7109375" style="227" customWidth="1"/>
    <col min="737" max="737" width="27.28515625" style="227" customWidth="1"/>
    <col min="738" max="738" width="15.7109375" style="227" customWidth="1"/>
    <col min="739" max="739" width="25.5703125" style="227" customWidth="1"/>
    <col min="740" max="740" width="29.7109375" style="227" customWidth="1"/>
    <col min="741" max="741" width="20.85546875" style="227" customWidth="1"/>
    <col min="742" max="742" width="18.5703125" style="227" customWidth="1"/>
    <col min="743" max="743" width="16.7109375" style="227" customWidth="1"/>
    <col min="744" max="744" width="13.85546875" style="227" customWidth="1"/>
    <col min="745" max="745" width="14.28515625" style="227" customWidth="1"/>
    <col min="746" max="746" width="12" style="227" customWidth="1"/>
    <col min="747" max="768" width="9.140625" style="227"/>
    <col min="769" max="769" width="7.28515625" style="227" customWidth="1"/>
    <col min="770" max="770" width="27.7109375" style="227" customWidth="1"/>
    <col min="771" max="771" width="21.42578125" style="227" customWidth="1"/>
    <col min="772" max="772" width="35.42578125" style="227" customWidth="1"/>
    <col min="773" max="773" width="21.7109375" style="227" customWidth="1"/>
    <col min="774" max="774" width="18" style="227" customWidth="1"/>
    <col min="775" max="775" width="11.42578125" style="227" customWidth="1"/>
    <col min="776" max="776" width="9.85546875" style="227" customWidth="1"/>
    <col min="777" max="777" width="15.5703125" style="227" customWidth="1"/>
    <col min="778" max="778" width="3.85546875" style="227" customWidth="1"/>
    <col min="779" max="991" width="9.140625" style="227"/>
    <col min="992" max="992" width="7.7109375" style="227" customWidth="1"/>
    <col min="993" max="993" width="27.28515625" style="227" customWidth="1"/>
    <col min="994" max="994" width="15.7109375" style="227" customWidth="1"/>
    <col min="995" max="995" width="25.5703125" style="227" customWidth="1"/>
    <col min="996" max="996" width="29.7109375" style="227" customWidth="1"/>
    <col min="997" max="997" width="20.85546875" style="227" customWidth="1"/>
    <col min="998" max="998" width="18.5703125" style="227" customWidth="1"/>
    <col min="999" max="999" width="16.7109375" style="227" customWidth="1"/>
    <col min="1000" max="1000" width="13.85546875" style="227" customWidth="1"/>
    <col min="1001" max="1001" width="14.28515625" style="227" customWidth="1"/>
    <col min="1002" max="1002" width="12" style="227" customWidth="1"/>
    <col min="1003" max="1024" width="9.140625" style="227"/>
    <col min="1025" max="1025" width="7.28515625" style="227" customWidth="1"/>
    <col min="1026" max="1026" width="27.7109375" style="227" customWidth="1"/>
    <col min="1027" max="1027" width="21.42578125" style="227" customWidth="1"/>
    <col min="1028" max="1028" width="35.42578125" style="227" customWidth="1"/>
    <col min="1029" max="1029" width="21.7109375" style="227" customWidth="1"/>
    <col min="1030" max="1030" width="18" style="227" customWidth="1"/>
    <col min="1031" max="1031" width="11.42578125" style="227" customWidth="1"/>
    <col min="1032" max="1032" width="9.85546875" style="227" customWidth="1"/>
    <col min="1033" max="1033" width="15.5703125" style="227" customWidth="1"/>
    <col min="1034" max="1034" width="3.85546875" style="227" customWidth="1"/>
    <col min="1035" max="1247" width="9.140625" style="227"/>
    <col min="1248" max="1248" width="7.7109375" style="227" customWidth="1"/>
    <col min="1249" max="1249" width="27.28515625" style="227" customWidth="1"/>
    <col min="1250" max="1250" width="15.7109375" style="227" customWidth="1"/>
    <col min="1251" max="1251" width="25.5703125" style="227" customWidth="1"/>
    <col min="1252" max="1252" width="29.7109375" style="227" customWidth="1"/>
    <col min="1253" max="1253" width="20.85546875" style="227" customWidth="1"/>
    <col min="1254" max="1254" width="18.5703125" style="227" customWidth="1"/>
    <col min="1255" max="1255" width="16.7109375" style="227" customWidth="1"/>
    <col min="1256" max="1256" width="13.85546875" style="227" customWidth="1"/>
    <col min="1257" max="1257" width="14.28515625" style="227" customWidth="1"/>
    <col min="1258" max="1258" width="12" style="227" customWidth="1"/>
    <col min="1259" max="1280" width="9.140625" style="227"/>
    <col min="1281" max="1281" width="7.28515625" style="227" customWidth="1"/>
    <col min="1282" max="1282" width="27.7109375" style="227" customWidth="1"/>
    <col min="1283" max="1283" width="21.42578125" style="227" customWidth="1"/>
    <col min="1284" max="1284" width="35.42578125" style="227" customWidth="1"/>
    <col min="1285" max="1285" width="21.7109375" style="227" customWidth="1"/>
    <col min="1286" max="1286" width="18" style="227" customWidth="1"/>
    <col min="1287" max="1287" width="11.42578125" style="227" customWidth="1"/>
    <col min="1288" max="1288" width="9.85546875" style="227" customWidth="1"/>
    <col min="1289" max="1289" width="15.5703125" style="227" customWidth="1"/>
    <col min="1290" max="1290" width="3.85546875" style="227" customWidth="1"/>
    <col min="1291" max="1503" width="9.140625" style="227"/>
    <col min="1504" max="1504" width="7.7109375" style="227" customWidth="1"/>
    <col min="1505" max="1505" width="27.28515625" style="227" customWidth="1"/>
    <col min="1506" max="1506" width="15.7109375" style="227" customWidth="1"/>
    <col min="1507" max="1507" width="25.5703125" style="227" customWidth="1"/>
    <col min="1508" max="1508" width="29.7109375" style="227" customWidth="1"/>
    <col min="1509" max="1509" width="20.85546875" style="227" customWidth="1"/>
    <col min="1510" max="1510" width="18.5703125" style="227" customWidth="1"/>
    <col min="1511" max="1511" width="16.7109375" style="227" customWidth="1"/>
    <col min="1512" max="1512" width="13.85546875" style="227" customWidth="1"/>
    <col min="1513" max="1513" width="14.28515625" style="227" customWidth="1"/>
    <col min="1514" max="1514" width="12" style="227" customWidth="1"/>
    <col min="1515" max="1536" width="9.140625" style="227"/>
    <col min="1537" max="1537" width="7.28515625" style="227" customWidth="1"/>
    <col min="1538" max="1538" width="27.7109375" style="227" customWidth="1"/>
    <col min="1539" max="1539" width="21.42578125" style="227" customWidth="1"/>
    <col min="1540" max="1540" width="35.42578125" style="227" customWidth="1"/>
    <col min="1541" max="1541" width="21.7109375" style="227" customWidth="1"/>
    <col min="1542" max="1542" width="18" style="227" customWidth="1"/>
    <col min="1543" max="1543" width="11.42578125" style="227" customWidth="1"/>
    <col min="1544" max="1544" width="9.85546875" style="227" customWidth="1"/>
    <col min="1545" max="1545" width="15.5703125" style="227" customWidth="1"/>
    <col min="1546" max="1546" width="3.85546875" style="227" customWidth="1"/>
    <col min="1547" max="1759" width="9.140625" style="227"/>
    <col min="1760" max="1760" width="7.7109375" style="227" customWidth="1"/>
    <col min="1761" max="1761" width="27.28515625" style="227" customWidth="1"/>
    <col min="1762" max="1762" width="15.7109375" style="227" customWidth="1"/>
    <col min="1763" max="1763" width="25.5703125" style="227" customWidth="1"/>
    <col min="1764" max="1764" width="29.7109375" style="227" customWidth="1"/>
    <col min="1765" max="1765" width="20.85546875" style="227" customWidth="1"/>
    <col min="1766" max="1766" width="18.5703125" style="227" customWidth="1"/>
    <col min="1767" max="1767" width="16.7109375" style="227" customWidth="1"/>
    <col min="1768" max="1768" width="13.85546875" style="227" customWidth="1"/>
    <col min="1769" max="1769" width="14.28515625" style="227" customWidth="1"/>
    <col min="1770" max="1770" width="12" style="227" customWidth="1"/>
    <col min="1771" max="1792" width="9.140625" style="227"/>
    <col min="1793" max="1793" width="7.28515625" style="227" customWidth="1"/>
    <col min="1794" max="1794" width="27.7109375" style="227" customWidth="1"/>
    <col min="1795" max="1795" width="21.42578125" style="227" customWidth="1"/>
    <col min="1796" max="1796" width="35.42578125" style="227" customWidth="1"/>
    <col min="1797" max="1797" width="21.7109375" style="227" customWidth="1"/>
    <col min="1798" max="1798" width="18" style="227" customWidth="1"/>
    <col min="1799" max="1799" width="11.42578125" style="227" customWidth="1"/>
    <col min="1800" max="1800" width="9.85546875" style="227" customWidth="1"/>
    <col min="1801" max="1801" width="15.5703125" style="227" customWidth="1"/>
    <col min="1802" max="1802" width="3.85546875" style="227" customWidth="1"/>
    <col min="1803" max="2015" width="9.140625" style="227"/>
    <col min="2016" max="2016" width="7.7109375" style="227" customWidth="1"/>
    <col min="2017" max="2017" width="27.28515625" style="227" customWidth="1"/>
    <col min="2018" max="2018" width="15.7109375" style="227" customWidth="1"/>
    <col min="2019" max="2019" width="25.5703125" style="227" customWidth="1"/>
    <col min="2020" max="2020" width="29.7109375" style="227" customWidth="1"/>
    <col min="2021" max="2021" width="20.85546875" style="227" customWidth="1"/>
    <col min="2022" max="2022" width="18.5703125" style="227" customWidth="1"/>
    <col min="2023" max="2023" width="16.7109375" style="227" customWidth="1"/>
    <col min="2024" max="2024" width="13.85546875" style="227" customWidth="1"/>
    <col min="2025" max="2025" width="14.28515625" style="227" customWidth="1"/>
    <col min="2026" max="2026" width="12" style="227" customWidth="1"/>
    <col min="2027" max="2048" width="9.140625" style="227"/>
    <col min="2049" max="2049" width="7.28515625" style="227" customWidth="1"/>
    <col min="2050" max="2050" width="27.7109375" style="227" customWidth="1"/>
    <col min="2051" max="2051" width="21.42578125" style="227" customWidth="1"/>
    <col min="2052" max="2052" width="35.42578125" style="227" customWidth="1"/>
    <col min="2053" max="2053" width="21.7109375" style="227" customWidth="1"/>
    <col min="2054" max="2054" width="18" style="227" customWidth="1"/>
    <col min="2055" max="2055" width="11.42578125" style="227" customWidth="1"/>
    <col min="2056" max="2056" width="9.85546875" style="227" customWidth="1"/>
    <col min="2057" max="2057" width="15.5703125" style="227" customWidth="1"/>
    <col min="2058" max="2058" width="3.85546875" style="227" customWidth="1"/>
    <col min="2059" max="2271" width="9.140625" style="227"/>
    <col min="2272" max="2272" width="7.7109375" style="227" customWidth="1"/>
    <col min="2273" max="2273" width="27.28515625" style="227" customWidth="1"/>
    <col min="2274" max="2274" width="15.7109375" style="227" customWidth="1"/>
    <col min="2275" max="2275" width="25.5703125" style="227" customWidth="1"/>
    <col min="2276" max="2276" width="29.7109375" style="227" customWidth="1"/>
    <col min="2277" max="2277" width="20.85546875" style="227" customWidth="1"/>
    <col min="2278" max="2278" width="18.5703125" style="227" customWidth="1"/>
    <col min="2279" max="2279" width="16.7109375" style="227" customWidth="1"/>
    <col min="2280" max="2280" width="13.85546875" style="227" customWidth="1"/>
    <col min="2281" max="2281" width="14.28515625" style="227" customWidth="1"/>
    <col min="2282" max="2282" width="12" style="227" customWidth="1"/>
    <col min="2283" max="2304" width="9.140625" style="227"/>
    <col min="2305" max="2305" width="7.28515625" style="227" customWidth="1"/>
    <col min="2306" max="2306" width="27.7109375" style="227" customWidth="1"/>
    <col min="2307" max="2307" width="21.42578125" style="227" customWidth="1"/>
    <col min="2308" max="2308" width="35.42578125" style="227" customWidth="1"/>
    <col min="2309" max="2309" width="21.7109375" style="227" customWidth="1"/>
    <col min="2310" max="2310" width="18" style="227" customWidth="1"/>
    <col min="2311" max="2311" width="11.42578125" style="227" customWidth="1"/>
    <col min="2312" max="2312" width="9.85546875" style="227" customWidth="1"/>
    <col min="2313" max="2313" width="15.5703125" style="227" customWidth="1"/>
    <col min="2314" max="2314" width="3.85546875" style="227" customWidth="1"/>
    <col min="2315" max="2527" width="9.140625" style="227"/>
    <col min="2528" max="2528" width="7.7109375" style="227" customWidth="1"/>
    <col min="2529" max="2529" width="27.28515625" style="227" customWidth="1"/>
    <col min="2530" max="2530" width="15.7109375" style="227" customWidth="1"/>
    <col min="2531" max="2531" width="25.5703125" style="227" customWidth="1"/>
    <col min="2532" max="2532" width="29.7109375" style="227" customWidth="1"/>
    <col min="2533" max="2533" width="20.85546875" style="227" customWidth="1"/>
    <col min="2534" max="2534" width="18.5703125" style="227" customWidth="1"/>
    <col min="2535" max="2535" width="16.7109375" style="227" customWidth="1"/>
    <col min="2536" max="2536" width="13.85546875" style="227" customWidth="1"/>
    <col min="2537" max="2537" width="14.28515625" style="227" customWidth="1"/>
    <col min="2538" max="2538" width="12" style="227" customWidth="1"/>
    <col min="2539" max="2560" width="9.140625" style="227"/>
    <col min="2561" max="2561" width="7.28515625" style="227" customWidth="1"/>
    <col min="2562" max="2562" width="27.7109375" style="227" customWidth="1"/>
    <col min="2563" max="2563" width="21.42578125" style="227" customWidth="1"/>
    <col min="2564" max="2564" width="35.42578125" style="227" customWidth="1"/>
    <col min="2565" max="2565" width="21.7109375" style="227" customWidth="1"/>
    <col min="2566" max="2566" width="18" style="227" customWidth="1"/>
    <col min="2567" max="2567" width="11.42578125" style="227" customWidth="1"/>
    <col min="2568" max="2568" width="9.85546875" style="227" customWidth="1"/>
    <col min="2569" max="2569" width="15.5703125" style="227" customWidth="1"/>
    <col min="2570" max="2570" width="3.85546875" style="227" customWidth="1"/>
    <col min="2571" max="2783" width="9.140625" style="227"/>
    <col min="2784" max="2784" width="7.7109375" style="227" customWidth="1"/>
    <col min="2785" max="2785" width="27.28515625" style="227" customWidth="1"/>
    <col min="2786" max="2786" width="15.7109375" style="227" customWidth="1"/>
    <col min="2787" max="2787" width="25.5703125" style="227" customWidth="1"/>
    <col min="2788" max="2788" width="29.7109375" style="227" customWidth="1"/>
    <col min="2789" max="2789" width="20.85546875" style="227" customWidth="1"/>
    <col min="2790" max="2790" width="18.5703125" style="227" customWidth="1"/>
    <col min="2791" max="2791" width="16.7109375" style="227" customWidth="1"/>
    <col min="2792" max="2792" width="13.85546875" style="227" customWidth="1"/>
    <col min="2793" max="2793" width="14.28515625" style="227" customWidth="1"/>
    <col min="2794" max="2794" width="12" style="227" customWidth="1"/>
    <col min="2795" max="2816" width="9.140625" style="227"/>
    <col min="2817" max="2817" width="7.28515625" style="227" customWidth="1"/>
    <col min="2818" max="2818" width="27.7109375" style="227" customWidth="1"/>
    <col min="2819" max="2819" width="21.42578125" style="227" customWidth="1"/>
    <col min="2820" max="2820" width="35.42578125" style="227" customWidth="1"/>
    <col min="2821" max="2821" width="21.7109375" style="227" customWidth="1"/>
    <col min="2822" max="2822" width="18" style="227" customWidth="1"/>
    <col min="2823" max="2823" width="11.42578125" style="227" customWidth="1"/>
    <col min="2824" max="2824" width="9.85546875" style="227" customWidth="1"/>
    <col min="2825" max="2825" width="15.5703125" style="227" customWidth="1"/>
    <col min="2826" max="2826" width="3.85546875" style="227" customWidth="1"/>
    <col min="2827" max="3039" width="9.140625" style="227"/>
    <col min="3040" max="3040" width="7.7109375" style="227" customWidth="1"/>
    <col min="3041" max="3041" width="27.28515625" style="227" customWidth="1"/>
    <col min="3042" max="3042" width="15.7109375" style="227" customWidth="1"/>
    <col min="3043" max="3043" width="25.5703125" style="227" customWidth="1"/>
    <col min="3044" max="3044" width="29.7109375" style="227" customWidth="1"/>
    <col min="3045" max="3045" width="20.85546875" style="227" customWidth="1"/>
    <col min="3046" max="3046" width="18.5703125" style="227" customWidth="1"/>
    <col min="3047" max="3047" width="16.7109375" style="227" customWidth="1"/>
    <col min="3048" max="3048" width="13.85546875" style="227" customWidth="1"/>
    <col min="3049" max="3049" width="14.28515625" style="227" customWidth="1"/>
    <col min="3050" max="3050" width="12" style="227" customWidth="1"/>
    <col min="3051" max="3072" width="9.140625" style="227"/>
    <col min="3073" max="3073" width="7.28515625" style="227" customWidth="1"/>
    <col min="3074" max="3074" width="27.7109375" style="227" customWidth="1"/>
    <col min="3075" max="3075" width="21.42578125" style="227" customWidth="1"/>
    <col min="3076" max="3076" width="35.42578125" style="227" customWidth="1"/>
    <col min="3077" max="3077" width="21.7109375" style="227" customWidth="1"/>
    <col min="3078" max="3078" width="18" style="227" customWidth="1"/>
    <col min="3079" max="3079" width="11.42578125" style="227" customWidth="1"/>
    <col min="3080" max="3080" width="9.85546875" style="227" customWidth="1"/>
    <col min="3081" max="3081" width="15.5703125" style="227" customWidth="1"/>
    <col min="3082" max="3082" width="3.85546875" style="227" customWidth="1"/>
    <col min="3083" max="3295" width="9.140625" style="227"/>
    <col min="3296" max="3296" width="7.7109375" style="227" customWidth="1"/>
    <col min="3297" max="3297" width="27.28515625" style="227" customWidth="1"/>
    <col min="3298" max="3298" width="15.7109375" style="227" customWidth="1"/>
    <col min="3299" max="3299" width="25.5703125" style="227" customWidth="1"/>
    <col min="3300" max="3300" width="29.7109375" style="227" customWidth="1"/>
    <col min="3301" max="3301" width="20.85546875" style="227" customWidth="1"/>
    <col min="3302" max="3302" width="18.5703125" style="227" customWidth="1"/>
    <col min="3303" max="3303" width="16.7109375" style="227" customWidth="1"/>
    <col min="3304" max="3304" width="13.85546875" style="227" customWidth="1"/>
    <col min="3305" max="3305" width="14.28515625" style="227" customWidth="1"/>
    <col min="3306" max="3306" width="12" style="227" customWidth="1"/>
    <col min="3307" max="3328" width="9.140625" style="227"/>
    <col min="3329" max="3329" width="7.28515625" style="227" customWidth="1"/>
    <col min="3330" max="3330" width="27.7109375" style="227" customWidth="1"/>
    <col min="3331" max="3331" width="21.42578125" style="227" customWidth="1"/>
    <col min="3332" max="3332" width="35.42578125" style="227" customWidth="1"/>
    <col min="3333" max="3333" width="21.7109375" style="227" customWidth="1"/>
    <col min="3334" max="3334" width="18" style="227" customWidth="1"/>
    <col min="3335" max="3335" width="11.42578125" style="227" customWidth="1"/>
    <col min="3336" max="3336" width="9.85546875" style="227" customWidth="1"/>
    <col min="3337" max="3337" width="15.5703125" style="227" customWidth="1"/>
    <col min="3338" max="3338" width="3.85546875" style="227" customWidth="1"/>
    <col min="3339" max="3551" width="9.140625" style="227"/>
    <col min="3552" max="3552" width="7.7109375" style="227" customWidth="1"/>
    <col min="3553" max="3553" width="27.28515625" style="227" customWidth="1"/>
    <col min="3554" max="3554" width="15.7109375" style="227" customWidth="1"/>
    <col min="3555" max="3555" width="25.5703125" style="227" customWidth="1"/>
    <col min="3556" max="3556" width="29.7109375" style="227" customWidth="1"/>
    <col min="3557" max="3557" width="20.85546875" style="227" customWidth="1"/>
    <col min="3558" max="3558" width="18.5703125" style="227" customWidth="1"/>
    <col min="3559" max="3559" width="16.7109375" style="227" customWidth="1"/>
    <col min="3560" max="3560" width="13.85546875" style="227" customWidth="1"/>
    <col min="3561" max="3561" width="14.28515625" style="227" customWidth="1"/>
    <col min="3562" max="3562" width="12" style="227" customWidth="1"/>
    <col min="3563" max="3584" width="9.140625" style="227"/>
    <col min="3585" max="3585" width="7.28515625" style="227" customWidth="1"/>
    <col min="3586" max="3586" width="27.7109375" style="227" customWidth="1"/>
    <col min="3587" max="3587" width="21.42578125" style="227" customWidth="1"/>
    <col min="3588" max="3588" width="35.42578125" style="227" customWidth="1"/>
    <col min="3589" max="3589" width="21.7109375" style="227" customWidth="1"/>
    <col min="3590" max="3590" width="18" style="227" customWidth="1"/>
    <col min="3591" max="3591" width="11.42578125" style="227" customWidth="1"/>
    <col min="3592" max="3592" width="9.85546875" style="227" customWidth="1"/>
    <col min="3593" max="3593" width="15.5703125" style="227" customWidth="1"/>
    <col min="3594" max="3594" width="3.85546875" style="227" customWidth="1"/>
    <col min="3595" max="3807" width="9.140625" style="227"/>
    <col min="3808" max="3808" width="7.7109375" style="227" customWidth="1"/>
    <col min="3809" max="3809" width="27.28515625" style="227" customWidth="1"/>
    <col min="3810" max="3810" width="15.7109375" style="227" customWidth="1"/>
    <col min="3811" max="3811" width="25.5703125" style="227" customWidth="1"/>
    <col min="3812" max="3812" width="29.7109375" style="227" customWidth="1"/>
    <col min="3813" max="3813" width="20.85546875" style="227" customWidth="1"/>
    <col min="3814" max="3814" width="18.5703125" style="227" customWidth="1"/>
    <col min="3815" max="3815" width="16.7109375" style="227" customWidth="1"/>
    <col min="3816" max="3816" width="13.85546875" style="227" customWidth="1"/>
    <col min="3817" max="3817" width="14.28515625" style="227" customWidth="1"/>
    <col min="3818" max="3818" width="12" style="227" customWidth="1"/>
    <col min="3819" max="3840" width="9.140625" style="227"/>
    <col min="3841" max="3841" width="7.28515625" style="227" customWidth="1"/>
    <col min="3842" max="3842" width="27.7109375" style="227" customWidth="1"/>
    <col min="3843" max="3843" width="21.42578125" style="227" customWidth="1"/>
    <col min="3844" max="3844" width="35.42578125" style="227" customWidth="1"/>
    <col min="3845" max="3845" width="21.7109375" style="227" customWidth="1"/>
    <col min="3846" max="3846" width="18" style="227" customWidth="1"/>
    <col min="3847" max="3847" width="11.42578125" style="227" customWidth="1"/>
    <col min="3848" max="3848" width="9.85546875" style="227" customWidth="1"/>
    <col min="3849" max="3849" width="15.5703125" style="227" customWidth="1"/>
    <col min="3850" max="3850" width="3.85546875" style="227" customWidth="1"/>
    <col min="3851" max="4063" width="9.140625" style="227"/>
    <col min="4064" max="4064" width="7.7109375" style="227" customWidth="1"/>
    <col min="4065" max="4065" width="27.28515625" style="227" customWidth="1"/>
    <col min="4066" max="4066" width="15.7109375" style="227" customWidth="1"/>
    <col min="4067" max="4067" width="25.5703125" style="227" customWidth="1"/>
    <col min="4068" max="4068" width="29.7109375" style="227" customWidth="1"/>
    <col min="4069" max="4069" width="20.85546875" style="227" customWidth="1"/>
    <col min="4070" max="4070" width="18.5703125" style="227" customWidth="1"/>
    <col min="4071" max="4071" width="16.7109375" style="227" customWidth="1"/>
    <col min="4072" max="4072" width="13.85546875" style="227" customWidth="1"/>
    <col min="4073" max="4073" width="14.28515625" style="227" customWidth="1"/>
    <col min="4074" max="4074" width="12" style="227" customWidth="1"/>
    <col min="4075" max="4096" width="9.140625" style="227"/>
    <col min="4097" max="4097" width="7.28515625" style="227" customWidth="1"/>
    <col min="4098" max="4098" width="27.7109375" style="227" customWidth="1"/>
    <col min="4099" max="4099" width="21.42578125" style="227" customWidth="1"/>
    <col min="4100" max="4100" width="35.42578125" style="227" customWidth="1"/>
    <col min="4101" max="4101" width="21.7109375" style="227" customWidth="1"/>
    <col min="4102" max="4102" width="18" style="227" customWidth="1"/>
    <col min="4103" max="4103" width="11.42578125" style="227" customWidth="1"/>
    <col min="4104" max="4104" width="9.85546875" style="227" customWidth="1"/>
    <col min="4105" max="4105" width="15.5703125" style="227" customWidth="1"/>
    <col min="4106" max="4106" width="3.85546875" style="227" customWidth="1"/>
    <col min="4107" max="4319" width="9.140625" style="227"/>
    <col min="4320" max="4320" width="7.7109375" style="227" customWidth="1"/>
    <col min="4321" max="4321" width="27.28515625" style="227" customWidth="1"/>
    <col min="4322" max="4322" width="15.7109375" style="227" customWidth="1"/>
    <col min="4323" max="4323" width="25.5703125" style="227" customWidth="1"/>
    <col min="4324" max="4324" width="29.7109375" style="227" customWidth="1"/>
    <col min="4325" max="4325" width="20.85546875" style="227" customWidth="1"/>
    <col min="4326" max="4326" width="18.5703125" style="227" customWidth="1"/>
    <col min="4327" max="4327" width="16.7109375" style="227" customWidth="1"/>
    <col min="4328" max="4328" width="13.85546875" style="227" customWidth="1"/>
    <col min="4329" max="4329" width="14.28515625" style="227" customWidth="1"/>
    <col min="4330" max="4330" width="12" style="227" customWidth="1"/>
    <col min="4331" max="4352" width="9.140625" style="227"/>
    <col min="4353" max="4353" width="7.28515625" style="227" customWidth="1"/>
    <col min="4354" max="4354" width="27.7109375" style="227" customWidth="1"/>
    <col min="4355" max="4355" width="21.42578125" style="227" customWidth="1"/>
    <col min="4356" max="4356" width="35.42578125" style="227" customWidth="1"/>
    <col min="4357" max="4357" width="21.7109375" style="227" customWidth="1"/>
    <col min="4358" max="4358" width="18" style="227" customWidth="1"/>
    <col min="4359" max="4359" width="11.42578125" style="227" customWidth="1"/>
    <col min="4360" max="4360" width="9.85546875" style="227" customWidth="1"/>
    <col min="4361" max="4361" width="15.5703125" style="227" customWidth="1"/>
    <col min="4362" max="4362" width="3.85546875" style="227" customWidth="1"/>
    <col min="4363" max="4575" width="9.140625" style="227"/>
    <col min="4576" max="4576" width="7.7109375" style="227" customWidth="1"/>
    <col min="4577" max="4577" width="27.28515625" style="227" customWidth="1"/>
    <col min="4578" max="4578" width="15.7109375" style="227" customWidth="1"/>
    <col min="4579" max="4579" width="25.5703125" style="227" customWidth="1"/>
    <col min="4580" max="4580" width="29.7109375" style="227" customWidth="1"/>
    <col min="4581" max="4581" width="20.85546875" style="227" customWidth="1"/>
    <col min="4582" max="4582" width="18.5703125" style="227" customWidth="1"/>
    <col min="4583" max="4583" width="16.7109375" style="227" customWidth="1"/>
    <col min="4584" max="4584" width="13.85546875" style="227" customWidth="1"/>
    <col min="4585" max="4585" width="14.28515625" style="227" customWidth="1"/>
    <col min="4586" max="4586" width="12" style="227" customWidth="1"/>
    <col min="4587" max="4608" width="9.140625" style="227"/>
    <col min="4609" max="4609" width="7.28515625" style="227" customWidth="1"/>
    <col min="4610" max="4610" width="27.7109375" style="227" customWidth="1"/>
    <col min="4611" max="4611" width="21.42578125" style="227" customWidth="1"/>
    <col min="4612" max="4612" width="35.42578125" style="227" customWidth="1"/>
    <col min="4613" max="4613" width="21.7109375" style="227" customWidth="1"/>
    <col min="4614" max="4614" width="18" style="227" customWidth="1"/>
    <col min="4615" max="4615" width="11.42578125" style="227" customWidth="1"/>
    <col min="4616" max="4616" width="9.85546875" style="227" customWidth="1"/>
    <col min="4617" max="4617" width="15.5703125" style="227" customWidth="1"/>
    <col min="4618" max="4618" width="3.85546875" style="227" customWidth="1"/>
    <col min="4619" max="4831" width="9.140625" style="227"/>
    <col min="4832" max="4832" width="7.7109375" style="227" customWidth="1"/>
    <col min="4833" max="4833" width="27.28515625" style="227" customWidth="1"/>
    <col min="4834" max="4834" width="15.7109375" style="227" customWidth="1"/>
    <col min="4835" max="4835" width="25.5703125" style="227" customWidth="1"/>
    <col min="4836" max="4836" width="29.7109375" style="227" customWidth="1"/>
    <col min="4837" max="4837" width="20.85546875" style="227" customWidth="1"/>
    <col min="4838" max="4838" width="18.5703125" style="227" customWidth="1"/>
    <col min="4839" max="4839" width="16.7109375" style="227" customWidth="1"/>
    <col min="4840" max="4840" width="13.85546875" style="227" customWidth="1"/>
    <col min="4841" max="4841" width="14.28515625" style="227" customWidth="1"/>
    <col min="4842" max="4842" width="12" style="227" customWidth="1"/>
    <col min="4843" max="4864" width="9.140625" style="227"/>
    <col min="4865" max="4865" width="7.28515625" style="227" customWidth="1"/>
    <col min="4866" max="4866" width="27.7109375" style="227" customWidth="1"/>
    <col min="4867" max="4867" width="21.42578125" style="227" customWidth="1"/>
    <col min="4868" max="4868" width="35.42578125" style="227" customWidth="1"/>
    <col min="4869" max="4869" width="21.7109375" style="227" customWidth="1"/>
    <col min="4870" max="4870" width="18" style="227" customWidth="1"/>
    <col min="4871" max="4871" width="11.42578125" style="227" customWidth="1"/>
    <col min="4872" max="4872" width="9.85546875" style="227" customWidth="1"/>
    <col min="4873" max="4873" width="15.5703125" style="227" customWidth="1"/>
    <col min="4874" max="4874" width="3.85546875" style="227" customWidth="1"/>
    <col min="4875" max="5087" width="9.140625" style="227"/>
    <col min="5088" max="5088" width="7.7109375" style="227" customWidth="1"/>
    <col min="5089" max="5089" width="27.28515625" style="227" customWidth="1"/>
    <col min="5090" max="5090" width="15.7109375" style="227" customWidth="1"/>
    <col min="5091" max="5091" width="25.5703125" style="227" customWidth="1"/>
    <col min="5092" max="5092" width="29.7109375" style="227" customWidth="1"/>
    <col min="5093" max="5093" width="20.85546875" style="227" customWidth="1"/>
    <col min="5094" max="5094" width="18.5703125" style="227" customWidth="1"/>
    <col min="5095" max="5095" width="16.7109375" style="227" customWidth="1"/>
    <col min="5096" max="5096" width="13.85546875" style="227" customWidth="1"/>
    <col min="5097" max="5097" width="14.28515625" style="227" customWidth="1"/>
    <col min="5098" max="5098" width="12" style="227" customWidth="1"/>
    <col min="5099" max="5120" width="9.140625" style="227"/>
    <col min="5121" max="5121" width="7.28515625" style="227" customWidth="1"/>
    <col min="5122" max="5122" width="27.7109375" style="227" customWidth="1"/>
    <col min="5123" max="5123" width="21.42578125" style="227" customWidth="1"/>
    <col min="5124" max="5124" width="35.42578125" style="227" customWidth="1"/>
    <col min="5125" max="5125" width="21.7109375" style="227" customWidth="1"/>
    <col min="5126" max="5126" width="18" style="227" customWidth="1"/>
    <col min="5127" max="5127" width="11.42578125" style="227" customWidth="1"/>
    <col min="5128" max="5128" width="9.85546875" style="227" customWidth="1"/>
    <col min="5129" max="5129" width="15.5703125" style="227" customWidth="1"/>
    <col min="5130" max="5130" width="3.85546875" style="227" customWidth="1"/>
    <col min="5131" max="5343" width="9.140625" style="227"/>
    <col min="5344" max="5344" width="7.7109375" style="227" customWidth="1"/>
    <col min="5345" max="5345" width="27.28515625" style="227" customWidth="1"/>
    <col min="5346" max="5346" width="15.7109375" style="227" customWidth="1"/>
    <col min="5347" max="5347" width="25.5703125" style="227" customWidth="1"/>
    <col min="5348" max="5348" width="29.7109375" style="227" customWidth="1"/>
    <col min="5349" max="5349" width="20.85546875" style="227" customWidth="1"/>
    <col min="5350" max="5350" width="18.5703125" style="227" customWidth="1"/>
    <col min="5351" max="5351" width="16.7109375" style="227" customWidth="1"/>
    <col min="5352" max="5352" width="13.85546875" style="227" customWidth="1"/>
    <col min="5353" max="5353" width="14.28515625" style="227" customWidth="1"/>
    <col min="5354" max="5354" width="12" style="227" customWidth="1"/>
    <col min="5355" max="5376" width="9.140625" style="227"/>
    <col min="5377" max="5377" width="7.28515625" style="227" customWidth="1"/>
    <col min="5378" max="5378" width="27.7109375" style="227" customWidth="1"/>
    <col min="5379" max="5379" width="21.42578125" style="227" customWidth="1"/>
    <col min="5380" max="5380" width="35.42578125" style="227" customWidth="1"/>
    <col min="5381" max="5381" width="21.7109375" style="227" customWidth="1"/>
    <col min="5382" max="5382" width="18" style="227" customWidth="1"/>
    <col min="5383" max="5383" width="11.42578125" style="227" customWidth="1"/>
    <col min="5384" max="5384" width="9.85546875" style="227" customWidth="1"/>
    <col min="5385" max="5385" width="15.5703125" style="227" customWidth="1"/>
    <col min="5386" max="5386" width="3.85546875" style="227" customWidth="1"/>
    <col min="5387" max="5599" width="9.140625" style="227"/>
    <col min="5600" max="5600" width="7.7109375" style="227" customWidth="1"/>
    <col min="5601" max="5601" width="27.28515625" style="227" customWidth="1"/>
    <col min="5602" max="5602" width="15.7109375" style="227" customWidth="1"/>
    <col min="5603" max="5603" width="25.5703125" style="227" customWidth="1"/>
    <col min="5604" max="5604" width="29.7109375" style="227" customWidth="1"/>
    <col min="5605" max="5605" width="20.85546875" style="227" customWidth="1"/>
    <col min="5606" max="5606" width="18.5703125" style="227" customWidth="1"/>
    <col min="5607" max="5607" width="16.7109375" style="227" customWidth="1"/>
    <col min="5608" max="5608" width="13.85546875" style="227" customWidth="1"/>
    <col min="5609" max="5609" width="14.28515625" style="227" customWidth="1"/>
    <col min="5610" max="5610" width="12" style="227" customWidth="1"/>
    <col min="5611" max="5632" width="9.140625" style="227"/>
    <col min="5633" max="5633" width="7.28515625" style="227" customWidth="1"/>
    <col min="5634" max="5634" width="27.7109375" style="227" customWidth="1"/>
    <col min="5635" max="5635" width="21.42578125" style="227" customWidth="1"/>
    <col min="5636" max="5636" width="35.42578125" style="227" customWidth="1"/>
    <col min="5637" max="5637" width="21.7109375" style="227" customWidth="1"/>
    <col min="5638" max="5638" width="18" style="227" customWidth="1"/>
    <col min="5639" max="5639" width="11.42578125" style="227" customWidth="1"/>
    <col min="5640" max="5640" width="9.85546875" style="227" customWidth="1"/>
    <col min="5641" max="5641" width="15.5703125" style="227" customWidth="1"/>
    <col min="5642" max="5642" width="3.85546875" style="227" customWidth="1"/>
    <col min="5643" max="5855" width="9.140625" style="227"/>
    <col min="5856" max="5856" width="7.7109375" style="227" customWidth="1"/>
    <col min="5857" max="5857" width="27.28515625" style="227" customWidth="1"/>
    <col min="5858" max="5858" width="15.7109375" style="227" customWidth="1"/>
    <col min="5859" max="5859" width="25.5703125" style="227" customWidth="1"/>
    <col min="5860" max="5860" width="29.7109375" style="227" customWidth="1"/>
    <col min="5861" max="5861" width="20.85546875" style="227" customWidth="1"/>
    <col min="5862" max="5862" width="18.5703125" style="227" customWidth="1"/>
    <col min="5863" max="5863" width="16.7109375" style="227" customWidth="1"/>
    <col min="5864" max="5864" width="13.85546875" style="227" customWidth="1"/>
    <col min="5865" max="5865" width="14.28515625" style="227" customWidth="1"/>
    <col min="5866" max="5866" width="12" style="227" customWidth="1"/>
    <col min="5867" max="5888" width="9.140625" style="227"/>
    <col min="5889" max="5889" width="7.28515625" style="227" customWidth="1"/>
    <col min="5890" max="5890" width="27.7109375" style="227" customWidth="1"/>
    <col min="5891" max="5891" width="21.42578125" style="227" customWidth="1"/>
    <col min="5892" max="5892" width="35.42578125" style="227" customWidth="1"/>
    <col min="5893" max="5893" width="21.7109375" style="227" customWidth="1"/>
    <col min="5894" max="5894" width="18" style="227" customWidth="1"/>
    <col min="5895" max="5895" width="11.42578125" style="227" customWidth="1"/>
    <col min="5896" max="5896" width="9.85546875" style="227" customWidth="1"/>
    <col min="5897" max="5897" width="15.5703125" style="227" customWidth="1"/>
    <col min="5898" max="5898" width="3.85546875" style="227" customWidth="1"/>
    <col min="5899" max="6111" width="9.140625" style="227"/>
    <col min="6112" max="6112" width="7.7109375" style="227" customWidth="1"/>
    <col min="6113" max="6113" width="27.28515625" style="227" customWidth="1"/>
    <col min="6114" max="6114" width="15.7109375" style="227" customWidth="1"/>
    <col min="6115" max="6115" width="25.5703125" style="227" customWidth="1"/>
    <col min="6116" max="6116" width="29.7109375" style="227" customWidth="1"/>
    <col min="6117" max="6117" width="20.85546875" style="227" customWidth="1"/>
    <col min="6118" max="6118" width="18.5703125" style="227" customWidth="1"/>
    <col min="6119" max="6119" width="16.7109375" style="227" customWidth="1"/>
    <col min="6120" max="6120" width="13.85546875" style="227" customWidth="1"/>
    <col min="6121" max="6121" width="14.28515625" style="227" customWidth="1"/>
    <col min="6122" max="6122" width="12" style="227" customWidth="1"/>
    <col min="6123" max="6144" width="9.140625" style="227"/>
    <col min="6145" max="6145" width="7.28515625" style="227" customWidth="1"/>
    <col min="6146" max="6146" width="27.7109375" style="227" customWidth="1"/>
    <col min="6147" max="6147" width="21.42578125" style="227" customWidth="1"/>
    <col min="6148" max="6148" width="35.42578125" style="227" customWidth="1"/>
    <col min="6149" max="6149" width="21.7109375" style="227" customWidth="1"/>
    <col min="6150" max="6150" width="18" style="227" customWidth="1"/>
    <col min="6151" max="6151" width="11.42578125" style="227" customWidth="1"/>
    <col min="6152" max="6152" width="9.85546875" style="227" customWidth="1"/>
    <col min="6153" max="6153" width="15.5703125" style="227" customWidth="1"/>
    <col min="6154" max="6154" width="3.85546875" style="227" customWidth="1"/>
    <col min="6155" max="6367" width="9.140625" style="227"/>
    <col min="6368" max="6368" width="7.7109375" style="227" customWidth="1"/>
    <col min="6369" max="6369" width="27.28515625" style="227" customWidth="1"/>
    <col min="6370" max="6370" width="15.7109375" style="227" customWidth="1"/>
    <col min="6371" max="6371" width="25.5703125" style="227" customWidth="1"/>
    <col min="6372" max="6372" width="29.7109375" style="227" customWidth="1"/>
    <col min="6373" max="6373" width="20.85546875" style="227" customWidth="1"/>
    <col min="6374" max="6374" width="18.5703125" style="227" customWidth="1"/>
    <col min="6375" max="6375" width="16.7109375" style="227" customWidth="1"/>
    <col min="6376" max="6376" width="13.85546875" style="227" customWidth="1"/>
    <col min="6377" max="6377" width="14.28515625" style="227" customWidth="1"/>
    <col min="6378" max="6378" width="12" style="227" customWidth="1"/>
    <col min="6379" max="6400" width="9.140625" style="227"/>
    <col min="6401" max="6401" width="7.28515625" style="227" customWidth="1"/>
    <col min="6402" max="6402" width="27.7109375" style="227" customWidth="1"/>
    <col min="6403" max="6403" width="21.42578125" style="227" customWidth="1"/>
    <col min="6404" max="6404" width="35.42578125" style="227" customWidth="1"/>
    <col min="6405" max="6405" width="21.7109375" style="227" customWidth="1"/>
    <col min="6406" max="6406" width="18" style="227" customWidth="1"/>
    <col min="6407" max="6407" width="11.42578125" style="227" customWidth="1"/>
    <col min="6408" max="6408" width="9.85546875" style="227" customWidth="1"/>
    <col min="6409" max="6409" width="15.5703125" style="227" customWidth="1"/>
    <col min="6410" max="6410" width="3.85546875" style="227" customWidth="1"/>
    <col min="6411" max="6623" width="9.140625" style="227"/>
    <col min="6624" max="6624" width="7.7109375" style="227" customWidth="1"/>
    <col min="6625" max="6625" width="27.28515625" style="227" customWidth="1"/>
    <col min="6626" max="6626" width="15.7109375" style="227" customWidth="1"/>
    <col min="6627" max="6627" width="25.5703125" style="227" customWidth="1"/>
    <col min="6628" max="6628" width="29.7109375" style="227" customWidth="1"/>
    <col min="6629" max="6629" width="20.85546875" style="227" customWidth="1"/>
    <col min="6630" max="6630" width="18.5703125" style="227" customWidth="1"/>
    <col min="6631" max="6631" width="16.7109375" style="227" customWidth="1"/>
    <col min="6632" max="6632" width="13.85546875" style="227" customWidth="1"/>
    <col min="6633" max="6633" width="14.28515625" style="227" customWidth="1"/>
    <col min="6634" max="6634" width="12" style="227" customWidth="1"/>
    <col min="6635" max="6656" width="9.140625" style="227"/>
    <col min="6657" max="6657" width="7.28515625" style="227" customWidth="1"/>
    <col min="6658" max="6658" width="27.7109375" style="227" customWidth="1"/>
    <col min="6659" max="6659" width="21.42578125" style="227" customWidth="1"/>
    <col min="6660" max="6660" width="35.42578125" style="227" customWidth="1"/>
    <col min="6661" max="6661" width="21.7109375" style="227" customWidth="1"/>
    <col min="6662" max="6662" width="18" style="227" customWidth="1"/>
    <col min="6663" max="6663" width="11.42578125" style="227" customWidth="1"/>
    <col min="6664" max="6664" width="9.85546875" style="227" customWidth="1"/>
    <col min="6665" max="6665" width="15.5703125" style="227" customWidth="1"/>
    <col min="6666" max="6666" width="3.85546875" style="227" customWidth="1"/>
    <col min="6667" max="6879" width="9.140625" style="227"/>
    <col min="6880" max="6880" width="7.7109375" style="227" customWidth="1"/>
    <col min="6881" max="6881" width="27.28515625" style="227" customWidth="1"/>
    <col min="6882" max="6882" width="15.7109375" style="227" customWidth="1"/>
    <col min="6883" max="6883" width="25.5703125" style="227" customWidth="1"/>
    <col min="6884" max="6884" width="29.7109375" style="227" customWidth="1"/>
    <col min="6885" max="6885" width="20.85546875" style="227" customWidth="1"/>
    <col min="6886" max="6886" width="18.5703125" style="227" customWidth="1"/>
    <col min="6887" max="6887" width="16.7109375" style="227" customWidth="1"/>
    <col min="6888" max="6888" width="13.85546875" style="227" customWidth="1"/>
    <col min="6889" max="6889" width="14.28515625" style="227" customWidth="1"/>
    <col min="6890" max="6890" width="12" style="227" customWidth="1"/>
    <col min="6891" max="6912" width="9.140625" style="227"/>
    <col min="6913" max="6913" width="7.28515625" style="227" customWidth="1"/>
    <col min="6914" max="6914" width="27.7109375" style="227" customWidth="1"/>
    <col min="6915" max="6915" width="21.42578125" style="227" customWidth="1"/>
    <col min="6916" max="6916" width="35.42578125" style="227" customWidth="1"/>
    <col min="6917" max="6917" width="21.7109375" style="227" customWidth="1"/>
    <col min="6918" max="6918" width="18" style="227" customWidth="1"/>
    <col min="6919" max="6919" width="11.42578125" style="227" customWidth="1"/>
    <col min="6920" max="6920" width="9.85546875" style="227" customWidth="1"/>
    <col min="6921" max="6921" width="15.5703125" style="227" customWidth="1"/>
    <col min="6922" max="6922" width="3.85546875" style="227" customWidth="1"/>
    <col min="6923" max="7135" width="9.140625" style="227"/>
    <col min="7136" max="7136" width="7.7109375" style="227" customWidth="1"/>
    <col min="7137" max="7137" width="27.28515625" style="227" customWidth="1"/>
    <col min="7138" max="7138" width="15.7109375" style="227" customWidth="1"/>
    <col min="7139" max="7139" width="25.5703125" style="227" customWidth="1"/>
    <col min="7140" max="7140" width="29.7109375" style="227" customWidth="1"/>
    <col min="7141" max="7141" width="20.85546875" style="227" customWidth="1"/>
    <col min="7142" max="7142" width="18.5703125" style="227" customWidth="1"/>
    <col min="7143" max="7143" width="16.7109375" style="227" customWidth="1"/>
    <col min="7144" max="7144" width="13.85546875" style="227" customWidth="1"/>
    <col min="7145" max="7145" width="14.28515625" style="227" customWidth="1"/>
    <col min="7146" max="7146" width="12" style="227" customWidth="1"/>
    <col min="7147" max="7168" width="9.140625" style="227"/>
    <col min="7169" max="7169" width="7.28515625" style="227" customWidth="1"/>
    <col min="7170" max="7170" width="27.7109375" style="227" customWidth="1"/>
    <col min="7171" max="7171" width="21.42578125" style="227" customWidth="1"/>
    <col min="7172" max="7172" width="35.42578125" style="227" customWidth="1"/>
    <col min="7173" max="7173" width="21.7109375" style="227" customWidth="1"/>
    <col min="7174" max="7174" width="18" style="227" customWidth="1"/>
    <col min="7175" max="7175" width="11.42578125" style="227" customWidth="1"/>
    <col min="7176" max="7176" width="9.85546875" style="227" customWidth="1"/>
    <col min="7177" max="7177" width="15.5703125" style="227" customWidth="1"/>
    <col min="7178" max="7178" width="3.85546875" style="227" customWidth="1"/>
    <col min="7179" max="7391" width="9.140625" style="227"/>
    <col min="7392" max="7392" width="7.7109375" style="227" customWidth="1"/>
    <col min="7393" max="7393" width="27.28515625" style="227" customWidth="1"/>
    <col min="7394" max="7394" width="15.7109375" style="227" customWidth="1"/>
    <col min="7395" max="7395" width="25.5703125" style="227" customWidth="1"/>
    <col min="7396" max="7396" width="29.7109375" style="227" customWidth="1"/>
    <col min="7397" max="7397" width="20.85546875" style="227" customWidth="1"/>
    <col min="7398" max="7398" width="18.5703125" style="227" customWidth="1"/>
    <col min="7399" max="7399" width="16.7109375" style="227" customWidth="1"/>
    <col min="7400" max="7400" width="13.85546875" style="227" customWidth="1"/>
    <col min="7401" max="7401" width="14.28515625" style="227" customWidth="1"/>
    <col min="7402" max="7402" width="12" style="227" customWidth="1"/>
    <col min="7403" max="7424" width="9.140625" style="227"/>
    <col min="7425" max="7425" width="7.28515625" style="227" customWidth="1"/>
    <col min="7426" max="7426" width="27.7109375" style="227" customWidth="1"/>
    <col min="7427" max="7427" width="21.42578125" style="227" customWidth="1"/>
    <col min="7428" max="7428" width="35.42578125" style="227" customWidth="1"/>
    <col min="7429" max="7429" width="21.7109375" style="227" customWidth="1"/>
    <col min="7430" max="7430" width="18" style="227" customWidth="1"/>
    <col min="7431" max="7431" width="11.42578125" style="227" customWidth="1"/>
    <col min="7432" max="7432" width="9.85546875" style="227" customWidth="1"/>
    <col min="7433" max="7433" width="15.5703125" style="227" customWidth="1"/>
    <col min="7434" max="7434" width="3.85546875" style="227" customWidth="1"/>
    <col min="7435" max="7647" width="9.140625" style="227"/>
    <col min="7648" max="7648" width="7.7109375" style="227" customWidth="1"/>
    <col min="7649" max="7649" width="27.28515625" style="227" customWidth="1"/>
    <col min="7650" max="7650" width="15.7109375" style="227" customWidth="1"/>
    <col min="7651" max="7651" width="25.5703125" style="227" customWidth="1"/>
    <col min="7652" max="7652" width="29.7109375" style="227" customWidth="1"/>
    <col min="7653" max="7653" width="20.85546875" style="227" customWidth="1"/>
    <col min="7654" max="7654" width="18.5703125" style="227" customWidth="1"/>
    <col min="7655" max="7655" width="16.7109375" style="227" customWidth="1"/>
    <col min="7656" max="7656" width="13.85546875" style="227" customWidth="1"/>
    <col min="7657" max="7657" width="14.28515625" style="227" customWidth="1"/>
    <col min="7658" max="7658" width="12" style="227" customWidth="1"/>
    <col min="7659" max="7680" width="9.140625" style="227"/>
    <col min="7681" max="7681" width="7.28515625" style="227" customWidth="1"/>
    <col min="7682" max="7682" width="27.7109375" style="227" customWidth="1"/>
    <col min="7683" max="7683" width="21.42578125" style="227" customWidth="1"/>
    <col min="7684" max="7684" width="35.42578125" style="227" customWidth="1"/>
    <col min="7685" max="7685" width="21.7109375" style="227" customWidth="1"/>
    <col min="7686" max="7686" width="18" style="227" customWidth="1"/>
    <col min="7687" max="7687" width="11.42578125" style="227" customWidth="1"/>
    <col min="7688" max="7688" width="9.85546875" style="227" customWidth="1"/>
    <col min="7689" max="7689" width="15.5703125" style="227" customWidth="1"/>
    <col min="7690" max="7690" width="3.85546875" style="227" customWidth="1"/>
    <col min="7691" max="7903" width="9.140625" style="227"/>
    <col min="7904" max="7904" width="7.7109375" style="227" customWidth="1"/>
    <col min="7905" max="7905" width="27.28515625" style="227" customWidth="1"/>
    <col min="7906" max="7906" width="15.7109375" style="227" customWidth="1"/>
    <col min="7907" max="7907" width="25.5703125" style="227" customWidth="1"/>
    <col min="7908" max="7908" width="29.7109375" style="227" customWidth="1"/>
    <col min="7909" max="7909" width="20.85546875" style="227" customWidth="1"/>
    <col min="7910" max="7910" width="18.5703125" style="227" customWidth="1"/>
    <col min="7911" max="7911" width="16.7109375" style="227" customWidth="1"/>
    <col min="7912" max="7912" width="13.85546875" style="227" customWidth="1"/>
    <col min="7913" max="7913" width="14.28515625" style="227" customWidth="1"/>
    <col min="7914" max="7914" width="12" style="227" customWidth="1"/>
    <col min="7915" max="7936" width="9.140625" style="227"/>
    <col min="7937" max="7937" width="7.28515625" style="227" customWidth="1"/>
    <col min="7938" max="7938" width="27.7109375" style="227" customWidth="1"/>
    <col min="7939" max="7939" width="21.42578125" style="227" customWidth="1"/>
    <col min="7940" max="7940" width="35.42578125" style="227" customWidth="1"/>
    <col min="7941" max="7941" width="21.7109375" style="227" customWidth="1"/>
    <col min="7942" max="7942" width="18" style="227" customWidth="1"/>
    <col min="7943" max="7943" width="11.42578125" style="227" customWidth="1"/>
    <col min="7944" max="7944" width="9.85546875" style="227" customWidth="1"/>
    <col min="7945" max="7945" width="15.5703125" style="227" customWidth="1"/>
    <col min="7946" max="7946" width="3.85546875" style="227" customWidth="1"/>
    <col min="7947" max="8159" width="9.140625" style="227"/>
    <col min="8160" max="8160" width="7.7109375" style="227" customWidth="1"/>
    <col min="8161" max="8161" width="27.28515625" style="227" customWidth="1"/>
    <col min="8162" max="8162" width="15.7109375" style="227" customWidth="1"/>
    <col min="8163" max="8163" width="25.5703125" style="227" customWidth="1"/>
    <col min="8164" max="8164" width="29.7109375" style="227" customWidth="1"/>
    <col min="8165" max="8165" width="20.85546875" style="227" customWidth="1"/>
    <col min="8166" max="8166" width="18.5703125" style="227" customWidth="1"/>
    <col min="8167" max="8167" width="16.7109375" style="227" customWidth="1"/>
    <col min="8168" max="8168" width="13.85546875" style="227" customWidth="1"/>
    <col min="8169" max="8169" width="14.28515625" style="227" customWidth="1"/>
    <col min="8170" max="8170" width="12" style="227" customWidth="1"/>
    <col min="8171" max="8192" width="9.140625" style="227"/>
    <col min="8193" max="8193" width="7.28515625" style="227" customWidth="1"/>
    <col min="8194" max="8194" width="27.7109375" style="227" customWidth="1"/>
    <col min="8195" max="8195" width="21.42578125" style="227" customWidth="1"/>
    <col min="8196" max="8196" width="35.42578125" style="227" customWidth="1"/>
    <col min="8197" max="8197" width="21.7109375" style="227" customWidth="1"/>
    <col min="8198" max="8198" width="18" style="227" customWidth="1"/>
    <col min="8199" max="8199" width="11.42578125" style="227" customWidth="1"/>
    <col min="8200" max="8200" width="9.85546875" style="227" customWidth="1"/>
    <col min="8201" max="8201" width="15.5703125" style="227" customWidth="1"/>
    <col min="8202" max="8202" width="3.85546875" style="227" customWidth="1"/>
    <col min="8203" max="8415" width="9.140625" style="227"/>
    <col min="8416" max="8416" width="7.7109375" style="227" customWidth="1"/>
    <col min="8417" max="8417" width="27.28515625" style="227" customWidth="1"/>
    <col min="8418" max="8418" width="15.7109375" style="227" customWidth="1"/>
    <col min="8419" max="8419" width="25.5703125" style="227" customWidth="1"/>
    <col min="8420" max="8420" width="29.7109375" style="227" customWidth="1"/>
    <col min="8421" max="8421" width="20.85546875" style="227" customWidth="1"/>
    <col min="8422" max="8422" width="18.5703125" style="227" customWidth="1"/>
    <col min="8423" max="8423" width="16.7109375" style="227" customWidth="1"/>
    <col min="8424" max="8424" width="13.85546875" style="227" customWidth="1"/>
    <col min="8425" max="8425" width="14.28515625" style="227" customWidth="1"/>
    <col min="8426" max="8426" width="12" style="227" customWidth="1"/>
    <col min="8427" max="8448" width="9.140625" style="227"/>
    <col min="8449" max="8449" width="7.28515625" style="227" customWidth="1"/>
    <col min="8450" max="8450" width="27.7109375" style="227" customWidth="1"/>
    <col min="8451" max="8451" width="21.42578125" style="227" customWidth="1"/>
    <col min="8452" max="8452" width="35.42578125" style="227" customWidth="1"/>
    <col min="8453" max="8453" width="21.7109375" style="227" customWidth="1"/>
    <col min="8454" max="8454" width="18" style="227" customWidth="1"/>
    <col min="8455" max="8455" width="11.42578125" style="227" customWidth="1"/>
    <col min="8456" max="8456" width="9.85546875" style="227" customWidth="1"/>
    <col min="8457" max="8457" width="15.5703125" style="227" customWidth="1"/>
    <col min="8458" max="8458" width="3.85546875" style="227" customWidth="1"/>
    <col min="8459" max="8671" width="9.140625" style="227"/>
    <col min="8672" max="8672" width="7.7109375" style="227" customWidth="1"/>
    <col min="8673" max="8673" width="27.28515625" style="227" customWidth="1"/>
    <col min="8674" max="8674" width="15.7109375" style="227" customWidth="1"/>
    <col min="8675" max="8675" width="25.5703125" style="227" customWidth="1"/>
    <col min="8676" max="8676" width="29.7109375" style="227" customWidth="1"/>
    <col min="8677" max="8677" width="20.85546875" style="227" customWidth="1"/>
    <col min="8678" max="8678" width="18.5703125" style="227" customWidth="1"/>
    <col min="8679" max="8679" width="16.7109375" style="227" customWidth="1"/>
    <col min="8680" max="8680" width="13.85546875" style="227" customWidth="1"/>
    <col min="8681" max="8681" width="14.28515625" style="227" customWidth="1"/>
    <col min="8682" max="8682" width="12" style="227" customWidth="1"/>
    <col min="8683" max="8704" width="9.140625" style="227"/>
    <col min="8705" max="8705" width="7.28515625" style="227" customWidth="1"/>
    <col min="8706" max="8706" width="27.7109375" style="227" customWidth="1"/>
    <col min="8707" max="8707" width="21.42578125" style="227" customWidth="1"/>
    <col min="8708" max="8708" width="35.42578125" style="227" customWidth="1"/>
    <col min="8709" max="8709" width="21.7109375" style="227" customWidth="1"/>
    <col min="8710" max="8710" width="18" style="227" customWidth="1"/>
    <col min="8711" max="8711" width="11.42578125" style="227" customWidth="1"/>
    <col min="8712" max="8712" width="9.85546875" style="227" customWidth="1"/>
    <col min="8713" max="8713" width="15.5703125" style="227" customWidth="1"/>
    <col min="8714" max="8714" width="3.85546875" style="227" customWidth="1"/>
    <col min="8715" max="8927" width="9.140625" style="227"/>
    <col min="8928" max="8928" width="7.7109375" style="227" customWidth="1"/>
    <col min="8929" max="8929" width="27.28515625" style="227" customWidth="1"/>
    <col min="8930" max="8930" width="15.7109375" style="227" customWidth="1"/>
    <col min="8931" max="8931" width="25.5703125" style="227" customWidth="1"/>
    <col min="8932" max="8932" width="29.7109375" style="227" customWidth="1"/>
    <col min="8933" max="8933" width="20.85546875" style="227" customWidth="1"/>
    <col min="8934" max="8934" width="18.5703125" style="227" customWidth="1"/>
    <col min="8935" max="8935" width="16.7109375" style="227" customWidth="1"/>
    <col min="8936" max="8936" width="13.85546875" style="227" customWidth="1"/>
    <col min="8937" max="8937" width="14.28515625" style="227" customWidth="1"/>
    <col min="8938" max="8938" width="12" style="227" customWidth="1"/>
    <col min="8939" max="8960" width="9.140625" style="227"/>
    <col min="8961" max="8961" width="7.28515625" style="227" customWidth="1"/>
    <col min="8962" max="8962" width="27.7109375" style="227" customWidth="1"/>
    <col min="8963" max="8963" width="21.42578125" style="227" customWidth="1"/>
    <col min="8964" max="8964" width="35.42578125" style="227" customWidth="1"/>
    <col min="8965" max="8965" width="21.7109375" style="227" customWidth="1"/>
    <col min="8966" max="8966" width="18" style="227" customWidth="1"/>
    <col min="8967" max="8967" width="11.42578125" style="227" customWidth="1"/>
    <col min="8968" max="8968" width="9.85546875" style="227" customWidth="1"/>
    <col min="8969" max="8969" width="15.5703125" style="227" customWidth="1"/>
    <col min="8970" max="8970" width="3.85546875" style="227" customWidth="1"/>
    <col min="8971" max="9183" width="9.140625" style="227"/>
    <col min="9184" max="9184" width="7.7109375" style="227" customWidth="1"/>
    <col min="9185" max="9185" width="27.28515625" style="227" customWidth="1"/>
    <col min="9186" max="9186" width="15.7109375" style="227" customWidth="1"/>
    <col min="9187" max="9187" width="25.5703125" style="227" customWidth="1"/>
    <col min="9188" max="9188" width="29.7109375" style="227" customWidth="1"/>
    <col min="9189" max="9189" width="20.85546875" style="227" customWidth="1"/>
    <col min="9190" max="9190" width="18.5703125" style="227" customWidth="1"/>
    <col min="9191" max="9191" width="16.7109375" style="227" customWidth="1"/>
    <col min="9192" max="9192" width="13.85546875" style="227" customWidth="1"/>
    <col min="9193" max="9193" width="14.28515625" style="227" customWidth="1"/>
    <col min="9194" max="9194" width="12" style="227" customWidth="1"/>
    <col min="9195" max="9216" width="9.140625" style="227"/>
    <col min="9217" max="9217" width="7.28515625" style="227" customWidth="1"/>
    <col min="9218" max="9218" width="27.7109375" style="227" customWidth="1"/>
    <col min="9219" max="9219" width="21.42578125" style="227" customWidth="1"/>
    <col min="9220" max="9220" width="35.42578125" style="227" customWidth="1"/>
    <col min="9221" max="9221" width="21.7109375" style="227" customWidth="1"/>
    <col min="9222" max="9222" width="18" style="227" customWidth="1"/>
    <col min="9223" max="9223" width="11.42578125" style="227" customWidth="1"/>
    <col min="9224" max="9224" width="9.85546875" style="227" customWidth="1"/>
    <col min="9225" max="9225" width="15.5703125" style="227" customWidth="1"/>
    <col min="9226" max="9226" width="3.85546875" style="227" customWidth="1"/>
    <col min="9227" max="9439" width="9.140625" style="227"/>
    <col min="9440" max="9440" width="7.7109375" style="227" customWidth="1"/>
    <col min="9441" max="9441" width="27.28515625" style="227" customWidth="1"/>
    <col min="9442" max="9442" width="15.7109375" style="227" customWidth="1"/>
    <col min="9443" max="9443" width="25.5703125" style="227" customWidth="1"/>
    <col min="9444" max="9444" width="29.7109375" style="227" customWidth="1"/>
    <col min="9445" max="9445" width="20.85546875" style="227" customWidth="1"/>
    <col min="9446" max="9446" width="18.5703125" style="227" customWidth="1"/>
    <col min="9447" max="9447" width="16.7109375" style="227" customWidth="1"/>
    <col min="9448" max="9448" width="13.85546875" style="227" customWidth="1"/>
    <col min="9449" max="9449" width="14.28515625" style="227" customWidth="1"/>
    <col min="9450" max="9450" width="12" style="227" customWidth="1"/>
    <col min="9451" max="9472" width="9.140625" style="227"/>
    <col min="9473" max="9473" width="7.28515625" style="227" customWidth="1"/>
    <col min="9474" max="9474" width="27.7109375" style="227" customWidth="1"/>
    <col min="9475" max="9475" width="21.42578125" style="227" customWidth="1"/>
    <col min="9476" max="9476" width="35.42578125" style="227" customWidth="1"/>
    <col min="9477" max="9477" width="21.7109375" style="227" customWidth="1"/>
    <col min="9478" max="9478" width="18" style="227" customWidth="1"/>
    <col min="9479" max="9479" width="11.42578125" style="227" customWidth="1"/>
    <col min="9480" max="9480" width="9.85546875" style="227" customWidth="1"/>
    <col min="9481" max="9481" width="15.5703125" style="227" customWidth="1"/>
    <col min="9482" max="9482" width="3.85546875" style="227" customWidth="1"/>
    <col min="9483" max="9695" width="9.140625" style="227"/>
    <col min="9696" max="9696" width="7.7109375" style="227" customWidth="1"/>
    <col min="9697" max="9697" width="27.28515625" style="227" customWidth="1"/>
    <col min="9698" max="9698" width="15.7109375" style="227" customWidth="1"/>
    <col min="9699" max="9699" width="25.5703125" style="227" customWidth="1"/>
    <col min="9700" max="9700" width="29.7109375" style="227" customWidth="1"/>
    <col min="9701" max="9701" width="20.85546875" style="227" customWidth="1"/>
    <col min="9702" max="9702" width="18.5703125" style="227" customWidth="1"/>
    <col min="9703" max="9703" width="16.7109375" style="227" customWidth="1"/>
    <col min="9704" max="9704" width="13.85546875" style="227" customWidth="1"/>
    <col min="9705" max="9705" width="14.28515625" style="227" customWidth="1"/>
    <col min="9706" max="9706" width="12" style="227" customWidth="1"/>
    <col min="9707" max="9728" width="9.140625" style="227"/>
    <col min="9729" max="9729" width="7.28515625" style="227" customWidth="1"/>
    <col min="9730" max="9730" width="27.7109375" style="227" customWidth="1"/>
    <col min="9731" max="9731" width="21.42578125" style="227" customWidth="1"/>
    <col min="9732" max="9732" width="35.42578125" style="227" customWidth="1"/>
    <col min="9733" max="9733" width="21.7109375" style="227" customWidth="1"/>
    <col min="9734" max="9734" width="18" style="227" customWidth="1"/>
    <col min="9735" max="9735" width="11.42578125" style="227" customWidth="1"/>
    <col min="9736" max="9736" width="9.85546875" style="227" customWidth="1"/>
    <col min="9737" max="9737" width="15.5703125" style="227" customWidth="1"/>
    <col min="9738" max="9738" width="3.85546875" style="227" customWidth="1"/>
    <col min="9739" max="9951" width="9.140625" style="227"/>
    <col min="9952" max="9952" width="7.7109375" style="227" customWidth="1"/>
    <col min="9953" max="9953" width="27.28515625" style="227" customWidth="1"/>
    <col min="9954" max="9954" width="15.7109375" style="227" customWidth="1"/>
    <col min="9955" max="9955" width="25.5703125" style="227" customWidth="1"/>
    <col min="9956" max="9956" width="29.7109375" style="227" customWidth="1"/>
    <col min="9957" max="9957" width="20.85546875" style="227" customWidth="1"/>
    <col min="9958" max="9958" width="18.5703125" style="227" customWidth="1"/>
    <col min="9959" max="9959" width="16.7109375" style="227" customWidth="1"/>
    <col min="9960" max="9960" width="13.85546875" style="227" customWidth="1"/>
    <col min="9961" max="9961" width="14.28515625" style="227" customWidth="1"/>
    <col min="9962" max="9962" width="12" style="227" customWidth="1"/>
    <col min="9963" max="9984" width="9.140625" style="227"/>
    <col min="9985" max="9985" width="7.28515625" style="227" customWidth="1"/>
    <col min="9986" max="9986" width="27.7109375" style="227" customWidth="1"/>
    <col min="9987" max="9987" width="21.42578125" style="227" customWidth="1"/>
    <col min="9988" max="9988" width="35.42578125" style="227" customWidth="1"/>
    <col min="9989" max="9989" width="21.7109375" style="227" customWidth="1"/>
    <col min="9990" max="9990" width="18" style="227" customWidth="1"/>
    <col min="9991" max="9991" width="11.42578125" style="227" customWidth="1"/>
    <col min="9992" max="9992" width="9.85546875" style="227" customWidth="1"/>
    <col min="9993" max="9993" width="15.5703125" style="227" customWidth="1"/>
    <col min="9994" max="9994" width="3.85546875" style="227" customWidth="1"/>
    <col min="9995" max="10207" width="9.140625" style="227"/>
    <col min="10208" max="10208" width="7.7109375" style="227" customWidth="1"/>
    <col min="10209" max="10209" width="27.28515625" style="227" customWidth="1"/>
    <col min="10210" max="10210" width="15.7109375" style="227" customWidth="1"/>
    <col min="10211" max="10211" width="25.5703125" style="227" customWidth="1"/>
    <col min="10212" max="10212" width="29.7109375" style="227" customWidth="1"/>
    <col min="10213" max="10213" width="20.85546875" style="227" customWidth="1"/>
    <col min="10214" max="10214" width="18.5703125" style="227" customWidth="1"/>
    <col min="10215" max="10215" width="16.7109375" style="227" customWidth="1"/>
    <col min="10216" max="10216" width="13.85546875" style="227" customWidth="1"/>
    <col min="10217" max="10217" width="14.28515625" style="227" customWidth="1"/>
    <col min="10218" max="10218" width="12" style="227" customWidth="1"/>
    <col min="10219" max="10240" width="9.140625" style="227"/>
    <col min="10241" max="10241" width="7.28515625" style="227" customWidth="1"/>
    <col min="10242" max="10242" width="27.7109375" style="227" customWidth="1"/>
    <col min="10243" max="10243" width="21.42578125" style="227" customWidth="1"/>
    <col min="10244" max="10244" width="35.42578125" style="227" customWidth="1"/>
    <col min="10245" max="10245" width="21.7109375" style="227" customWidth="1"/>
    <col min="10246" max="10246" width="18" style="227" customWidth="1"/>
    <col min="10247" max="10247" width="11.42578125" style="227" customWidth="1"/>
    <col min="10248" max="10248" width="9.85546875" style="227" customWidth="1"/>
    <col min="10249" max="10249" width="15.5703125" style="227" customWidth="1"/>
    <col min="10250" max="10250" width="3.85546875" style="227" customWidth="1"/>
    <col min="10251" max="10463" width="9.140625" style="227"/>
    <col min="10464" max="10464" width="7.7109375" style="227" customWidth="1"/>
    <col min="10465" max="10465" width="27.28515625" style="227" customWidth="1"/>
    <col min="10466" max="10466" width="15.7109375" style="227" customWidth="1"/>
    <col min="10467" max="10467" width="25.5703125" style="227" customWidth="1"/>
    <col min="10468" max="10468" width="29.7109375" style="227" customWidth="1"/>
    <col min="10469" max="10469" width="20.85546875" style="227" customWidth="1"/>
    <col min="10470" max="10470" width="18.5703125" style="227" customWidth="1"/>
    <col min="10471" max="10471" width="16.7109375" style="227" customWidth="1"/>
    <col min="10472" max="10472" width="13.85546875" style="227" customWidth="1"/>
    <col min="10473" max="10473" width="14.28515625" style="227" customWidth="1"/>
    <col min="10474" max="10474" width="12" style="227" customWidth="1"/>
    <col min="10475" max="10496" width="9.140625" style="227"/>
    <col min="10497" max="10497" width="7.28515625" style="227" customWidth="1"/>
    <col min="10498" max="10498" width="27.7109375" style="227" customWidth="1"/>
    <col min="10499" max="10499" width="21.42578125" style="227" customWidth="1"/>
    <col min="10500" max="10500" width="35.42578125" style="227" customWidth="1"/>
    <col min="10501" max="10501" width="21.7109375" style="227" customWidth="1"/>
    <col min="10502" max="10502" width="18" style="227" customWidth="1"/>
    <col min="10503" max="10503" width="11.42578125" style="227" customWidth="1"/>
    <col min="10504" max="10504" width="9.85546875" style="227" customWidth="1"/>
    <col min="10505" max="10505" width="15.5703125" style="227" customWidth="1"/>
    <col min="10506" max="10506" width="3.85546875" style="227" customWidth="1"/>
    <col min="10507" max="10719" width="9.140625" style="227"/>
    <col min="10720" max="10720" width="7.7109375" style="227" customWidth="1"/>
    <col min="10721" max="10721" width="27.28515625" style="227" customWidth="1"/>
    <col min="10722" max="10722" width="15.7109375" style="227" customWidth="1"/>
    <col min="10723" max="10723" width="25.5703125" style="227" customWidth="1"/>
    <col min="10724" max="10724" width="29.7109375" style="227" customWidth="1"/>
    <col min="10725" max="10725" width="20.85546875" style="227" customWidth="1"/>
    <col min="10726" max="10726" width="18.5703125" style="227" customWidth="1"/>
    <col min="10727" max="10727" width="16.7109375" style="227" customWidth="1"/>
    <col min="10728" max="10728" width="13.85546875" style="227" customWidth="1"/>
    <col min="10729" max="10729" width="14.28515625" style="227" customWidth="1"/>
    <col min="10730" max="10730" width="12" style="227" customWidth="1"/>
    <col min="10731" max="10752" width="9.140625" style="227"/>
    <col min="10753" max="10753" width="7.28515625" style="227" customWidth="1"/>
    <col min="10754" max="10754" width="27.7109375" style="227" customWidth="1"/>
    <col min="10755" max="10755" width="21.42578125" style="227" customWidth="1"/>
    <col min="10756" max="10756" width="35.42578125" style="227" customWidth="1"/>
    <col min="10757" max="10757" width="21.7109375" style="227" customWidth="1"/>
    <col min="10758" max="10758" width="18" style="227" customWidth="1"/>
    <col min="10759" max="10759" width="11.42578125" style="227" customWidth="1"/>
    <col min="10760" max="10760" width="9.85546875" style="227" customWidth="1"/>
    <col min="10761" max="10761" width="15.5703125" style="227" customWidth="1"/>
    <col min="10762" max="10762" width="3.85546875" style="227" customWidth="1"/>
    <col min="10763" max="10975" width="9.140625" style="227"/>
    <col min="10976" max="10976" width="7.7109375" style="227" customWidth="1"/>
    <col min="10977" max="10977" width="27.28515625" style="227" customWidth="1"/>
    <col min="10978" max="10978" width="15.7109375" style="227" customWidth="1"/>
    <col min="10979" max="10979" width="25.5703125" style="227" customWidth="1"/>
    <col min="10980" max="10980" width="29.7109375" style="227" customWidth="1"/>
    <col min="10981" max="10981" width="20.85546875" style="227" customWidth="1"/>
    <col min="10982" max="10982" width="18.5703125" style="227" customWidth="1"/>
    <col min="10983" max="10983" width="16.7109375" style="227" customWidth="1"/>
    <col min="10984" max="10984" width="13.85546875" style="227" customWidth="1"/>
    <col min="10985" max="10985" width="14.28515625" style="227" customWidth="1"/>
    <col min="10986" max="10986" width="12" style="227" customWidth="1"/>
    <col min="10987" max="11008" width="9.140625" style="227"/>
    <col min="11009" max="11009" width="7.28515625" style="227" customWidth="1"/>
    <col min="11010" max="11010" width="27.7109375" style="227" customWidth="1"/>
    <col min="11011" max="11011" width="21.42578125" style="227" customWidth="1"/>
    <col min="11012" max="11012" width="35.42578125" style="227" customWidth="1"/>
    <col min="11013" max="11013" width="21.7109375" style="227" customWidth="1"/>
    <col min="11014" max="11014" width="18" style="227" customWidth="1"/>
    <col min="11015" max="11015" width="11.42578125" style="227" customWidth="1"/>
    <col min="11016" max="11016" width="9.85546875" style="227" customWidth="1"/>
    <col min="11017" max="11017" width="15.5703125" style="227" customWidth="1"/>
    <col min="11018" max="11018" width="3.85546875" style="227" customWidth="1"/>
    <col min="11019" max="11231" width="9.140625" style="227"/>
    <col min="11232" max="11232" width="7.7109375" style="227" customWidth="1"/>
    <col min="11233" max="11233" width="27.28515625" style="227" customWidth="1"/>
    <col min="11234" max="11234" width="15.7109375" style="227" customWidth="1"/>
    <col min="11235" max="11235" width="25.5703125" style="227" customWidth="1"/>
    <col min="11236" max="11236" width="29.7109375" style="227" customWidth="1"/>
    <col min="11237" max="11237" width="20.85546875" style="227" customWidth="1"/>
    <col min="11238" max="11238" width="18.5703125" style="227" customWidth="1"/>
    <col min="11239" max="11239" width="16.7109375" style="227" customWidth="1"/>
    <col min="11240" max="11240" width="13.85546875" style="227" customWidth="1"/>
    <col min="11241" max="11241" width="14.28515625" style="227" customWidth="1"/>
    <col min="11242" max="11242" width="12" style="227" customWidth="1"/>
    <col min="11243" max="11264" width="9.140625" style="227"/>
    <col min="11265" max="11265" width="7.28515625" style="227" customWidth="1"/>
    <col min="11266" max="11266" width="27.7109375" style="227" customWidth="1"/>
    <col min="11267" max="11267" width="21.42578125" style="227" customWidth="1"/>
    <col min="11268" max="11268" width="35.42578125" style="227" customWidth="1"/>
    <col min="11269" max="11269" width="21.7109375" style="227" customWidth="1"/>
    <col min="11270" max="11270" width="18" style="227" customWidth="1"/>
    <col min="11271" max="11271" width="11.42578125" style="227" customWidth="1"/>
    <col min="11272" max="11272" width="9.85546875" style="227" customWidth="1"/>
    <col min="11273" max="11273" width="15.5703125" style="227" customWidth="1"/>
    <col min="11274" max="11274" width="3.85546875" style="227" customWidth="1"/>
    <col min="11275" max="11487" width="9.140625" style="227"/>
    <col min="11488" max="11488" width="7.7109375" style="227" customWidth="1"/>
    <col min="11489" max="11489" width="27.28515625" style="227" customWidth="1"/>
    <col min="11490" max="11490" width="15.7109375" style="227" customWidth="1"/>
    <col min="11491" max="11491" width="25.5703125" style="227" customWidth="1"/>
    <col min="11492" max="11492" width="29.7109375" style="227" customWidth="1"/>
    <col min="11493" max="11493" width="20.85546875" style="227" customWidth="1"/>
    <col min="11494" max="11494" width="18.5703125" style="227" customWidth="1"/>
    <col min="11495" max="11495" width="16.7109375" style="227" customWidth="1"/>
    <col min="11496" max="11496" width="13.85546875" style="227" customWidth="1"/>
    <col min="11497" max="11497" width="14.28515625" style="227" customWidth="1"/>
    <col min="11498" max="11498" width="12" style="227" customWidth="1"/>
    <col min="11499" max="11520" width="9.140625" style="227"/>
    <col min="11521" max="11521" width="7.28515625" style="227" customWidth="1"/>
    <col min="11522" max="11522" width="27.7109375" style="227" customWidth="1"/>
    <col min="11523" max="11523" width="21.42578125" style="227" customWidth="1"/>
    <col min="11524" max="11524" width="35.42578125" style="227" customWidth="1"/>
    <col min="11525" max="11525" width="21.7109375" style="227" customWidth="1"/>
    <col min="11526" max="11526" width="18" style="227" customWidth="1"/>
    <col min="11527" max="11527" width="11.42578125" style="227" customWidth="1"/>
    <col min="11528" max="11528" width="9.85546875" style="227" customWidth="1"/>
    <col min="11529" max="11529" width="15.5703125" style="227" customWidth="1"/>
    <col min="11530" max="11530" width="3.85546875" style="227" customWidth="1"/>
    <col min="11531" max="11743" width="9.140625" style="227"/>
    <col min="11744" max="11744" width="7.7109375" style="227" customWidth="1"/>
    <col min="11745" max="11745" width="27.28515625" style="227" customWidth="1"/>
    <col min="11746" max="11746" width="15.7109375" style="227" customWidth="1"/>
    <col min="11747" max="11747" width="25.5703125" style="227" customWidth="1"/>
    <col min="11748" max="11748" width="29.7109375" style="227" customWidth="1"/>
    <col min="11749" max="11749" width="20.85546875" style="227" customWidth="1"/>
    <col min="11750" max="11750" width="18.5703125" style="227" customWidth="1"/>
    <col min="11751" max="11751" width="16.7109375" style="227" customWidth="1"/>
    <col min="11752" max="11752" width="13.85546875" style="227" customWidth="1"/>
    <col min="11753" max="11753" width="14.28515625" style="227" customWidth="1"/>
    <col min="11754" max="11754" width="12" style="227" customWidth="1"/>
    <col min="11755" max="11776" width="9.140625" style="227"/>
    <col min="11777" max="11777" width="7.28515625" style="227" customWidth="1"/>
    <col min="11778" max="11778" width="27.7109375" style="227" customWidth="1"/>
    <col min="11779" max="11779" width="21.42578125" style="227" customWidth="1"/>
    <col min="11780" max="11780" width="35.42578125" style="227" customWidth="1"/>
    <col min="11781" max="11781" width="21.7109375" style="227" customWidth="1"/>
    <col min="11782" max="11782" width="18" style="227" customWidth="1"/>
    <col min="11783" max="11783" width="11.42578125" style="227" customWidth="1"/>
    <col min="11784" max="11784" width="9.85546875" style="227" customWidth="1"/>
    <col min="11785" max="11785" width="15.5703125" style="227" customWidth="1"/>
    <col min="11786" max="11786" width="3.85546875" style="227" customWidth="1"/>
    <col min="11787" max="11999" width="9.140625" style="227"/>
    <col min="12000" max="12000" width="7.7109375" style="227" customWidth="1"/>
    <col min="12001" max="12001" width="27.28515625" style="227" customWidth="1"/>
    <col min="12002" max="12002" width="15.7109375" style="227" customWidth="1"/>
    <col min="12003" max="12003" width="25.5703125" style="227" customWidth="1"/>
    <col min="12004" max="12004" width="29.7109375" style="227" customWidth="1"/>
    <col min="12005" max="12005" width="20.85546875" style="227" customWidth="1"/>
    <col min="12006" max="12006" width="18.5703125" style="227" customWidth="1"/>
    <col min="12007" max="12007" width="16.7109375" style="227" customWidth="1"/>
    <col min="12008" max="12008" width="13.85546875" style="227" customWidth="1"/>
    <col min="12009" max="12009" width="14.28515625" style="227" customWidth="1"/>
    <col min="12010" max="12010" width="12" style="227" customWidth="1"/>
    <col min="12011" max="12032" width="9.140625" style="227"/>
    <col min="12033" max="12033" width="7.28515625" style="227" customWidth="1"/>
    <col min="12034" max="12034" width="27.7109375" style="227" customWidth="1"/>
    <col min="12035" max="12035" width="21.42578125" style="227" customWidth="1"/>
    <col min="12036" max="12036" width="35.42578125" style="227" customWidth="1"/>
    <col min="12037" max="12037" width="21.7109375" style="227" customWidth="1"/>
    <col min="12038" max="12038" width="18" style="227" customWidth="1"/>
    <col min="12039" max="12039" width="11.42578125" style="227" customWidth="1"/>
    <col min="12040" max="12040" width="9.85546875" style="227" customWidth="1"/>
    <col min="12041" max="12041" width="15.5703125" style="227" customWidth="1"/>
    <col min="12042" max="12042" width="3.85546875" style="227" customWidth="1"/>
    <col min="12043" max="12255" width="9.140625" style="227"/>
    <col min="12256" max="12256" width="7.7109375" style="227" customWidth="1"/>
    <col min="12257" max="12257" width="27.28515625" style="227" customWidth="1"/>
    <col min="12258" max="12258" width="15.7109375" style="227" customWidth="1"/>
    <col min="12259" max="12259" width="25.5703125" style="227" customWidth="1"/>
    <col min="12260" max="12260" width="29.7109375" style="227" customWidth="1"/>
    <col min="12261" max="12261" width="20.85546875" style="227" customWidth="1"/>
    <col min="12262" max="12262" width="18.5703125" style="227" customWidth="1"/>
    <col min="12263" max="12263" width="16.7109375" style="227" customWidth="1"/>
    <col min="12264" max="12264" width="13.85546875" style="227" customWidth="1"/>
    <col min="12265" max="12265" width="14.28515625" style="227" customWidth="1"/>
    <col min="12266" max="12266" width="12" style="227" customWidth="1"/>
    <col min="12267" max="12288" width="9.140625" style="227"/>
    <col min="12289" max="12289" width="7.28515625" style="227" customWidth="1"/>
    <col min="12290" max="12290" width="27.7109375" style="227" customWidth="1"/>
    <col min="12291" max="12291" width="21.42578125" style="227" customWidth="1"/>
    <col min="12292" max="12292" width="35.42578125" style="227" customWidth="1"/>
    <col min="12293" max="12293" width="21.7109375" style="227" customWidth="1"/>
    <col min="12294" max="12294" width="18" style="227" customWidth="1"/>
    <col min="12295" max="12295" width="11.42578125" style="227" customWidth="1"/>
    <col min="12296" max="12296" width="9.85546875" style="227" customWidth="1"/>
    <col min="12297" max="12297" width="15.5703125" style="227" customWidth="1"/>
    <col min="12298" max="12298" width="3.85546875" style="227" customWidth="1"/>
    <col min="12299" max="12511" width="9.140625" style="227"/>
    <col min="12512" max="12512" width="7.7109375" style="227" customWidth="1"/>
    <col min="12513" max="12513" width="27.28515625" style="227" customWidth="1"/>
    <col min="12514" max="12514" width="15.7109375" style="227" customWidth="1"/>
    <col min="12515" max="12515" width="25.5703125" style="227" customWidth="1"/>
    <col min="12516" max="12516" width="29.7109375" style="227" customWidth="1"/>
    <col min="12517" max="12517" width="20.85546875" style="227" customWidth="1"/>
    <col min="12518" max="12518" width="18.5703125" style="227" customWidth="1"/>
    <col min="12519" max="12519" width="16.7109375" style="227" customWidth="1"/>
    <col min="12520" max="12520" width="13.85546875" style="227" customWidth="1"/>
    <col min="12521" max="12521" width="14.28515625" style="227" customWidth="1"/>
    <col min="12522" max="12522" width="12" style="227" customWidth="1"/>
    <col min="12523" max="12544" width="9.140625" style="227"/>
    <col min="12545" max="12545" width="7.28515625" style="227" customWidth="1"/>
    <col min="12546" max="12546" width="27.7109375" style="227" customWidth="1"/>
    <col min="12547" max="12547" width="21.42578125" style="227" customWidth="1"/>
    <col min="12548" max="12548" width="35.42578125" style="227" customWidth="1"/>
    <col min="12549" max="12549" width="21.7109375" style="227" customWidth="1"/>
    <col min="12550" max="12550" width="18" style="227" customWidth="1"/>
    <col min="12551" max="12551" width="11.42578125" style="227" customWidth="1"/>
    <col min="12552" max="12552" width="9.85546875" style="227" customWidth="1"/>
    <col min="12553" max="12553" width="15.5703125" style="227" customWidth="1"/>
    <col min="12554" max="12554" width="3.85546875" style="227" customWidth="1"/>
    <col min="12555" max="12767" width="9.140625" style="227"/>
    <col min="12768" max="12768" width="7.7109375" style="227" customWidth="1"/>
    <col min="12769" max="12769" width="27.28515625" style="227" customWidth="1"/>
    <col min="12770" max="12770" width="15.7109375" style="227" customWidth="1"/>
    <col min="12771" max="12771" width="25.5703125" style="227" customWidth="1"/>
    <col min="12772" max="12772" width="29.7109375" style="227" customWidth="1"/>
    <col min="12773" max="12773" width="20.85546875" style="227" customWidth="1"/>
    <col min="12774" max="12774" width="18.5703125" style="227" customWidth="1"/>
    <col min="12775" max="12775" width="16.7109375" style="227" customWidth="1"/>
    <col min="12776" max="12776" width="13.85546875" style="227" customWidth="1"/>
    <col min="12777" max="12777" width="14.28515625" style="227" customWidth="1"/>
    <col min="12778" max="12778" width="12" style="227" customWidth="1"/>
    <col min="12779" max="12800" width="9.140625" style="227"/>
    <col min="12801" max="12801" width="7.28515625" style="227" customWidth="1"/>
    <col min="12802" max="12802" width="27.7109375" style="227" customWidth="1"/>
    <col min="12803" max="12803" width="21.42578125" style="227" customWidth="1"/>
    <col min="12804" max="12804" width="35.42578125" style="227" customWidth="1"/>
    <col min="12805" max="12805" width="21.7109375" style="227" customWidth="1"/>
    <col min="12806" max="12806" width="18" style="227" customWidth="1"/>
    <col min="12807" max="12807" width="11.42578125" style="227" customWidth="1"/>
    <col min="12808" max="12808" width="9.85546875" style="227" customWidth="1"/>
    <col min="12809" max="12809" width="15.5703125" style="227" customWidth="1"/>
    <col min="12810" max="12810" width="3.85546875" style="227" customWidth="1"/>
    <col min="12811" max="13023" width="9.140625" style="227"/>
    <col min="13024" max="13024" width="7.7109375" style="227" customWidth="1"/>
    <col min="13025" max="13025" width="27.28515625" style="227" customWidth="1"/>
    <col min="13026" max="13026" width="15.7109375" style="227" customWidth="1"/>
    <col min="13027" max="13027" width="25.5703125" style="227" customWidth="1"/>
    <col min="13028" max="13028" width="29.7109375" style="227" customWidth="1"/>
    <col min="13029" max="13029" width="20.85546875" style="227" customWidth="1"/>
    <col min="13030" max="13030" width="18.5703125" style="227" customWidth="1"/>
    <col min="13031" max="13031" width="16.7109375" style="227" customWidth="1"/>
    <col min="13032" max="13032" width="13.85546875" style="227" customWidth="1"/>
    <col min="13033" max="13033" width="14.28515625" style="227" customWidth="1"/>
    <col min="13034" max="13034" width="12" style="227" customWidth="1"/>
    <col min="13035" max="13056" width="9.140625" style="227"/>
    <col min="13057" max="13057" width="7.28515625" style="227" customWidth="1"/>
    <col min="13058" max="13058" width="27.7109375" style="227" customWidth="1"/>
    <col min="13059" max="13059" width="21.42578125" style="227" customWidth="1"/>
    <col min="13060" max="13060" width="35.42578125" style="227" customWidth="1"/>
    <col min="13061" max="13061" width="21.7109375" style="227" customWidth="1"/>
    <col min="13062" max="13062" width="18" style="227" customWidth="1"/>
    <col min="13063" max="13063" width="11.42578125" style="227" customWidth="1"/>
    <col min="13064" max="13064" width="9.85546875" style="227" customWidth="1"/>
    <col min="13065" max="13065" width="15.5703125" style="227" customWidth="1"/>
    <col min="13066" max="13066" width="3.85546875" style="227" customWidth="1"/>
    <col min="13067" max="13279" width="9.140625" style="227"/>
    <col min="13280" max="13280" width="7.7109375" style="227" customWidth="1"/>
    <col min="13281" max="13281" width="27.28515625" style="227" customWidth="1"/>
    <col min="13282" max="13282" width="15.7109375" style="227" customWidth="1"/>
    <col min="13283" max="13283" width="25.5703125" style="227" customWidth="1"/>
    <col min="13284" max="13284" width="29.7109375" style="227" customWidth="1"/>
    <col min="13285" max="13285" width="20.85546875" style="227" customWidth="1"/>
    <col min="13286" max="13286" width="18.5703125" style="227" customWidth="1"/>
    <col min="13287" max="13287" width="16.7109375" style="227" customWidth="1"/>
    <col min="13288" max="13288" width="13.85546875" style="227" customWidth="1"/>
    <col min="13289" max="13289" width="14.28515625" style="227" customWidth="1"/>
    <col min="13290" max="13290" width="12" style="227" customWidth="1"/>
    <col min="13291" max="13312" width="9.140625" style="227"/>
    <col min="13313" max="13313" width="7.28515625" style="227" customWidth="1"/>
    <col min="13314" max="13314" width="27.7109375" style="227" customWidth="1"/>
    <col min="13315" max="13315" width="21.42578125" style="227" customWidth="1"/>
    <col min="13316" max="13316" width="35.42578125" style="227" customWidth="1"/>
    <col min="13317" max="13317" width="21.7109375" style="227" customWidth="1"/>
    <col min="13318" max="13318" width="18" style="227" customWidth="1"/>
    <col min="13319" max="13319" width="11.42578125" style="227" customWidth="1"/>
    <col min="13320" max="13320" width="9.85546875" style="227" customWidth="1"/>
    <col min="13321" max="13321" width="15.5703125" style="227" customWidth="1"/>
    <col min="13322" max="13322" width="3.85546875" style="227" customWidth="1"/>
    <col min="13323" max="13535" width="9.140625" style="227"/>
    <col min="13536" max="13536" width="7.7109375" style="227" customWidth="1"/>
    <col min="13537" max="13537" width="27.28515625" style="227" customWidth="1"/>
    <col min="13538" max="13538" width="15.7109375" style="227" customWidth="1"/>
    <col min="13539" max="13539" width="25.5703125" style="227" customWidth="1"/>
    <col min="13540" max="13540" width="29.7109375" style="227" customWidth="1"/>
    <col min="13541" max="13541" width="20.85546875" style="227" customWidth="1"/>
    <col min="13542" max="13542" width="18.5703125" style="227" customWidth="1"/>
    <col min="13543" max="13543" width="16.7109375" style="227" customWidth="1"/>
    <col min="13544" max="13544" width="13.85546875" style="227" customWidth="1"/>
    <col min="13545" max="13545" width="14.28515625" style="227" customWidth="1"/>
    <col min="13546" max="13546" width="12" style="227" customWidth="1"/>
    <col min="13547" max="13568" width="9.140625" style="227"/>
    <col min="13569" max="13569" width="7.28515625" style="227" customWidth="1"/>
    <col min="13570" max="13570" width="27.7109375" style="227" customWidth="1"/>
    <col min="13571" max="13571" width="21.42578125" style="227" customWidth="1"/>
    <col min="13572" max="13572" width="35.42578125" style="227" customWidth="1"/>
    <col min="13573" max="13573" width="21.7109375" style="227" customWidth="1"/>
    <col min="13574" max="13574" width="18" style="227" customWidth="1"/>
    <col min="13575" max="13575" width="11.42578125" style="227" customWidth="1"/>
    <col min="13576" max="13576" width="9.85546875" style="227" customWidth="1"/>
    <col min="13577" max="13577" width="15.5703125" style="227" customWidth="1"/>
    <col min="13578" max="13578" width="3.85546875" style="227" customWidth="1"/>
    <col min="13579" max="13791" width="9.140625" style="227"/>
    <col min="13792" max="13792" width="7.7109375" style="227" customWidth="1"/>
    <col min="13793" max="13793" width="27.28515625" style="227" customWidth="1"/>
    <col min="13794" max="13794" width="15.7109375" style="227" customWidth="1"/>
    <col min="13795" max="13795" width="25.5703125" style="227" customWidth="1"/>
    <col min="13796" max="13796" width="29.7109375" style="227" customWidth="1"/>
    <col min="13797" max="13797" width="20.85546875" style="227" customWidth="1"/>
    <col min="13798" max="13798" width="18.5703125" style="227" customWidth="1"/>
    <col min="13799" max="13799" width="16.7109375" style="227" customWidth="1"/>
    <col min="13800" max="13800" width="13.85546875" style="227" customWidth="1"/>
    <col min="13801" max="13801" width="14.28515625" style="227" customWidth="1"/>
    <col min="13802" max="13802" width="12" style="227" customWidth="1"/>
    <col min="13803" max="13824" width="9.140625" style="227"/>
    <col min="13825" max="13825" width="7.28515625" style="227" customWidth="1"/>
    <col min="13826" max="13826" width="27.7109375" style="227" customWidth="1"/>
    <col min="13827" max="13827" width="21.42578125" style="227" customWidth="1"/>
    <col min="13828" max="13828" width="35.42578125" style="227" customWidth="1"/>
    <col min="13829" max="13829" width="21.7109375" style="227" customWidth="1"/>
    <col min="13830" max="13830" width="18" style="227" customWidth="1"/>
    <col min="13831" max="13831" width="11.42578125" style="227" customWidth="1"/>
    <col min="13832" max="13832" width="9.85546875" style="227" customWidth="1"/>
    <col min="13833" max="13833" width="15.5703125" style="227" customWidth="1"/>
    <col min="13834" max="13834" width="3.85546875" style="227" customWidth="1"/>
    <col min="13835" max="14047" width="9.140625" style="227"/>
    <col min="14048" max="14048" width="7.7109375" style="227" customWidth="1"/>
    <col min="14049" max="14049" width="27.28515625" style="227" customWidth="1"/>
    <col min="14050" max="14050" width="15.7109375" style="227" customWidth="1"/>
    <col min="14051" max="14051" width="25.5703125" style="227" customWidth="1"/>
    <col min="14052" max="14052" width="29.7109375" style="227" customWidth="1"/>
    <col min="14053" max="14053" width="20.85546875" style="227" customWidth="1"/>
    <col min="14054" max="14054" width="18.5703125" style="227" customWidth="1"/>
    <col min="14055" max="14055" width="16.7109375" style="227" customWidth="1"/>
    <col min="14056" max="14056" width="13.85546875" style="227" customWidth="1"/>
    <col min="14057" max="14057" width="14.28515625" style="227" customWidth="1"/>
    <col min="14058" max="14058" width="12" style="227" customWidth="1"/>
    <col min="14059" max="14080" width="9.140625" style="227"/>
    <col min="14081" max="14081" width="7.28515625" style="227" customWidth="1"/>
    <col min="14082" max="14082" width="27.7109375" style="227" customWidth="1"/>
    <col min="14083" max="14083" width="21.42578125" style="227" customWidth="1"/>
    <col min="14084" max="14084" width="35.42578125" style="227" customWidth="1"/>
    <col min="14085" max="14085" width="21.7109375" style="227" customWidth="1"/>
    <col min="14086" max="14086" width="18" style="227" customWidth="1"/>
    <col min="14087" max="14087" width="11.42578125" style="227" customWidth="1"/>
    <col min="14088" max="14088" width="9.85546875" style="227" customWidth="1"/>
    <col min="14089" max="14089" width="15.5703125" style="227" customWidth="1"/>
    <col min="14090" max="14090" width="3.85546875" style="227" customWidth="1"/>
    <col min="14091" max="14303" width="9.140625" style="227"/>
    <col min="14304" max="14304" width="7.7109375" style="227" customWidth="1"/>
    <col min="14305" max="14305" width="27.28515625" style="227" customWidth="1"/>
    <col min="14306" max="14306" width="15.7109375" style="227" customWidth="1"/>
    <col min="14307" max="14307" width="25.5703125" style="227" customWidth="1"/>
    <col min="14308" max="14308" width="29.7109375" style="227" customWidth="1"/>
    <col min="14309" max="14309" width="20.85546875" style="227" customWidth="1"/>
    <col min="14310" max="14310" width="18.5703125" style="227" customWidth="1"/>
    <col min="14311" max="14311" width="16.7109375" style="227" customWidth="1"/>
    <col min="14312" max="14312" width="13.85546875" style="227" customWidth="1"/>
    <col min="14313" max="14313" width="14.28515625" style="227" customWidth="1"/>
    <col min="14314" max="14314" width="12" style="227" customWidth="1"/>
    <col min="14315" max="14336" width="9.140625" style="227"/>
    <col min="14337" max="14337" width="7.28515625" style="227" customWidth="1"/>
    <col min="14338" max="14338" width="27.7109375" style="227" customWidth="1"/>
    <col min="14339" max="14339" width="21.42578125" style="227" customWidth="1"/>
    <col min="14340" max="14340" width="35.42578125" style="227" customWidth="1"/>
    <col min="14341" max="14341" width="21.7109375" style="227" customWidth="1"/>
    <col min="14342" max="14342" width="18" style="227" customWidth="1"/>
    <col min="14343" max="14343" width="11.42578125" style="227" customWidth="1"/>
    <col min="14344" max="14344" width="9.85546875" style="227" customWidth="1"/>
    <col min="14345" max="14345" width="15.5703125" style="227" customWidth="1"/>
    <col min="14346" max="14346" width="3.85546875" style="227" customWidth="1"/>
    <col min="14347" max="14559" width="9.140625" style="227"/>
    <col min="14560" max="14560" width="7.7109375" style="227" customWidth="1"/>
    <col min="14561" max="14561" width="27.28515625" style="227" customWidth="1"/>
    <col min="14562" max="14562" width="15.7109375" style="227" customWidth="1"/>
    <col min="14563" max="14563" width="25.5703125" style="227" customWidth="1"/>
    <col min="14564" max="14564" width="29.7109375" style="227" customWidth="1"/>
    <col min="14565" max="14565" width="20.85546875" style="227" customWidth="1"/>
    <col min="14566" max="14566" width="18.5703125" style="227" customWidth="1"/>
    <col min="14567" max="14567" width="16.7109375" style="227" customWidth="1"/>
    <col min="14568" max="14568" width="13.85546875" style="227" customWidth="1"/>
    <col min="14569" max="14569" width="14.28515625" style="227" customWidth="1"/>
    <col min="14570" max="14570" width="12" style="227" customWidth="1"/>
    <col min="14571" max="14592" width="9.140625" style="227"/>
    <col min="14593" max="14593" width="7.28515625" style="227" customWidth="1"/>
    <col min="14594" max="14594" width="27.7109375" style="227" customWidth="1"/>
    <col min="14595" max="14595" width="21.42578125" style="227" customWidth="1"/>
    <col min="14596" max="14596" width="35.42578125" style="227" customWidth="1"/>
    <col min="14597" max="14597" width="21.7109375" style="227" customWidth="1"/>
    <col min="14598" max="14598" width="18" style="227" customWidth="1"/>
    <col min="14599" max="14599" width="11.42578125" style="227" customWidth="1"/>
    <col min="14600" max="14600" width="9.85546875" style="227" customWidth="1"/>
    <col min="14601" max="14601" width="15.5703125" style="227" customWidth="1"/>
    <col min="14602" max="14602" width="3.85546875" style="227" customWidth="1"/>
    <col min="14603" max="14815" width="9.140625" style="227"/>
    <col min="14816" max="14816" width="7.7109375" style="227" customWidth="1"/>
    <col min="14817" max="14817" width="27.28515625" style="227" customWidth="1"/>
    <col min="14818" max="14818" width="15.7109375" style="227" customWidth="1"/>
    <col min="14819" max="14819" width="25.5703125" style="227" customWidth="1"/>
    <col min="14820" max="14820" width="29.7109375" style="227" customWidth="1"/>
    <col min="14821" max="14821" width="20.85546875" style="227" customWidth="1"/>
    <col min="14822" max="14822" width="18.5703125" style="227" customWidth="1"/>
    <col min="14823" max="14823" width="16.7109375" style="227" customWidth="1"/>
    <col min="14824" max="14824" width="13.85546875" style="227" customWidth="1"/>
    <col min="14825" max="14825" width="14.28515625" style="227" customWidth="1"/>
    <col min="14826" max="14826" width="12" style="227" customWidth="1"/>
    <col min="14827" max="14848" width="9.140625" style="227"/>
    <col min="14849" max="14849" width="7.28515625" style="227" customWidth="1"/>
    <col min="14850" max="14850" width="27.7109375" style="227" customWidth="1"/>
    <col min="14851" max="14851" width="21.42578125" style="227" customWidth="1"/>
    <col min="14852" max="14852" width="35.42578125" style="227" customWidth="1"/>
    <col min="14853" max="14853" width="21.7109375" style="227" customWidth="1"/>
    <col min="14854" max="14854" width="18" style="227" customWidth="1"/>
    <col min="14855" max="14855" width="11.42578125" style="227" customWidth="1"/>
    <col min="14856" max="14856" width="9.85546875" style="227" customWidth="1"/>
    <col min="14857" max="14857" width="15.5703125" style="227" customWidth="1"/>
    <col min="14858" max="14858" width="3.85546875" style="227" customWidth="1"/>
    <col min="14859" max="15071" width="9.140625" style="227"/>
    <col min="15072" max="15072" width="7.7109375" style="227" customWidth="1"/>
    <col min="15073" max="15073" width="27.28515625" style="227" customWidth="1"/>
    <col min="15074" max="15074" width="15.7109375" style="227" customWidth="1"/>
    <col min="15075" max="15075" width="25.5703125" style="227" customWidth="1"/>
    <col min="15076" max="15076" width="29.7109375" style="227" customWidth="1"/>
    <col min="15077" max="15077" width="20.85546875" style="227" customWidth="1"/>
    <col min="15078" max="15078" width="18.5703125" style="227" customWidth="1"/>
    <col min="15079" max="15079" width="16.7109375" style="227" customWidth="1"/>
    <col min="15080" max="15080" width="13.85546875" style="227" customWidth="1"/>
    <col min="15081" max="15081" width="14.28515625" style="227" customWidth="1"/>
    <col min="15082" max="15082" width="12" style="227" customWidth="1"/>
    <col min="15083" max="15104" width="9.140625" style="227"/>
    <col min="15105" max="15105" width="7.28515625" style="227" customWidth="1"/>
    <col min="15106" max="15106" width="27.7109375" style="227" customWidth="1"/>
    <col min="15107" max="15107" width="21.42578125" style="227" customWidth="1"/>
    <col min="15108" max="15108" width="35.42578125" style="227" customWidth="1"/>
    <col min="15109" max="15109" width="21.7109375" style="227" customWidth="1"/>
    <col min="15110" max="15110" width="18" style="227" customWidth="1"/>
    <col min="15111" max="15111" width="11.42578125" style="227" customWidth="1"/>
    <col min="15112" max="15112" width="9.85546875" style="227" customWidth="1"/>
    <col min="15113" max="15113" width="15.5703125" style="227" customWidth="1"/>
    <col min="15114" max="15114" width="3.85546875" style="227" customWidth="1"/>
    <col min="15115" max="15327" width="9.140625" style="227"/>
    <col min="15328" max="15328" width="7.7109375" style="227" customWidth="1"/>
    <col min="15329" max="15329" width="27.28515625" style="227" customWidth="1"/>
    <col min="15330" max="15330" width="15.7109375" style="227" customWidth="1"/>
    <col min="15331" max="15331" width="25.5703125" style="227" customWidth="1"/>
    <col min="15332" max="15332" width="29.7109375" style="227" customWidth="1"/>
    <col min="15333" max="15333" width="20.85546875" style="227" customWidth="1"/>
    <col min="15334" max="15334" width="18.5703125" style="227" customWidth="1"/>
    <col min="15335" max="15335" width="16.7109375" style="227" customWidth="1"/>
    <col min="15336" max="15336" width="13.85546875" style="227" customWidth="1"/>
    <col min="15337" max="15337" width="14.28515625" style="227" customWidth="1"/>
    <col min="15338" max="15338" width="12" style="227" customWidth="1"/>
    <col min="15339" max="15360" width="9.140625" style="227"/>
    <col min="15361" max="15361" width="7.28515625" style="227" customWidth="1"/>
    <col min="15362" max="15362" width="27.7109375" style="227" customWidth="1"/>
    <col min="15363" max="15363" width="21.42578125" style="227" customWidth="1"/>
    <col min="15364" max="15364" width="35.42578125" style="227" customWidth="1"/>
    <col min="15365" max="15365" width="21.7109375" style="227" customWidth="1"/>
    <col min="15366" max="15366" width="18" style="227" customWidth="1"/>
    <col min="15367" max="15367" width="11.42578125" style="227" customWidth="1"/>
    <col min="15368" max="15368" width="9.85546875" style="227" customWidth="1"/>
    <col min="15369" max="15369" width="15.5703125" style="227" customWidth="1"/>
    <col min="15370" max="15370" width="3.85546875" style="227" customWidth="1"/>
    <col min="15371" max="15583" width="9.140625" style="227"/>
    <col min="15584" max="15584" width="7.7109375" style="227" customWidth="1"/>
    <col min="15585" max="15585" width="27.28515625" style="227" customWidth="1"/>
    <col min="15586" max="15586" width="15.7109375" style="227" customWidth="1"/>
    <col min="15587" max="15587" width="25.5703125" style="227" customWidth="1"/>
    <col min="15588" max="15588" width="29.7109375" style="227" customWidth="1"/>
    <col min="15589" max="15589" width="20.85546875" style="227" customWidth="1"/>
    <col min="15590" max="15590" width="18.5703125" style="227" customWidth="1"/>
    <col min="15591" max="15591" width="16.7109375" style="227" customWidth="1"/>
    <col min="15592" max="15592" width="13.85546875" style="227" customWidth="1"/>
    <col min="15593" max="15593" width="14.28515625" style="227" customWidth="1"/>
    <col min="15594" max="15594" width="12" style="227" customWidth="1"/>
    <col min="15595" max="15616" width="9.140625" style="227"/>
    <col min="15617" max="15617" width="7.28515625" style="227" customWidth="1"/>
    <col min="15618" max="15618" width="27.7109375" style="227" customWidth="1"/>
    <col min="15619" max="15619" width="21.42578125" style="227" customWidth="1"/>
    <col min="15620" max="15620" width="35.42578125" style="227" customWidth="1"/>
    <col min="15621" max="15621" width="21.7109375" style="227" customWidth="1"/>
    <col min="15622" max="15622" width="18" style="227" customWidth="1"/>
    <col min="15623" max="15623" width="11.42578125" style="227" customWidth="1"/>
    <col min="15624" max="15624" width="9.85546875" style="227" customWidth="1"/>
    <col min="15625" max="15625" width="15.5703125" style="227" customWidth="1"/>
    <col min="15626" max="15626" width="3.85546875" style="227" customWidth="1"/>
    <col min="15627" max="15839" width="9.140625" style="227"/>
    <col min="15840" max="15840" width="7.7109375" style="227" customWidth="1"/>
    <col min="15841" max="15841" width="27.28515625" style="227" customWidth="1"/>
    <col min="15842" max="15842" width="15.7109375" style="227" customWidth="1"/>
    <col min="15843" max="15843" width="25.5703125" style="227" customWidth="1"/>
    <col min="15844" max="15844" width="29.7109375" style="227" customWidth="1"/>
    <col min="15845" max="15845" width="20.85546875" style="227" customWidth="1"/>
    <col min="15846" max="15846" width="18.5703125" style="227" customWidth="1"/>
    <col min="15847" max="15847" width="16.7109375" style="227" customWidth="1"/>
    <col min="15848" max="15848" width="13.85546875" style="227" customWidth="1"/>
    <col min="15849" max="15849" width="14.28515625" style="227" customWidth="1"/>
    <col min="15850" max="15850" width="12" style="227" customWidth="1"/>
    <col min="15851" max="15872" width="9.140625" style="227"/>
    <col min="15873" max="15873" width="7.28515625" style="227" customWidth="1"/>
    <col min="15874" max="15874" width="27.7109375" style="227" customWidth="1"/>
    <col min="15875" max="15875" width="21.42578125" style="227" customWidth="1"/>
    <col min="15876" max="15876" width="35.42578125" style="227" customWidth="1"/>
    <col min="15877" max="15877" width="21.7109375" style="227" customWidth="1"/>
    <col min="15878" max="15878" width="18" style="227" customWidth="1"/>
    <col min="15879" max="15879" width="11.42578125" style="227" customWidth="1"/>
    <col min="15880" max="15880" width="9.85546875" style="227" customWidth="1"/>
    <col min="15881" max="15881" width="15.5703125" style="227" customWidth="1"/>
    <col min="15882" max="15882" width="3.85546875" style="227" customWidth="1"/>
    <col min="15883" max="16095" width="9.140625" style="227"/>
    <col min="16096" max="16096" width="7.7109375" style="227" customWidth="1"/>
    <col min="16097" max="16097" width="27.28515625" style="227" customWidth="1"/>
    <col min="16098" max="16098" width="15.7109375" style="227" customWidth="1"/>
    <col min="16099" max="16099" width="25.5703125" style="227" customWidth="1"/>
    <col min="16100" max="16100" width="29.7109375" style="227" customWidth="1"/>
    <col min="16101" max="16101" width="20.85546875" style="227" customWidth="1"/>
    <col min="16102" max="16102" width="18.5703125" style="227" customWidth="1"/>
    <col min="16103" max="16103" width="16.7109375" style="227" customWidth="1"/>
    <col min="16104" max="16104" width="13.85546875" style="227" customWidth="1"/>
    <col min="16105" max="16105" width="14.28515625" style="227" customWidth="1"/>
    <col min="16106" max="16106" width="12" style="227" customWidth="1"/>
    <col min="16107" max="16128" width="9.140625" style="227"/>
    <col min="16129" max="16129" width="7.28515625" style="227" customWidth="1"/>
    <col min="16130" max="16130" width="27.7109375" style="227" customWidth="1"/>
    <col min="16131" max="16131" width="21.42578125" style="227" customWidth="1"/>
    <col min="16132" max="16132" width="35.42578125" style="227" customWidth="1"/>
    <col min="16133" max="16133" width="21.7109375" style="227" customWidth="1"/>
    <col min="16134" max="16134" width="18" style="227" customWidth="1"/>
    <col min="16135" max="16135" width="11.42578125" style="227" customWidth="1"/>
    <col min="16136" max="16136" width="9.85546875" style="227" customWidth="1"/>
    <col min="16137" max="16137" width="15.5703125" style="227" customWidth="1"/>
    <col min="16138" max="16138" width="3.85546875" style="227" customWidth="1"/>
    <col min="16139" max="16351" width="9.140625" style="227"/>
    <col min="16352" max="16352" width="7.7109375" style="227" customWidth="1"/>
    <col min="16353" max="16353" width="27.28515625" style="227" customWidth="1"/>
    <col min="16354" max="16354" width="15.7109375" style="227" customWidth="1"/>
    <col min="16355" max="16355" width="25.5703125" style="227" customWidth="1"/>
    <col min="16356" max="16356" width="29.7109375" style="227" customWidth="1"/>
    <col min="16357" max="16357" width="20.85546875" style="227" customWidth="1"/>
    <col min="16358" max="16358" width="18.5703125" style="227" customWidth="1"/>
    <col min="16359" max="16359" width="16.7109375" style="227" customWidth="1"/>
    <col min="16360" max="16360" width="13.85546875" style="227" customWidth="1"/>
    <col min="16361" max="16361" width="14.28515625" style="227" customWidth="1"/>
    <col min="16362" max="16362" width="12" style="227" customWidth="1"/>
    <col min="16363" max="16384" width="9.140625" style="227"/>
  </cols>
  <sheetData>
    <row r="1" spans="1:9" ht="109.5" customHeight="1">
      <c r="A1" s="776" t="s">
        <v>9121</v>
      </c>
      <c r="B1" s="776"/>
      <c r="C1" s="776"/>
      <c r="D1" s="776"/>
      <c r="E1" s="776"/>
      <c r="F1" s="776"/>
      <c r="G1" s="776"/>
      <c r="H1" s="776"/>
      <c r="I1" s="776"/>
    </row>
    <row r="2" spans="1:9" ht="22.5" customHeight="1">
      <c r="A2" s="777" t="s">
        <v>474</v>
      </c>
      <c r="B2" s="775" t="s">
        <v>5526</v>
      </c>
      <c r="C2" s="778" t="s">
        <v>5527</v>
      </c>
      <c r="D2" s="779" t="s">
        <v>5528</v>
      </c>
      <c r="E2" s="777" t="s">
        <v>147</v>
      </c>
      <c r="F2" s="777"/>
      <c r="G2" s="780" t="s">
        <v>3917</v>
      </c>
      <c r="H2" s="780"/>
      <c r="I2" s="780" t="s">
        <v>587</v>
      </c>
    </row>
    <row r="3" spans="1:9" ht="29.25" customHeight="1">
      <c r="A3" s="777"/>
      <c r="B3" s="775"/>
      <c r="C3" s="778"/>
      <c r="D3" s="779"/>
      <c r="E3" s="580" t="s">
        <v>583</v>
      </c>
      <c r="F3" s="580" t="s">
        <v>584</v>
      </c>
      <c r="G3" s="656" t="s">
        <v>585</v>
      </c>
      <c r="H3" s="581" t="s">
        <v>586</v>
      </c>
      <c r="I3" s="780"/>
    </row>
    <row r="4" spans="1:9" ht="18" customHeight="1">
      <c r="A4" s="775" t="s">
        <v>5529</v>
      </c>
      <c r="B4" s="775"/>
      <c r="C4" s="775"/>
      <c r="D4" s="775"/>
      <c r="E4" s="580"/>
      <c r="F4" s="580"/>
      <c r="G4" s="587">
        <f>G5+G929</f>
        <v>2106258</v>
      </c>
      <c r="H4" s="581"/>
      <c r="I4" s="582"/>
    </row>
    <row r="5" spans="1:9" ht="18" customHeight="1">
      <c r="A5" s="775" t="s">
        <v>7352</v>
      </c>
      <c r="B5" s="775"/>
      <c r="C5" s="775"/>
      <c r="D5" s="775"/>
      <c r="E5" s="580"/>
      <c r="F5" s="580"/>
      <c r="G5" s="587">
        <f>G6+G870+G893</f>
        <v>1109990</v>
      </c>
      <c r="H5" s="581"/>
      <c r="I5" s="582"/>
    </row>
    <row r="6" spans="1:9">
      <c r="A6" s="629" t="s">
        <v>7353</v>
      </c>
      <c r="B6" s="583" t="s">
        <v>5190</v>
      </c>
      <c r="C6" s="584"/>
      <c r="D6" s="585"/>
      <c r="E6" s="586"/>
      <c r="F6" s="586"/>
      <c r="G6" s="587">
        <f>SUM(G8:G869)</f>
        <v>1012540</v>
      </c>
      <c r="H6" s="588"/>
      <c r="I6" s="589"/>
    </row>
    <row r="7" spans="1:9">
      <c r="A7" s="629" t="s">
        <v>1110</v>
      </c>
      <c r="B7" s="583" t="s">
        <v>5531</v>
      </c>
      <c r="C7" s="584"/>
      <c r="D7" s="585"/>
      <c r="E7" s="586"/>
      <c r="F7" s="586"/>
      <c r="G7" s="590"/>
      <c r="H7" s="588"/>
      <c r="I7" s="589"/>
    </row>
    <row r="8" spans="1:9" ht="31.5">
      <c r="A8" s="542">
        <v>1</v>
      </c>
      <c r="B8" s="225" t="s">
        <v>1102</v>
      </c>
      <c r="C8" s="221" t="s">
        <v>5532</v>
      </c>
      <c r="D8" s="240" t="s">
        <v>5533</v>
      </c>
      <c r="E8" s="245" t="s">
        <v>1101</v>
      </c>
      <c r="F8" s="245" t="s">
        <v>407</v>
      </c>
      <c r="G8" s="226">
        <v>11410</v>
      </c>
      <c r="H8" s="341"/>
      <c r="I8" s="219"/>
    </row>
    <row r="9" spans="1:9">
      <c r="A9" s="542">
        <f t="shared" ref="A9:A72" si="0">A8+1</f>
        <v>2</v>
      </c>
      <c r="B9" s="220" t="s">
        <v>1170</v>
      </c>
      <c r="C9" s="221" t="s">
        <v>5534</v>
      </c>
      <c r="D9" s="240" t="s">
        <v>5533</v>
      </c>
      <c r="E9" s="222" t="s">
        <v>5535</v>
      </c>
      <c r="F9" s="222" t="s">
        <v>1193</v>
      </c>
      <c r="G9" s="223">
        <v>9500</v>
      </c>
      <c r="H9" s="341" t="s">
        <v>5536</v>
      </c>
      <c r="I9" s="219"/>
    </row>
    <row r="10" spans="1:9" ht="31.5">
      <c r="A10" s="542">
        <f t="shared" si="0"/>
        <v>3</v>
      </c>
      <c r="B10" s="220" t="s">
        <v>1464</v>
      </c>
      <c r="C10" s="221" t="s">
        <v>5537</v>
      </c>
      <c r="D10" s="240" t="s">
        <v>5533</v>
      </c>
      <c r="E10" s="222" t="s">
        <v>1514</v>
      </c>
      <c r="F10" s="222" t="s">
        <v>1465</v>
      </c>
      <c r="G10" s="223">
        <v>15850</v>
      </c>
      <c r="H10" s="341" t="s">
        <v>5538</v>
      </c>
      <c r="I10" s="219"/>
    </row>
    <row r="11" spans="1:9">
      <c r="A11" s="542">
        <f t="shared" si="0"/>
        <v>4</v>
      </c>
      <c r="B11" s="314" t="s">
        <v>5539</v>
      </c>
      <c r="C11" s="221" t="s">
        <v>5540</v>
      </c>
      <c r="D11" s="240" t="s">
        <v>5533</v>
      </c>
      <c r="E11" s="222" t="s">
        <v>1467</v>
      </c>
      <c r="F11" s="222" t="s">
        <v>5541</v>
      </c>
      <c r="G11" s="223">
        <v>2285</v>
      </c>
      <c r="H11" s="341" t="s">
        <v>5542</v>
      </c>
      <c r="I11" s="219"/>
    </row>
    <row r="12" spans="1:9">
      <c r="A12" s="542">
        <f t="shared" si="0"/>
        <v>5</v>
      </c>
      <c r="B12" s="220" t="s">
        <v>1193</v>
      </c>
      <c r="C12" s="221" t="s">
        <v>5543</v>
      </c>
      <c r="D12" s="240" t="s">
        <v>5533</v>
      </c>
      <c r="E12" s="222" t="s">
        <v>1482</v>
      </c>
      <c r="F12" s="222" t="s">
        <v>1138</v>
      </c>
      <c r="G12" s="223">
        <v>7583</v>
      </c>
      <c r="H12" s="341" t="s">
        <v>5544</v>
      </c>
      <c r="I12" s="252"/>
    </row>
    <row r="13" spans="1:9">
      <c r="A13" s="542">
        <f t="shared" si="0"/>
        <v>6</v>
      </c>
      <c r="B13" s="220" t="s">
        <v>1197</v>
      </c>
      <c r="C13" s="221" t="s">
        <v>5545</v>
      </c>
      <c r="D13" s="240" t="s">
        <v>5533</v>
      </c>
      <c r="E13" s="222" t="s">
        <v>1193</v>
      </c>
      <c r="F13" s="222" t="s">
        <v>2645</v>
      </c>
      <c r="G13" s="223">
        <v>6034</v>
      </c>
      <c r="H13" s="341" t="s">
        <v>5546</v>
      </c>
      <c r="I13" s="219"/>
    </row>
    <row r="14" spans="1:9">
      <c r="A14" s="542">
        <f t="shared" si="0"/>
        <v>7</v>
      </c>
      <c r="B14" s="220" t="s">
        <v>1210</v>
      </c>
      <c r="C14" s="221" t="s">
        <v>5545</v>
      </c>
      <c r="D14" s="240" t="s">
        <v>5533</v>
      </c>
      <c r="E14" s="222" t="s">
        <v>1193</v>
      </c>
      <c r="F14" s="222" t="s">
        <v>2645</v>
      </c>
      <c r="G14" s="223">
        <v>7500</v>
      </c>
      <c r="H14" s="341" t="s">
        <v>5546</v>
      </c>
      <c r="I14" s="219"/>
    </row>
    <row r="15" spans="1:9" ht="31.5">
      <c r="A15" s="542">
        <f t="shared" si="0"/>
        <v>8</v>
      </c>
      <c r="B15" s="220" t="s">
        <v>1049</v>
      </c>
      <c r="C15" s="221" t="s">
        <v>5547</v>
      </c>
      <c r="D15" s="240" t="s">
        <v>5533</v>
      </c>
      <c r="E15" s="222" t="s">
        <v>5548</v>
      </c>
      <c r="F15" s="222" t="s">
        <v>2645</v>
      </c>
      <c r="G15" s="223">
        <v>7817</v>
      </c>
      <c r="H15" s="341" t="s">
        <v>5544</v>
      </c>
      <c r="I15" s="315"/>
    </row>
    <row r="16" spans="1:9">
      <c r="A16" s="542">
        <f t="shared" si="0"/>
        <v>9</v>
      </c>
      <c r="B16" s="220" t="s">
        <v>1187</v>
      </c>
      <c r="C16" s="221" t="s">
        <v>5549</v>
      </c>
      <c r="D16" s="240" t="s">
        <v>5533</v>
      </c>
      <c r="E16" s="222" t="s">
        <v>1170</v>
      </c>
      <c r="F16" s="222" t="s">
        <v>407</v>
      </c>
      <c r="G16" s="223">
        <v>1400</v>
      </c>
      <c r="H16" s="341">
        <v>13</v>
      </c>
      <c r="I16" s="219"/>
    </row>
    <row r="17" spans="1:9">
      <c r="A17" s="542">
        <f t="shared" si="0"/>
        <v>10</v>
      </c>
      <c r="B17" s="220" t="s">
        <v>1188</v>
      </c>
      <c r="C17" s="221" t="s">
        <v>5550</v>
      </c>
      <c r="D17" s="240" t="s">
        <v>5533</v>
      </c>
      <c r="E17" s="222" t="s">
        <v>1170</v>
      </c>
      <c r="F17" s="222" t="s">
        <v>407</v>
      </c>
      <c r="G17" s="223">
        <v>600</v>
      </c>
      <c r="H17" s="341">
        <v>14</v>
      </c>
      <c r="I17" s="219"/>
    </row>
    <row r="18" spans="1:9">
      <c r="A18" s="542">
        <f t="shared" si="0"/>
        <v>11</v>
      </c>
      <c r="B18" s="220" t="s">
        <v>1189</v>
      </c>
      <c r="C18" s="221" t="s">
        <v>5550</v>
      </c>
      <c r="D18" s="240" t="s">
        <v>5533</v>
      </c>
      <c r="E18" s="222" t="s">
        <v>1170</v>
      </c>
      <c r="F18" s="222" t="s">
        <v>407</v>
      </c>
      <c r="G18" s="223">
        <v>650</v>
      </c>
      <c r="H18" s="341">
        <v>14</v>
      </c>
      <c r="I18" s="219"/>
    </row>
    <row r="19" spans="1:9">
      <c r="A19" s="542">
        <f t="shared" si="0"/>
        <v>12</v>
      </c>
      <c r="B19" s="220" t="s">
        <v>1190</v>
      </c>
      <c r="C19" s="221" t="s">
        <v>5550</v>
      </c>
      <c r="D19" s="240" t="s">
        <v>5533</v>
      </c>
      <c r="E19" s="222" t="s">
        <v>1170</v>
      </c>
      <c r="F19" s="222" t="s">
        <v>407</v>
      </c>
      <c r="G19" s="223">
        <v>700</v>
      </c>
      <c r="H19" s="341">
        <v>15</v>
      </c>
      <c r="I19" s="219"/>
    </row>
    <row r="20" spans="1:9">
      <c r="A20" s="542">
        <f t="shared" si="0"/>
        <v>13</v>
      </c>
      <c r="B20" s="220" t="s">
        <v>1191</v>
      </c>
      <c r="C20" s="221" t="s">
        <v>5550</v>
      </c>
      <c r="D20" s="240" t="s">
        <v>5533</v>
      </c>
      <c r="E20" s="222" t="s">
        <v>1170</v>
      </c>
      <c r="F20" s="222" t="s">
        <v>407</v>
      </c>
      <c r="G20" s="223">
        <v>725</v>
      </c>
      <c r="H20" s="341">
        <v>12</v>
      </c>
      <c r="I20" s="219"/>
    </row>
    <row r="21" spans="1:9">
      <c r="A21" s="542">
        <f t="shared" si="0"/>
        <v>14</v>
      </c>
      <c r="B21" s="220" t="s">
        <v>1438</v>
      </c>
      <c r="C21" s="221" t="s">
        <v>5551</v>
      </c>
      <c r="D21" s="240" t="s">
        <v>5533</v>
      </c>
      <c r="E21" s="222" t="s">
        <v>1170</v>
      </c>
      <c r="F21" s="222" t="s">
        <v>407</v>
      </c>
      <c r="G21" s="223">
        <v>670</v>
      </c>
      <c r="H21" s="341">
        <v>12</v>
      </c>
      <c r="I21" s="219"/>
    </row>
    <row r="22" spans="1:9">
      <c r="A22" s="542">
        <f t="shared" si="0"/>
        <v>15</v>
      </c>
      <c r="B22" s="220" t="s">
        <v>1442</v>
      </c>
      <c r="C22" s="221" t="s">
        <v>5551</v>
      </c>
      <c r="D22" s="240" t="s">
        <v>5533</v>
      </c>
      <c r="E22" s="222" t="s">
        <v>1170</v>
      </c>
      <c r="F22" s="222" t="s">
        <v>407</v>
      </c>
      <c r="G22" s="223">
        <v>675</v>
      </c>
      <c r="H22" s="341">
        <v>12</v>
      </c>
      <c r="I22" s="219"/>
    </row>
    <row r="23" spans="1:9">
      <c r="A23" s="542">
        <f t="shared" si="0"/>
        <v>16</v>
      </c>
      <c r="B23" s="220" t="s">
        <v>1447</v>
      </c>
      <c r="C23" s="221" t="s">
        <v>5551</v>
      </c>
      <c r="D23" s="240" t="s">
        <v>5533</v>
      </c>
      <c r="E23" s="222" t="s">
        <v>1170</v>
      </c>
      <c r="F23" s="222" t="s">
        <v>407</v>
      </c>
      <c r="G23" s="223">
        <v>425</v>
      </c>
      <c r="H23" s="341">
        <v>12</v>
      </c>
      <c r="I23" s="219"/>
    </row>
    <row r="24" spans="1:9">
      <c r="A24" s="542">
        <f t="shared" si="0"/>
        <v>17</v>
      </c>
      <c r="B24" s="220" t="s">
        <v>1452</v>
      </c>
      <c r="C24" s="221" t="s">
        <v>5551</v>
      </c>
      <c r="D24" s="240" t="s">
        <v>5533</v>
      </c>
      <c r="E24" s="222" t="s">
        <v>1170</v>
      </c>
      <c r="F24" s="222" t="s">
        <v>407</v>
      </c>
      <c r="G24" s="223">
        <v>770</v>
      </c>
      <c r="H24" s="341">
        <v>12</v>
      </c>
      <c r="I24" s="219"/>
    </row>
    <row r="25" spans="1:9">
      <c r="A25" s="542">
        <f t="shared" si="0"/>
        <v>18</v>
      </c>
      <c r="B25" s="220" t="s">
        <v>1457</v>
      </c>
      <c r="C25" s="221" t="s">
        <v>5551</v>
      </c>
      <c r="D25" s="240" t="s">
        <v>5533</v>
      </c>
      <c r="E25" s="222" t="s">
        <v>1170</v>
      </c>
      <c r="F25" s="222" t="s">
        <v>407</v>
      </c>
      <c r="G25" s="223">
        <v>575</v>
      </c>
      <c r="H25" s="341">
        <v>12</v>
      </c>
      <c r="I25" s="219"/>
    </row>
    <row r="26" spans="1:9">
      <c r="A26" s="542">
        <f t="shared" si="0"/>
        <v>19</v>
      </c>
      <c r="B26" s="220" t="s">
        <v>1194</v>
      </c>
      <c r="C26" s="221" t="s">
        <v>5552</v>
      </c>
      <c r="D26" s="240" t="s">
        <v>5533</v>
      </c>
      <c r="E26" s="222" t="s">
        <v>1210</v>
      </c>
      <c r="F26" s="222" t="s">
        <v>407</v>
      </c>
      <c r="G26" s="223">
        <v>1654</v>
      </c>
      <c r="H26" s="341">
        <v>12</v>
      </c>
      <c r="I26" s="219"/>
    </row>
    <row r="27" spans="1:9">
      <c r="A27" s="542">
        <f t="shared" si="0"/>
        <v>20</v>
      </c>
      <c r="B27" s="220" t="s">
        <v>1196</v>
      </c>
      <c r="C27" s="221" t="s">
        <v>5552</v>
      </c>
      <c r="D27" s="240" t="s">
        <v>5533</v>
      </c>
      <c r="E27" s="222" t="s">
        <v>1193</v>
      </c>
      <c r="F27" s="222" t="s">
        <v>407</v>
      </c>
      <c r="G27" s="223">
        <v>1200</v>
      </c>
      <c r="H27" s="341">
        <v>12</v>
      </c>
      <c r="I27" s="219"/>
    </row>
    <row r="28" spans="1:9">
      <c r="A28" s="542">
        <f t="shared" si="0"/>
        <v>21</v>
      </c>
      <c r="B28" s="220" t="s">
        <v>5553</v>
      </c>
      <c r="C28" s="221" t="s">
        <v>5554</v>
      </c>
      <c r="D28" s="240" t="s">
        <v>5533</v>
      </c>
      <c r="E28" s="222" t="s">
        <v>1117</v>
      </c>
      <c r="F28" s="222" t="s">
        <v>1170</v>
      </c>
      <c r="G28" s="223">
        <v>1735</v>
      </c>
      <c r="H28" s="341" t="s">
        <v>5555</v>
      </c>
      <c r="I28" s="219"/>
    </row>
    <row r="29" spans="1:9">
      <c r="A29" s="542">
        <f t="shared" si="0"/>
        <v>22</v>
      </c>
      <c r="B29" s="220" t="s">
        <v>5556</v>
      </c>
      <c r="C29" s="221" t="s">
        <v>5554</v>
      </c>
      <c r="D29" s="240" t="s">
        <v>5533</v>
      </c>
      <c r="E29" s="222" t="s">
        <v>1117</v>
      </c>
      <c r="F29" s="222" t="s">
        <v>1170</v>
      </c>
      <c r="G29" s="223">
        <v>1725</v>
      </c>
      <c r="H29" s="341">
        <v>12</v>
      </c>
      <c r="I29" s="219"/>
    </row>
    <row r="30" spans="1:9">
      <c r="A30" s="542">
        <f t="shared" si="0"/>
        <v>23</v>
      </c>
      <c r="B30" s="220" t="s">
        <v>5557</v>
      </c>
      <c r="C30" s="221" t="s">
        <v>5554</v>
      </c>
      <c r="D30" s="240" t="s">
        <v>5533</v>
      </c>
      <c r="E30" s="222" t="s">
        <v>1117</v>
      </c>
      <c r="F30" s="222" t="s">
        <v>1170</v>
      </c>
      <c r="G30" s="223">
        <v>1772</v>
      </c>
      <c r="H30" s="341">
        <v>12</v>
      </c>
      <c r="I30" s="219"/>
    </row>
    <row r="31" spans="1:9">
      <c r="A31" s="542">
        <f t="shared" si="0"/>
        <v>24</v>
      </c>
      <c r="B31" s="220" t="s">
        <v>5558</v>
      </c>
      <c r="C31" s="221" t="s">
        <v>5559</v>
      </c>
      <c r="D31" s="240" t="s">
        <v>5533</v>
      </c>
      <c r="E31" s="222" t="s">
        <v>1117</v>
      </c>
      <c r="F31" s="222" t="s">
        <v>1170</v>
      </c>
      <c r="G31" s="223">
        <v>1792</v>
      </c>
      <c r="H31" s="341">
        <v>12</v>
      </c>
      <c r="I31" s="219"/>
    </row>
    <row r="32" spans="1:9">
      <c r="A32" s="542">
        <f t="shared" si="0"/>
        <v>25</v>
      </c>
      <c r="B32" s="220" t="s">
        <v>1172</v>
      </c>
      <c r="C32" s="221" t="s">
        <v>5550</v>
      </c>
      <c r="D32" s="240" t="s">
        <v>5533</v>
      </c>
      <c r="E32" s="222" t="s">
        <v>1117</v>
      </c>
      <c r="F32" s="222" t="s">
        <v>1170</v>
      </c>
      <c r="G32" s="223">
        <v>1812</v>
      </c>
      <c r="H32" s="341">
        <v>12</v>
      </c>
      <c r="I32" s="219"/>
    </row>
    <row r="33" spans="1:9">
      <c r="A33" s="542">
        <f t="shared" si="0"/>
        <v>26</v>
      </c>
      <c r="B33" s="220" t="s">
        <v>1174</v>
      </c>
      <c r="C33" s="221" t="s">
        <v>5549</v>
      </c>
      <c r="D33" s="240" t="s">
        <v>5533</v>
      </c>
      <c r="E33" s="222" t="s">
        <v>1117</v>
      </c>
      <c r="F33" s="222" t="s">
        <v>1170</v>
      </c>
      <c r="G33" s="223">
        <v>1840</v>
      </c>
      <c r="H33" s="341">
        <v>12</v>
      </c>
      <c r="I33" s="219"/>
    </row>
    <row r="34" spans="1:9">
      <c r="A34" s="542">
        <f t="shared" si="0"/>
        <v>27</v>
      </c>
      <c r="B34" s="220" t="s">
        <v>1176</v>
      </c>
      <c r="C34" s="221" t="s">
        <v>5549</v>
      </c>
      <c r="D34" s="240" t="s">
        <v>5533</v>
      </c>
      <c r="E34" s="222" t="s">
        <v>1117</v>
      </c>
      <c r="F34" s="222" t="s">
        <v>1170</v>
      </c>
      <c r="G34" s="223">
        <v>1837</v>
      </c>
      <c r="H34" s="341">
        <v>12</v>
      </c>
      <c r="I34" s="219"/>
    </row>
    <row r="35" spans="1:9">
      <c r="A35" s="542">
        <f t="shared" si="0"/>
        <v>28</v>
      </c>
      <c r="B35" s="220" t="s">
        <v>1178</v>
      </c>
      <c r="C35" s="221" t="s">
        <v>5549</v>
      </c>
      <c r="D35" s="240" t="s">
        <v>5533</v>
      </c>
      <c r="E35" s="222" t="s">
        <v>1117</v>
      </c>
      <c r="F35" s="222" t="s">
        <v>1170</v>
      </c>
      <c r="G35" s="223">
        <v>1830</v>
      </c>
      <c r="H35" s="341">
        <v>12</v>
      </c>
      <c r="I35" s="219"/>
    </row>
    <row r="36" spans="1:9">
      <c r="A36" s="542">
        <f t="shared" si="0"/>
        <v>29</v>
      </c>
      <c r="B36" s="220" t="s">
        <v>1180</v>
      </c>
      <c r="C36" s="221" t="s">
        <v>5552</v>
      </c>
      <c r="D36" s="240" t="s">
        <v>5533</v>
      </c>
      <c r="E36" s="222" t="s">
        <v>1117</v>
      </c>
      <c r="F36" s="222" t="s">
        <v>1170</v>
      </c>
      <c r="G36" s="223">
        <v>1775</v>
      </c>
      <c r="H36" s="341">
        <v>12</v>
      </c>
      <c r="I36" s="219"/>
    </row>
    <row r="37" spans="1:9">
      <c r="A37" s="542">
        <f t="shared" si="0"/>
        <v>30</v>
      </c>
      <c r="B37" s="220" t="s">
        <v>5560</v>
      </c>
      <c r="C37" s="221" t="s">
        <v>5552</v>
      </c>
      <c r="D37" s="240" t="s">
        <v>5533</v>
      </c>
      <c r="E37" s="222" t="s">
        <v>1117</v>
      </c>
      <c r="F37" s="222" t="s">
        <v>407</v>
      </c>
      <c r="G37" s="223">
        <v>4875</v>
      </c>
      <c r="H37" s="341" t="s">
        <v>5561</v>
      </c>
      <c r="I37" s="219"/>
    </row>
    <row r="38" spans="1:9">
      <c r="A38" s="542">
        <f t="shared" si="0"/>
        <v>31</v>
      </c>
      <c r="B38" s="220" t="s">
        <v>1183</v>
      </c>
      <c r="C38" s="221" t="s">
        <v>5552</v>
      </c>
      <c r="D38" s="240" t="s">
        <v>5533</v>
      </c>
      <c r="E38" s="222" t="s">
        <v>1193</v>
      </c>
      <c r="F38" s="222" t="s">
        <v>3766</v>
      </c>
      <c r="G38" s="223">
        <v>1250</v>
      </c>
      <c r="H38" s="341">
        <v>12</v>
      </c>
      <c r="I38" s="219"/>
    </row>
    <row r="39" spans="1:9">
      <c r="A39" s="542">
        <f t="shared" si="0"/>
        <v>32</v>
      </c>
      <c r="B39" s="220" t="s">
        <v>1184</v>
      </c>
      <c r="C39" s="221" t="s">
        <v>5552</v>
      </c>
      <c r="D39" s="240" t="s">
        <v>5533</v>
      </c>
      <c r="E39" s="222" t="s">
        <v>1193</v>
      </c>
      <c r="F39" s="222" t="s">
        <v>3766</v>
      </c>
      <c r="G39" s="223">
        <v>1300</v>
      </c>
      <c r="H39" s="341">
        <v>12</v>
      </c>
      <c r="I39" s="219"/>
    </row>
    <row r="40" spans="1:9">
      <c r="A40" s="542">
        <f t="shared" si="0"/>
        <v>33</v>
      </c>
      <c r="B40" s="220" t="s">
        <v>1185</v>
      </c>
      <c r="C40" s="221" t="s">
        <v>5552</v>
      </c>
      <c r="D40" s="240" t="s">
        <v>5533</v>
      </c>
      <c r="E40" s="222" t="s">
        <v>1416</v>
      </c>
      <c r="F40" s="222" t="s">
        <v>3766</v>
      </c>
      <c r="G40" s="223">
        <v>1300</v>
      </c>
      <c r="H40" s="341">
        <v>12</v>
      </c>
      <c r="I40" s="219"/>
    </row>
    <row r="41" spans="1:9">
      <c r="A41" s="542">
        <f t="shared" si="0"/>
        <v>34</v>
      </c>
      <c r="B41" s="220" t="s">
        <v>5562</v>
      </c>
      <c r="C41" s="221" t="s">
        <v>5552</v>
      </c>
      <c r="D41" s="240" t="s">
        <v>5533</v>
      </c>
      <c r="E41" s="222" t="s">
        <v>1193</v>
      </c>
      <c r="F41" s="222" t="s">
        <v>3766</v>
      </c>
      <c r="G41" s="223">
        <v>1400</v>
      </c>
      <c r="H41" s="341">
        <v>12</v>
      </c>
      <c r="I41" s="219"/>
    </row>
    <row r="42" spans="1:9">
      <c r="A42" s="542">
        <f t="shared" si="0"/>
        <v>35</v>
      </c>
      <c r="B42" s="220" t="s">
        <v>1166</v>
      </c>
      <c r="C42" s="221" t="s">
        <v>5550</v>
      </c>
      <c r="D42" s="240" t="s">
        <v>5533</v>
      </c>
      <c r="E42" s="222" t="s">
        <v>1117</v>
      </c>
      <c r="F42" s="222" t="s">
        <v>1464</v>
      </c>
      <c r="G42" s="223">
        <v>960</v>
      </c>
      <c r="H42" s="341">
        <v>12</v>
      </c>
      <c r="I42" s="219"/>
    </row>
    <row r="43" spans="1:9">
      <c r="A43" s="542">
        <f t="shared" si="0"/>
        <v>36</v>
      </c>
      <c r="B43" s="220" t="s">
        <v>1167</v>
      </c>
      <c r="C43" s="221" t="s">
        <v>5550</v>
      </c>
      <c r="D43" s="240" t="s">
        <v>5533</v>
      </c>
      <c r="E43" s="222" t="s">
        <v>1117</v>
      </c>
      <c r="F43" s="222" t="s">
        <v>1464</v>
      </c>
      <c r="G43" s="223">
        <v>967</v>
      </c>
      <c r="H43" s="341">
        <v>12</v>
      </c>
      <c r="I43" s="219"/>
    </row>
    <row r="44" spans="1:9">
      <c r="A44" s="542">
        <f t="shared" si="0"/>
        <v>37</v>
      </c>
      <c r="B44" s="220" t="s">
        <v>1168</v>
      </c>
      <c r="C44" s="221" t="s">
        <v>5550</v>
      </c>
      <c r="D44" s="240" t="s">
        <v>5533</v>
      </c>
      <c r="E44" s="222" t="s">
        <v>1117</v>
      </c>
      <c r="F44" s="222" t="s">
        <v>1464</v>
      </c>
      <c r="G44" s="223">
        <v>1006</v>
      </c>
      <c r="H44" s="341">
        <v>12</v>
      </c>
      <c r="I44" s="219"/>
    </row>
    <row r="45" spans="1:9">
      <c r="A45" s="542">
        <f t="shared" si="0"/>
        <v>38</v>
      </c>
      <c r="B45" s="220" t="s">
        <v>1171</v>
      </c>
      <c r="C45" s="221" t="s">
        <v>5550</v>
      </c>
      <c r="D45" s="240" t="s">
        <v>5533</v>
      </c>
      <c r="E45" s="222" t="s">
        <v>1117</v>
      </c>
      <c r="F45" s="222" t="s">
        <v>1464</v>
      </c>
      <c r="G45" s="223">
        <v>997</v>
      </c>
      <c r="H45" s="341">
        <v>12</v>
      </c>
      <c r="I45" s="219"/>
    </row>
    <row r="46" spans="1:9">
      <c r="A46" s="542">
        <f t="shared" si="0"/>
        <v>39</v>
      </c>
      <c r="B46" s="220" t="s">
        <v>1173</v>
      </c>
      <c r="C46" s="221" t="s">
        <v>5549</v>
      </c>
      <c r="D46" s="240" t="s">
        <v>5533</v>
      </c>
      <c r="E46" s="222" t="s">
        <v>1117</v>
      </c>
      <c r="F46" s="222" t="s">
        <v>1464</v>
      </c>
      <c r="G46" s="223">
        <v>983</v>
      </c>
      <c r="H46" s="341">
        <v>12</v>
      </c>
      <c r="I46" s="219"/>
    </row>
    <row r="47" spans="1:9">
      <c r="A47" s="542">
        <f t="shared" si="0"/>
        <v>40</v>
      </c>
      <c r="B47" s="220" t="s">
        <v>1175</v>
      </c>
      <c r="C47" s="221" t="s">
        <v>5552</v>
      </c>
      <c r="D47" s="240" t="s">
        <v>5533</v>
      </c>
      <c r="E47" s="222" t="s">
        <v>1117</v>
      </c>
      <c r="F47" s="222" t="s">
        <v>1464</v>
      </c>
      <c r="G47" s="223">
        <v>981</v>
      </c>
      <c r="H47" s="341">
        <v>12</v>
      </c>
      <c r="I47" s="219"/>
    </row>
    <row r="48" spans="1:9">
      <c r="A48" s="542">
        <f t="shared" si="0"/>
        <v>41</v>
      </c>
      <c r="B48" s="220" t="s">
        <v>1177</v>
      </c>
      <c r="C48" s="221" t="s">
        <v>5552</v>
      </c>
      <c r="D48" s="240" t="s">
        <v>5533</v>
      </c>
      <c r="E48" s="222" t="s">
        <v>1117</v>
      </c>
      <c r="F48" s="222" t="s">
        <v>1464</v>
      </c>
      <c r="G48" s="223">
        <v>978</v>
      </c>
      <c r="H48" s="341">
        <v>12</v>
      </c>
      <c r="I48" s="219"/>
    </row>
    <row r="49" spans="1:9">
      <c r="A49" s="542">
        <f t="shared" si="0"/>
        <v>42</v>
      </c>
      <c r="B49" s="220" t="s">
        <v>1179</v>
      </c>
      <c r="C49" s="221" t="s">
        <v>5552</v>
      </c>
      <c r="D49" s="240" t="s">
        <v>5533</v>
      </c>
      <c r="E49" s="222" t="s">
        <v>1117</v>
      </c>
      <c r="F49" s="222" t="s">
        <v>1464</v>
      </c>
      <c r="G49" s="223">
        <v>945</v>
      </c>
      <c r="H49" s="341">
        <v>12</v>
      </c>
      <c r="I49" s="219"/>
    </row>
    <row r="50" spans="1:9">
      <c r="A50" s="542">
        <f t="shared" si="0"/>
        <v>43</v>
      </c>
      <c r="B50" s="220" t="s">
        <v>1478</v>
      </c>
      <c r="C50" s="221" t="s">
        <v>5540</v>
      </c>
      <c r="D50" s="240" t="s">
        <v>5533</v>
      </c>
      <c r="E50" s="222" t="s">
        <v>1117</v>
      </c>
      <c r="F50" s="222" t="s">
        <v>1111</v>
      </c>
      <c r="G50" s="223">
        <v>963</v>
      </c>
      <c r="H50" s="341">
        <v>12</v>
      </c>
      <c r="I50" s="219"/>
    </row>
    <row r="51" spans="1:9">
      <c r="A51" s="542">
        <f t="shared" si="0"/>
        <v>44</v>
      </c>
      <c r="B51" s="220" t="s">
        <v>1481</v>
      </c>
      <c r="C51" s="221" t="s">
        <v>5540</v>
      </c>
      <c r="D51" s="240" t="s">
        <v>5533</v>
      </c>
      <c r="E51" s="222" t="s">
        <v>1482</v>
      </c>
      <c r="F51" s="222" t="s">
        <v>1111</v>
      </c>
      <c r="G51" s="223">
        <v>1532</v>
      </c>
      <c r="H51" s="341">
        <v>12</v>
      </c>
      <c r="I51" s="219"/>
    </row>
    <row r="52" spans="1:9">
      <c r="A52" s="542">
        <f t="shared" si="0"/>
        <v>45</v>
      </c>
      <c r="B52" s="220" t="s">
        <v>1486</v>
      </c>
      <c r="C52" s="221" t="s">
        <v>5540</v>
      </c>
      <c r="D52" s="240" t="s">
        <v>5533</v>
      </c>
      <c r="E52" s="222" t="s">
        <v>1482</v>
      </c>
      <c r="F52" s="222" t="s">
        <v>5563</v>
      </c>
      <c r="G52" s="223">
        <v>791</v>
      </c>
      <c r="H52" s="341">
        <v>12</v>
      </c>
      <c r="I52" s="219"/>
    </row>
    <row r="53" spans="1:9">
      <c r="A53" s="542">
        <f t="shared" si="0"/>
        <v>46</v>
      </c>
      <c r="B53" s="220" t="s">
        <v>1488</v>
      </c>
      <c r="C53" s="221" t="s">
        <v>5540</v>
      </c>
      <c r="D53" s="240" t="s">
        <v>5533</v>
      </c>
      <c r="E53" s="222" t="s">
        <v>1489</v>
      </c>
      <c r="F53" s="222" t="s">
        <v>1111</v>
      </c>
      <c r="G53" s="223">
        <v>1594</v>
      </c>
      <c r="H53" s="341">
        <v>12</v>
      </c>
      <c r="I53" s="219"/>
    </row>
    <row r="54" spans="1:9">
      <c r="A54" s="542">
        <f t="shared" si="0"/>
        <v>47</v>
      </c>
      <c r="B54" s="220" t="s">
        <v>1490</v>
      </c>
      <c r="C54" s="221" t="s">
        <v>5540</v>
      </c>
      <c r="D54" s="240" t="s">
        <v>5533</v>
      </c>
      <c r="E54" s="222" t="s">
        <v>1491</v>
      </c>
      <c r="F54" s="222" t="s">
        <v>1511</v>
      </c>
      <c r="G54" s="223">
        <v>1700</v>
      </c>
      <c r="H54" s="341">
        <v>12</v>
      </c>
      <c r="I54" s="219"/>
    </row>
    <row r="55" spans="1:9">
      <c r="A55" s="542">
        <f t="shared" si="0"/>
        <v>48</v>
      </c>
      <c r="B55" s="220" t="s">
        <v>1510</v>
      </c>
      <c r="C55" s="221" t="s">
        <v>5540</v>
      </c>
      <c r="D55" s="240" t="s">
        <v>5533</v>
      </c>
      <c r="E55" s="222" t="s">
        <v>1482</v>
      </c>
      <c r="F55" s="222" t="s">
        <v>1464</v>
      </c>
      <c r="G55" s="223">
        <v>1700</v>
      </c>
      <c r="H55" s="341">
        <v>12</v>
      </c>
      <c r="I55" s="219"/>
    </row>
    <row r="56" spans="1:9">
      <c r="A56" s="542">
        <f t="shared" si="0"/>
        <v>49</v>
      </c>
      <c r="B56" s="220" t="s">
        <v>1508</v>
      </c>
      <c r="C56" s="221" t="s">
        <v>5540</v>
      </c>
      <c r="D56" s="240" t="s">
        <v>5533</v>
      </c>
      <c r="E56" s="222" t="s">
        <v>1482</v>
      </c>
      <c r="F56" s="222" t="s">
        <v>1464</v>
      </c>
      <c r="G56" s="223">
        <v>1325</v>
      </c>
      <c r="H56" s="341">
        <v>12</v>
      </c>
      <c r="I56" s="219"/>
    </row>
    <row r="57" spans="1:9">
      <c r="A57" s="542">
        <f t="shared" si="0"/>
        <v>50</v>
      </c>
      <c r="B57" s="220" t="s">
        <v>1507</v>
      </c>
      <c r="C57" s="221" t="s">
        <v>5540</v>
      </c>
      <c r="D57" s="240" t="s">
        <v>5533</v>
      </c>
      <c r="E57" s="222" t="s">
        <v>1117</v>
      </c>
      <c r="F57" s="222" t="s">
        <v>1464</v>
      </c>
      <c r="G57" s="223">
        <v>1000</v>
      </c>
      <c r="H57" s="341">
        <v>12</v>
      </c>
      <c r="I57" s="219"/>
    </row>
    <row r="58" spans="1:9">
      <c r="A58" s="542">
        <f t="shared" si="0"/>
        <v>51</v>
      </c>
      <c r="B58" s="220" t="s">
        <v>1511</v>
      </c>
      <c r="C58" s="221" t="s">
        <v>5540</v>
      </c>
      <c r="D58" s="240" t="s">
        <v>5533</v>
      </c>
      <c r="E58" s="222" t="s">
        <v>1496</v>
      </c>
      <c r="F58" s="222" t="s">
        <v>1464</v>
      </c>
      <c r="G58" s="223">
        <v>1300</v>
      </c>
      <c r="H58" s="341" t="s">
        <v>5564</v>
      </c>
      <c r="I58" s="219"/>
    </row>
    <row r="59" spans="1:9">
      <c r="A59" s="542">
        <f t="shared" si="0"/>
        <v>52</v>
      </c>
      <c r="B59" s="220" t="s">
        <v>1512</v>
      </c>
      <c r="C59" s="221" t="s">
        <v>5540</v>
      </c>
      <c r="D59" s="240" t="s">
        <v>5533</v>
      </c>
      <c r="E59" s="222" t="s">
        <v>1111</v>
      </c>
      <c r="F59" s="222" t="s">
        <v>1464</v>
      </c>
      <c r="G59" s="223">
        <v>1000</v>
      </c>
      <c r="H59" s="341">
        <v>12</v>
      </c>
      <c r="I59" s="219"/>
    </row>
    <row r="60" spans="1:9">
      <c r="A60" s="542">
        <f t="shared" si="0"/>
        <v>53</v>
      </c>
      <c r="B60" s="220" t="s">
        <v>1513</v>
      </c>
      <c r="C60" s="221" t="s">
        <v>5540</v>
      </c>
      <c r="D60" s="240" t="s">
        <v>5533</v>
      </c>
      <c r="E60" s="222" t="s">
        <v>1111</v>
      </c>
      <c r="F60" s="222" t="s">
        <v>1464</v>
      </c>
      <c r="G60" s="223">
        <v>500</v>
      </c>
      <c r="H60" s="341">
        <v>12</v>
      </c>
      <c r="I60" s="219"/>
    </row>
    <row r="61" spans="1:9">
      <c r="A61" s="542">
        <f t="shared" si="0"/>
        <v>54</v>
      </c>
      <c r="B61" s="220" t="s">
        <v>1514</v>
      </c>
      <c r="C61" s="221" t="s">
        <v>5540</v>
      </c>
      <c r="D61" s="240" t="s">
        <v>5533</v>
      </c>
      <c r="E61" s="222" t="s">
        <v>1111</v>
      </c>
      <c r="F61" s="222" t="s">
        <v>1464</v>
      </c>
      <c r="G61" s="223">
        <v>300</v>
      </c>
      <c r="H61" s="341">
        <v>12</v>
      </c>
      <c r="I61" s="219"/>
    </row>
    <row r="62" spans="1:9">
      <c r="A62" s="542">
        <f t="shared" si="0"/>
        <v>55</v>
      </c>
      <c r="B62" s="220" t="s">
        <v>1469</v>
      </c>
      <c r="C62" s="221" t="s">
        <v>5540</v>
      </c>
      <c r="D62" s="240" t="s">
        <v>5533</v>
      </c>
      <c r="E62" s="222" t="s">
        <v>1482</v>
      </c>
      <c r="F62" s="222" t="s">
        <v>5565</v>
      </c>
      <c r="G62" s="223">
        <v>1612</v>
      </c>
      <c r="H62" s="341">
        <v>12</v>
      </c>
      <c r="I62" s="219"/>
    </row>
    <row r="63" spans="1:9">
      <c r="A63" s="542">
        <f t="shared" si="0"/>
        <v>56</v>
      </c>
      <c r="B63" s="220" t="s">
        <v>1472</v>
      </c>
      <c r="C63" s="221" t="s">
        <v>5540</v>
      </c>
      <c r="D63" s="240" t="s">
        <v>5533</v>
      </c>
      <c r="E63" s="222" t="s">
        <v>1482</v>
      </c>
      <c r="F63" s="222" t="s">
        <v>5566</v>
      </c>
      <c r="G63" s="223">
        <v>697</v>
      </c>
      <c r="H63" s="341">
        <v>3</v>
      </c>
      <c r="I63" s="252"/>
    </row>
    <row r="64" spans="1:9">
      <c r="A64" s="542">
        <f t="shared" si="0"/>
        <v>57</v>
      </c>
      <c r="B64" s="220" t="s">
        <v>1475</v>
      </c>
      <c r="C64" s="221" t="s">
        <v>5540</v>
      </c>
      <c r="D64" s="240" t="s">
        <v>5533</v>
      </c>
      <c r="E64" s="222" t="s">
        <v>1482</v>
      </c>
      <c r="F64" s="222" t="s">
        <v>407</v>
      </c>
      <c r="G64" s="223">
        <v>554</v>
      </c>
      <c r="H64" s="341">
        <v>12</v>
      </c>
      <c r="I64" s="219"/>
    </row>
    <row r="65" spans="1:9">
      <c r="A65" s="542">
        <f t="shared" si="0"/>
        <v>58</v>
      </c>
      <c r="B65" s="220" t="s">
        <v>5567</v>
      </c>
      <c r="C65" s="221" t="s">
        <v>5540</v>
      </c>
      <c r="D65" s="240" t="s">
        <v>5533</v>
      </c>
      <c r="E65" s="222" t="s">
        <v>1482</v>
      </c>
      <c r="F65" s="222" t="s">
        <v>407</v>
      </c>
      <c r="G65" s="223">
        <v>1635</v>
      </c>
      <c r="H65" s="341">
        <v>12</v>
      </c>
      <c r="I65" s="219"/>
    </row>
    <row r="66" spans="1:9">
      <c r="A66" s="542">
        <f t="shared" si="0"/>
        <v>59</v>
      </c>
      <c r="B66" s="220" t="s">
        <v>1480</v>
      </c>
      <c r="C66" s="221" t="s">
        <v>5540</v>
      </c>
      <c r="D66" s="240" t="s">
        <v>5533</v>
      </c>
      <c r="E66" s="222" t="s">
        <v>1482</v>
      </c>
      <c r="F66" s="222" t="s">
        <v>407</v>
      </c>
      <c r="G66" s="223">
        <v>1554</v>
      </c>
      <c r="H66" s="341">
        <v>12</v>
      </c>
      <c r="I66" s="219"/>
    </row>
    <row r="67" spans="1:9">
      <c r="A67" s="542">
        <f t="shared" si="0"/>
        <v>60</v>
      </c>
      <c r="B67" s="220" t="s">
        <v>5568</v>
      </c>
      <c r="C67" s="221" t="s">
        <v>5540</v>
      </c>
      <c r="D67" s="240" t="s">
        <v>5533</v>
      </c>
      <c r="E67" s="222" t="s">
        <v>1482</v>
      </c>
      <c r="F67" s="222" t="s">
        <v>407</v>
      </c>
      <c r="G67" s="223">
        <v>1769</v>
      </c>
      <c r="H67" s="341">
        <v>12</v>
      </c>
      <c r="I67" s="219"/>
    </row>
    <row r="68" spans="1:9">
      <c r="A68" s="542">
        <f t="shared" si="0"/>
        <v>61</v>
      </c>
      <c r="B68" s="220" t="s">
        <v>5569</v>
      </c>
      <c r="C68" s="221" t="s">
        <v>5540</v>
      </c>
      <c r="D68" s="240" t="s">
        <v>5533</v>
      </c>
      <c r="E68" s="222" t="s">
        <v>1482</v>
      </c>
      <c r="F68" s="222" t="s">
        <v>407</v>
      </c>
      <c r="G68" s="223">
        <v>1800</v>
      </c>
      <c r="H68" s="341">
        <v>12</v>
      </c>
      <c r="I68" s="219"/>
    </row>
    <row r="69" spans="1:9">
      <c r="A69" s="542">
        <f t="shared" si="0"/>
        <v>62</v>
      </c>
      <c r="B69" s="220" t="s">
        <v>5570</v>
      </c>
      <c r="C69" s="221" t="s">
        <v>5540</v>
      </c>
      <c r="D69" s="240" t="s">
        <v>5533</v>
      </c>
      <c r="E69" s="222" t="s">
        <v>1482</v>
      </c>
      <c r="F69" s="222" t="s">
        <v>407</v>
      </c>
      <c r="G69" s="223">
        <v>1800</v>
      </c>
      <c r="H69" s="341">
        <v>12</v>
      </c>
      <c r="I69" s="219"/>
    </row>
    <row r="70" spans="1:9">
      <c r="A70" s="542">
        <f t="shared" si="0"/>
        <v>63</v>
      </c>
      <c r="B70" s="220" t="s">
        <v>5571</v>
      </c>
      <c r="C70" s="221" t="s">
        <v>5540</v>
      </c>
      <c r="D70" s="240" t="s">
        <v>5533</v>
      </c>
      <c r="E70" s="222" t="s">
        <v>1482</v>
      </c>
      <c r="F70" s="222" t="s">
        <v>407</v>
      </c>
      <c r="G70" s="223">
        <v>1963</v>
      </c>
      <c r="H70" s="341">
        <v>12</v>
      </c>
      <c r="I70" s="219"/>
    </row>
    <row r="71" spans="1:9">
      <c r="A71" s="542">
        <f t="shared" si="0"/>
        <v>64</v>
      </c>
      <c r="B71" s="220" t="s">
        <v>1529</v>
      </c>
      <c r="C71" s="221" t="s">
        <v>5540</v>
      </c>
      <c r="D71" s="240" t="s">
        <v>5533</v>
      </c>
      <c r="E71" s="222" t="s">
        <v>1482</v>
      </c>
      <c r="F71" s="222" t="s">
        <v>407</v>
      </c>
      <c r="G71" s="223">
        <v>1200</v>
      </c>
      <c r="H71" s="341">
        <v>7</v>
      </c>
      <c r="I71" s="219"/>
    </row>
    <row r="72" spans="1:9">
      <c r="A72" s="542">
        <f t="shared" si="0"/>
        <v>65</v>
      </c>
      <c r="B72" s="220" t="s">
        <v>1199</v>
      </c>
      <c r="C72" s="221" t="s">
        <v>5572</v>
      </c>
      <c r="D72" s="240" t="s">
        <v>5533</v>
      </c>
      <c r="E72" s="222" t="s">
        <v>1197</v>
      </c>
      <c r="F72" s="222" t="s">
        <v>407</v>
      </c>
      <c r="G72" s="223">
        <v>1650</v>
      </c>
      <c r="H72" s="341">
        <v>12</v>
      </c>
      <c r="I72" s="219"/>
    </row>
    <row r="73" spans="1:9">
      <c r="A73" s="542">
        <f t="shared" ref="A73:A116" si="1">A72+1</f>
        <v>66</v>
      </c>
      <c r="B73" s="220" t="s">
        <v>1200</v>
      </c>
      <c r="C73" s="221" t="s">
        <v>5572</v>
      </c>
      <c r="D73" s="240" t="s">
        <v>5533</v>
      </c>
      <c r="E73" s="222" t="s">
        <v>1197</v>
      </c>
      <c r="F73" s="222" t="s">
        <v>407</v>
      </c>
      <c r="G73" s="223">
        <v>2150</v>
      </c>
      <c r="H73" s="341">
        <v>12</v>
      </c>
      <c r="I73" s="219"/>
    </row>
    <row r="74" spans="1:9">
      <c r="A74" s="542">
        <f t="shared" si="1"/>
        <v>67</v>
      </c>
      <c r="B74" s="220" t="s">
        <v>1201</v>
      </c>
      <c r="C74" s="221" t="s">
        <v>5572</v>
      </c>
      <c r="D74" s="240" t="s">
        <v>5533</v>
      </c>
      <c r="E74" s="222" t="s">
        <v>1197</v>
      </c>
      <c r="F74" s="222" t="s">
        <v>407</v>
      </c>
      <c r="G74" s="223">
        <v>2075</v>
      </c>
      <c r="H74" s="341">
        <v>12</v>
      </c>
      <c r="I74" s="219"/>
    </row>
    <row r="75" spans="1:9">
      <c r="A75" s="542">
        <f t="shared" si="1"/>
        <v>68</v>
      </c>
      <c r="B75" s="220" t="s">
        <v>1202</v>
      </c>
      <c r="C75" s="221" t="s">
        <v>5572</v>
      </c>
      <c r="D75" s="240" t="s">
        <v>5533</v>
      </c>
      <c r="E75" s="222" t="s">
        <v>1197</v>
      </c>
      <c r="F75" s="222" t="s">
        <v>407</v>
      </c>
      <c r="G75" s="223">
        <v>1800</v>
      </c>
      <c r="H75" s="341">
        <v>12</v>
      </c>
      <c r="I75" s="219"/>
    </row>
    <row r="76" spans="1:9">
      <c r="A76" s="542">
        <f t="shared" si="1"/>
        <v>69</v>
      </c>
      <c r="B76" s="220" t="s">
        <v>1203</v>
      </c>
      <c r="C76" s="221" t="s">
        <v>5572</v>
      </c>
      <c r="D76" s="240" t="s">
        <v>5533</v>
      </c>
      <c r="E76" s="222" t="s">
        <v>1197</v>
      </c>
      <c r="F76" s="222" t="s">
        <v>407</v>
      </c>
      <c r="G76" s="223">
        <v>1940</v>
      </c>
      <c r="H76" s="341">
        <v>12</v>
      </c>
      <c r="I76" s="219"/>
    </row>
    <row r="77" spans="1:9">
      <c r="A77" s="542">
        <f t="shared" si="1"/>
        <v>70</v>
      </c>
      <c r="B77" s="220" t="s">
        <v>1204</v>
      </c>
      <c r="C77" s="221" t="s">
        <v>5572</v>
      </c>
      <c r="D77" s="240" t="s">
        <v>5533</v>
      </c>
      <c r="E77" s="222" t="s">
        <v>1197</v>
      </c>
      <c r="F77" s="222" t="s">
        <v>407</v>
      </c>
      <c r="G77" s="223">
        <v>2145</v>
      </c>
      <c r="H77" s="341">
        <v>12</v>
      </c>
      <c r="I77" s="219"/>
    </row>
    <row r="78" spans="1:9">
      <c r="A78" s="542">
        <f t="shared" si="1"/>
        <v>71</v>
      </c>
      <c r="B78" s="220" t="s">
        <v>1205</v>
      </c>
      <c r="C78" s="221" t="s">
        <v>5572</v>
      </c>
      <c r="D78" s="240" t="s">
        <v>5533</v>
      </c>
      <c r="E78" s="222" t="s">
        <v>1197</v>
      </c>
      <c r="F78" s="222" t="s">
        <v>407</v>
      </c>
      <c r="G78" s="223">
        <v>2460</v>
      </c>
      <c r="H78" s="341">
        <v>12</v>
      </c>
      <c r="I78" s="219"/>
    </row>
    <row r="79" spans="1:9">
      <c r="A79" s="542">
        <f t="shared" si="1"/>
        <v>72</v>
      </c>
      <c r="B79" s="220" t="s">
        <v>1206</v>
      </c>
      <c r="C79" s="221" t="s">
        <v>5572</v>
      </c>
      <c r="D79" s="240" t="s">
        <v>5533</v>
      </c>
      <c r="E79" s="222" t="s">
        <v>1197</v>
      </c>
      <c r="F79" s="222" t="s">
        <v>407</v>
      </c>
      <c r="G79" s="223">
        <v>2725</v>
      </c>
      <c r="H79" s="341">
        <v>12</v>
      </c>
      <c r="I79" s="219"/>
    </row>
    <row r="80" spans="1:9">
      <c r="A80" s="542">
        <f t="shared" si="1"/>
        <v>73</v>
      </c>
      <c r="B80" s="220" t="s">
        <v>1207</v>
      </c>
      <c r="C80" s="221" t="s">
        <v>5572</v>
      </c>
      <c r="D80" s="240" t="s">
        <v>5533</v>
      </c>
      <c r="E80" s="222" t="s">
        <v>1197</v>
      </c>
      <c r="F80" s="222" t="s">
        <v>407</v>
      </c>
      <c r="G80" s="223">
        <v>3140</v>
      </c>
      <c r="H80" s="341">
        <v>12</v>
      </c>
      <c r="I80" s="219"/>
    </row>
    <row r="81" spans="1:9">
      <c r="A81" s="542">
        <f t="shared" si="1"/>
        <v>74</v>
      </c>
      <c r="B81" s="220" t="s">
        <v>1208</v>
      </c>
      <c r="C81" s="221" t="s">
        <v>5572</v>
      </c>
      <c r="D81" s="240" t="s">
        <v>5533</v>
      </c>
      <c r="E81" s="222" t="s">
        <v>1197</v>
      </c>
      <c r="F81" s="222" t="s">
        <v>407</v>
      </c>
      <c r="G81" s="223">
        <v>3274</v>
      </c>
      <c r="H81" s="341">
        <v>12</v>
      </c>
      <c r="I81" s="219"/>
    </row>
    <row r="82" spans="1:9">
      <c r="A82" s="542">
        <f t="shared" si="1"/>
        <v>75</v>
      </c>
      <c r="B82" s="220" t="s">
        <v>1209</v>
      </c>
      <c r="C82" s="221" t="s">
        <v>5572</v>
      </c>
      <c r="D82" s="240" t="s">
        <v>5533</v>
      </c>
      <c r="E82" s="222" t="s">
        <v>1197</v>
      </c>
      <c r="F82" s="222" t="s">
        <v>407</v>
      </c>
      <c r="G82" s="223">
        <v>3400</v>
      </c>
      <c r="H82" s="341">
        <v>12</v>
      </c>
      <c r="I82" s="219"/>
    </row>
    <row r="83" spans="1:9">
      <c r="A83" s="542">
        <f t="shared" si="1"/>
        <v>76</v>
      </c>
      <c r="B83" s="220" t="s">
        <v>1212</v>
      </c>
      <c r="C83" s="221" t="s">
        <v>5572</v>
      </c>
      <c r="D83" s="240" t="s">
        <v>5533</v>
      </c>
      <c r="E83" s="222" t="s">
        <v>1210</v>
      </c>
      <c r="F83" s="222" t="s">
        <v>1197</v>
      </c>
      <c r="G83" s="223">
        <v>2300</v>
      </c>
      <c r="H83" s="341">
        <v>12</v>
      </c>
      <c r="I83" s="219"/>
    </row>
    <row r="84" spans="1:9">
      <c r="A84" s="542">
        <f t="shared" si="1"/>
        <v>77</v>
      </c>
      <c r="B84" s="220" t="s">
        <v>1213</v>
      </c>
      <c r="C84" s="221" t="s">
        <v>5572</v>
      </c>
      <c r="D84" s="240" t="s">
        <v>5533</v>
      </c>
      <c r="E84" s="222" t="s">
        <v>1210</v>
      </c>
      <c r="F84" s="222" t="s">
        <v>1197</v>
      </c>
      <c r="G84" s="223">
        <v>2336</v>
      </c>
      <c r="H84" s="341">
        <v>12</v>
      </c>
      <c r="I84" s="219"/>
    </row>
    <row r="85" spans="1:9">
      <c r="A85" s="542">
        <f t="shared" si="1"/>
        <v>78</v>
      </c>
      <c r="B85" s="220" t="s">
        <v>1214</v>
      </c>
      <c r="C85" s="221" t="s">
        <v>5572</v>
      </c>
      <c r="D85" s="240" t="s">
        <v>5533</v>
      </c>
      <c r="E85" s="222" t="s">
        <v>1210</v>
      </c>
      <c r="F85" s="222" t="s">
        <v>1197</v>
      </c>
      <c r="G85" s="223">
        <v>2250</v>
      </c>
      <c r="H85" s="341">
        <v>12</v>
      </c>
      <c r="I85" s="219"/>
    </row>
    <row r="86" spans="1:9">
      <c r="A86" s="542">
        <f t="shared" si="1"/>
        <v>79</v>
      </c>
      <c r="B86" s="220" t="s">
        <v>1215</v>
      </c>
      <c r="C86" s="221" t="s">
        <v>5572</v>
      </c>
      <c r="D86" s="240" t="s">
        <v>5533</v>
      </c>
      <c r="E86" s="222" t="s">
        <v>1210</v>
      </c>
      <c r="F86" s="222" t="s">
        <v>1197</v>
      </c>
      <c r="G86" s="223">
        <v>2296</v>
      </c>
      <c r="H86" s="341">
        <v>12</v>
      </c>
      <c r="I86" s="219"/>
    </row>
    <row r="87" spans="1:9">
      <c r="A87" s="542">
        <f t="shared" si="1"/>
        <v>80</v>
      </c>
      <c r="B87" s="220" t="s">
        <v>1216</v>
      </c>
      <c r="C87" s="221" t="s">
        <v>5572</v>
      </c>
      <c r="D87" s="240" t="s">
        <v>5533</v>
      </c>
      <c r="E87" s="222" t="s">
        <v>1210</v>
      </c>
      <c r="F87" s="222" t="s">
        <v>1197</v>
      </c>
      <c r="G87" s="223">
        <v>2315</v>
      </c>
      <c r="H87" s="341">
        <v>12</v>
      </c>
      <c r="I87" s="219"/>
    </row>
    <row r="88" spans="1:9">
      <c r="A88" s="542">
        <f t="shared" si="1"/>
        <v>81</v>
      </c>
      <c r="B88" s="220" t="s">
        <v>1217</v>
      </c>
      <c r="C88" s="221" t="s">
        <v>5572</v>
      </c>
      <c r="D88" s="240" t="s">
        <v>5533</v>
      </c>
      <c r="E88" s="222" t="s">
        <v>1210</v>
      </c>
      <c r="F88" s="222" t="s">
        <v>1197</v>
      </c>
      <c r="G88" s="223">
        <v>2275</v>
      </c>
      <c r="H88" s="341">
        <v>12</v>
      </c>
      <c r="I88" s="219"/>
    </row>
    <row r="89" spans="1:9">
      <c r="A89" s="542">
        <f t="shared" si="1"/>
        <v>82</v>
      </c>
      <c r="B89" s="220" t="s">
        <v>1218</v>
      </c>
      <c r="C89" s="221" t="s">
        <v>5572</v>
      </c>
      <c r="D89" s="240" t="s">
        <v>5533</v>
      </c>
      <c r="E89" s="222" t="s">
        <v>1210</v>
      </c>
      <c r="F89" s="222" t="s">
        <v>1197</v>
      </c>
      <c r="G89" s="223">
        <v>2340</v>
      </c>
      <c r="H89" s="341">
        <v>12</v>
      </c>
      <c r="I89" s="219"/>
    </row>
    <row r="90" spans="1:9">
      <c r="A90" s="542">
        <f t="shared" si="1"/>
        <v>83</v>
      </c>
      <c r="B90" s="220" t="s">
        <v>1219</v>
      </c>
      <c r="C90" s="221" t="s">
        <v>5572</v>
      </c>
      <c r="D90" s="240" t="s">
        <v>5533</v>
      </c>
      <c r="E90" s="222" t="s">
        <v>1210</v>
      </c>
      <c r="F90" s="222" t="s">
        <v>1197</v>
      </c>
      <c r="G90" s="223">
        <v>2375</v>
      </c>
      <c r="H90" s="341">
        <v>12</v>
      </c>
      <c r="I90" s="219"/>
    </row>
    <row r="91" spans="1:9">
      <c r="A91" s="542">
        <f t="shared" si="1"/>
        <v>84</v>
      </c>
      <c r="B91" s="220" t="s">
        <v>1220</v>
      </c>
      <c r="C91" s="221" t="s">
        <v>5572</v>
      </c>
      <c r="D91" s="240" t="s">
        <v>5533</v>
      </c>
      <c r="E91" s="222" t="s">
        <v>1210</v>
      </c>
      <c r="F91" s="222" t="s">
        <v>1197</v>
      </c>
      <c r="G91" s="223">
        <v>2410</v>
      </c>
      <c r="H91" s="341">
        <v>12</v>
      </c>
      <c r="I91" s="219"/>
    </row>
    <row r="92" spans="1:9" ht="31.5">
      <c r="A92" s="542">
        <f t="shared" si="1"/>
        <v>85</v>
      </c>
      <c r="B92" s="220" t="s">
        <v>1221</v>
      </c>
      <c r="C92" s="221" t="s">
        <v>5572</v>
      </c>
      <c r="D92" s="240" t="s">
        <v>5533</v>
      </c>
      <c r="E92" s="222" t="s">
        <v>5573</v>
      </c>
      <c r="F92" s="222" t="s">
        <v>1197</v>
      </c>
      <c r="G92" s="223">
        <v>2713</v>
      </c>
      <c r="H92" s="341">
        <v>15</v>
      </c>
      <c r="I92" s="219"/>
    </row>
    <row r="93" spans="1:9">
      <c r="A93" s="542">
        <f t="shared" si="1"/>
        <v>86</v>
      </c>
      <c r="B93" s="220" t="s">
        <v>1222</v>
      </c>
      <c r="C93" s="221" t="s">
        <v>5572</v>
      </c>
      <c r="D93" s="240" t="s">
        <v>5533</v>
      </c>
      <c r="E93" s="222" t="s">
        <v>1210</v>
      </c>
      <c r="F93" s="222" t="s">
        <v>1197</v>
      </c>
      <c r="G93" s="223">
        <v>2956</v>
      </c>
      <c r="H93" s="341">
        <v>12</v>
      </c>
      <c r="I93" s="219"/>
    </row>
    <row r="94" spans="1:9">
      <c r="A94" s="542">
        <f t="shared" si="1"/>
        <v>87</v>
      </c>
      <c r="B94" s="220" t="s">
        <v>1223</v>
      </c>
      <c r="C94" s="221" t="s">
        <v>5572</v>
      </c>
      <c r="D94" s="240" t="s">
        <v>5533</v>
      </c>
      <c r="E94" s="222" t="s">
        <v>1210</v>
      </c>
      <c r="F94" s="222" t="s">
        <v>1197</v>
      </c>
      <c r="G94" s="223">
        <v>3200</v>
      </c>
      <c r="H94" s="341">
        <v>12</v>
      </c>
      <c r="I94" s="219"/>
    </row>
    <row r="95" spans="1:9">
      <c r="A95" s="542">
        <f t="shared" si="1"/>
        <v>88</v>
      </c>
      <c r="B95" s="220" t="s">
        <v>5574</v>
      </c>
      <c r="C95" s="221" t="s">
        <v>5575</v>
      </c>
      <c r="D95" s="240" t="s">
        <v>5533</v>
      </c>
      <c r="E95" s="222" t="s">
        <v>1140</v>
      </c>
      <c r="F95" s="222" t="s">
        <v>407</v>
      </c>
      <c r="G95" s="223">
        <v>1478</v>
      </c>
      <c r="H95" s="341">
        <v>12</v>
      </c>
      <c r="I95" s="219"/>
    </row>
    <row r="96" spans="1:9">
      <c r="A96" s="542">
        <f t="shared" si="1"/>
        <v>89</v>
      </c>
      <c r="B96" s="220" t="s">
        <v>5576</v>
      </c>
      <c r="C96" s="221" t="s">
        <v>5575</v>
      </c>
      <c r="D96" s="240" t="s">
        <v>5533</v>
      </c>
      <c r="E96" s="222" t="s">
        <v>1140</v>
      </c>
      <c r="F96" s="222" t="s">
        <v>5577</v>
      </c>
      <c r="G96" s="223">
        <v>1850</v>
      </c>
      <c r="H96" s="341">
        <v>12</v>
      </c>
      <c r="I96" s="219"/>
    </row>
    <row r="97" spans="1:9">
      <c r="A97" s="542">
        <f t="shared" si="1"/>
        <v>90</v>
      </c>
      <c r="B97" s="220" t="s">
        <v>5578</v>
      </c>
      <c r="C97" s="221" t="s">
        <v>5575</v>
      </c>
      <c r="D97" s="240" t="s">
        <v>5533</v>
      </c>
      <c r="E97" s="222" t="s">
        <v>1140</v>
      </c>
      <c r="F97" s="222" t="s">
        <v>1046</v>
      </c>
      <c r="G97" s="223">
        <v>2320</v>
      </c>
      <c r="H97" s="341">
        <v>12</v>
      </c>
      <c r="I97" s="219"/>
    </row>
    <row r="98" spans="1:9">
      <c r="A98" s="542">
        <f t="shared" si="1"/>
        <v>91</v>
      </c>
      <c r="B98" s="220" t="s">
        <v>5579</v>
      </c>
      <c r="C98" s="221" t="s">
        <v>5575</v>
      </c>
      <c r="D98" s="240" t="s">
        <v>5533</v>
      </c>
      <c r="E98" s="222" t="s">
        <v>1140</v>
      </c>
      <c r="F98" s="222" t="s">
        <v>1046</v>
      </c>
      <c r="G98" s="223">
        <v>1970</v>
      </c>
      <c r="H98" s="341">
        <v>12</v>
      </c>
      <c r="I98" s="219"/>
    </row>
    <row r="99" spans="1:9">
      <c r="A99" s="542">
        <f t="shared" si="1"/>
        <v>92</v>
      </c>
      <c r="B99" s="220" t="s">
        <v>5580</v>
      </c>
      <c r="C99" s="221" t="s">
        <v>5575</v>
      </c>
      <c r="D99" s="240" t="s">
        <v>5533</v>
      </c>
      <c r="E99" s="222" t="s">
        <v>1049</v>
      </c>
      <c r="F99" s="222" t="s">
        <v>1046</v>
      </c>
      <c r="G99" s="223">
        <v>1940</v>
      </c>
      <c r="H99" s="341">
        <v>12</v>
      </c>
      <c r="I99" s="219"/>
    </row>
    <row r="100" spans="1:9">
      <c r="A100" s="542">
        <f t="shared" si="1"/>
        <v>93</v>
      </c>
      <c r="B100" s="220" t="s">
        <v>1234</v>
      </c>
      <c r="C100" s="221" t="s">
        <v>5581</v>
      </c>
      <c r="D100" s="240" t="s">
        <v>5533</v>
      </c>
      <c r="E100" s="222" t="s">
        <v>1049</v>
      </c>
      <c r="F100" s="222" t="s">
        <v>407</v>
      </c>
      <c r="G100" s="223">
        <v>2080</v>
      </c>
      <c r="H100" s="341">
        <v>12</v>
      </c>
      <c r="I100" s="252"/>
    </row>
    <row r="101" spans="1:9">
      <c r="A101" s="542">
        <f t="shared" si="1"/>
        <v>94</v>
      </c>
      <c r="B101" s="220" t="s">
        <v>1236</v>
      </c>
      <c r="C101" s="221" t="s">
        <v>5581</v>
      </c>
      <c r="D101" s="240" t="s">
        <v>5533</v>
      </c>
      <c r="E101" s="222" t="s">
        <v>1049</v>
      </c>
      <c r="F101" s="222" t="s">
        <v>407</v>
      </c>
      <c r="G101" s="223">
        <v>2425</v>
      </c>
      <c r="H101" s="341">
        <v>12</v>
      </c>
      <c r="I101" s="219"/>
    </row>
    <row r="102" spans="1:9">
      <c r="A102" s="542">
        <f t="shared" si="1"/>
        <v>95</v>
      </c>
      <c r="B102" s="220" t="s">
        <v>1238</v>
      </c>
      <c r="C102" s="221" t="s">
        <v>5581</v>
      </c>
      <c r="D102" s="240" t="s">
        <v>5533</v>
      </c>
      <c r="E102" s="222" t="s">
        <v>1049</v>
      </c>
      <c r="F102" s="222" t="s">
        <v>407</v>
      </c>
      <c r="G102" s="223">
        <v>2360</v>
      </c>
      <c r="H102" s="341">
        <v>12</v>
      </c>
      <c r="I102" s="219"/>
    </row>
    <row r="103" spans="1:9">
      <c r="A103" s="542">
        <f t="shared" si="1"/>
        <v>96</v>
      </c>
      <c r="B103" s="220" t="s">
        <v>1242</v>
      </c>
      <c r="C103" s="221" t="s">
        <v>5581</v>
      </c>
      <c r="D103" s="240" t="s">
        <v>5533</v>
      </c>
      <c r="E103" s="222" t="s">
        <v>1049</v>
      </c>
      <c r="F103" s="222" t="s">
        <v>407</v>
      </c>
      <c r="G103" s="223">
        <v>1750</v>
      </c>
      <c r="H103" s="341">
        <v>12</v>
      </c>
      <c r="I103" s="219"/>
    </row>
    <row r="104" spans="1:9" ht="31.5">
      <c r="A104" s="542">
        <f t="shared" si="1"/>
        <v>97</v>
      </c>
      <c r="B104" s="220" t="s">
        <v>1244</v>
      </c>
      <c r="C104" s="221" t="s">
        <v>5581</v>
      </c>
      <c r="D104" s="240" t="s">
        <v>5533</v>
      </c>
      <c r="E104" s="222" t="s">
        <v>5577</v>
      </c>
      <c r="F104" s="222" t="s">
        <v>5582</v>
      </c>
      <c r="G104" s="223">
        <v>1137</v>
      </c>
      <c r="H104" s="341">
        <v>12</v>
      </c>
      <c r="I104" s="252"/>
    </row>
    <row r="105" spans="1:9">
      <c r="A105" s="542">
        <f t="shared" si="1"/>
        <v>98</v>
      </c>
      <c r="B105" s="220" t="s">
        <v>1225</v>
      </c>
      <c r="C105" s="221" t="s">
        <v>5572</v>
      </c>
      <c r="D105" s="240" t="s">
        <v>5533</v>
      </c>
      <c r="E105" s="222" t="s">
        <v>1049</v>
      </c>
      <c r="F105" s="222" t="s">
        <v>1210</v>
      </c>
      <c r="G105" s="223">
        <v>2500</v>
      </c>
      <c r="H105" s="341">
        <v>12</v>
      </c>
      <c r="I105" s="219"/>
    </row>
    <row r="106" spans="1:9">
      <c r="A106" s="542">
        <f t="shared" si="1"/>
        <v>99</v>
      </c>
      <c r="B106" s="220" t="s">
        <v>1226</v>
      </c>
      <c r="C106" s="221" t="s">
        <v>5572</v>
      </c>
      <c r="D106" s="240" t="s">
        <v>5533</v>
      </c>
      <c r="E106" s="222" t="s">
        <v>1049</v>
      </c>
      <c r="F106" s="222" t="s">
        <v>1210</v>
      </c>
      <c r="G106" s="223">
        <v>2380</v>
      </c>
      <c r="H106" s="341">
        <v>12</v>
      </c>
      <c r="I106" s="219"/>
    </row>
    <row r="107" spans="1:9">
      <c r="A107" s="542">
        <f t="shared" si="1"/>
        <v>100</v>
      </c>
      <c r="B107" s="220" t="s">
        <v>1227</v>
      </c>
      <c r="C107" s="221" t="s">
        <v>5572</v>
      </c>
      <c r="D107" s="240" t="s">
        <v>5533</v>
      </c>
      <c r="E107" s="222" t="s">
        <v>1049</v>
      </c>
      <c r="F107" s="222" t="s">
        <v>1210</v>
      </c>
      <c r="G107" s="223">
        <v>2120</v>
      </c>
      <c r="H107" s="341">
        <v>12</v>
      </c>
      <c r="I107" s="219"/>
    </row>
    <row r="108" spans="1:9">
      <c r="A108" s="542">
        <f t="shared" si="1"/>
        <v>101</v>
      </c>
      <c r="B108" s="220" t="s">
        <v>1228</v>
      </c>
      <c r="C108" s="221" t="s">
        <v>5572</v>
      </c>
      <c r="D108" s="240" t="s">
        <v>5533</v>
      </c>
      <c r="E108" s="222" t="s">
        <v>1049</v>
      </c>
      <c r="F108" s="222" t="s">
        <v>1210</v>
      </c>
      <c r="G108" s="223">
        <v>1899</v>
      </c>
      <c r="H108" s="341">
        <v>12</v>
      </c>
      <c r="I108" s="219"/>
    </row>
    <row r="109" spans="1:9">
      <c r="A109" s="542">
        <f t="shared" si="1"/>
        <v>102</v>
      </c>
      <c r="B109" s="220" t="s">
        <v>1230</v>
      </c>
      <c r="C109" s="221" t="s">
        <v>5572</v>
      </c>
      <c r="D109" s="240" t="s">
        <v>5533</v>
      </c>
      <c r="E109" s="222" t="s">
        <v>1049</v>
      </c>
      <c r="F109" s="222" t="s">
        <v>1210</v>
      </c>
      <c r="G109" s="223">
        <v>1985</v>
      </c>
      <c r="H109" s="341">
        <v>12</v>
      </c>
      <c r="I109" s="219"/>
    </row>
    <row r="110" spans="1:9">
      <c r="A110" s="542">
        <f t="shared" si="1"/>
        <v>103</v>
      </c>
      <c r="B110" s="220" t="s">
        <v>1232</v>
      </c>
      <c r="C110" s="221" t="s">
        <v>5572</v>
      </c>
      <c r="D110" s="240" t="s">
        <v>5533</v>
      </c>
      <c r="E110" s="222" t="s">
        <v>1049</v>
      </c>
      <c r="F110" s="222" t="s">
        <v>1210</v>
      </c>
      <c r="G110" s="223">
        <v>2166</v>
      </c>
      <c r="H110" s="341">
        <v>12</v>
      </c>
      <c r="I110" s="219"/>
    </row>
    <row r="111" spans="1:9">
      <c r="A111" s="542">
        <f t="shared" si="1"/>
        <v>104</v>
      </c>
      <c r="B111" s="220" t="s">
        <v>1235</v>
      </c>
      <c r="C111" s="221" t="s">
        <v>5581</v>
      </c>
      <c r="D111" s="240" t="s">
        <v>5533</v>
      </c>
      <c r="E111" s="222" t="s">
        <v>1049</v>
      </c>
      <c r="F111" s="222" t="s">
        <v>1210</v>
      </c>
      <c r="G111" s="223">
        <v>2167</v>
      </c>
      <c r="H111" s="341">
        <v>12</v>
      </c>
      <c r="I111" s="252"/>
    </row>
    <row r="112" spans="1:9">
      <c r="A112" s="542">
        <f t="shared" si="1"/>
        <v>105</v>
      </c>
      <c r="B112" s="220" t="s">
        <v>1237</v>
      </c>
      <c r="C112" s="221" t="s">
        <v>5581</v>
      </c>
      <c r="D112" s="240" t="s">
        <v>5533</v>
      </c>
      <c r="E112" s="222" t="s">
        <v>1049</v>
      </c>
      <c r="F112" s="222" t="s">
        <v>1210</v>
      </c>
      <c r="G112" s="223">
        <v>2850</v>
      </c>
      <c r="H112" s="341">
        <v>12</v>
      </c>
      <c r="I112" s="219"/>
    </row>
    <row r="113" spans="1:9">
      <c r="A113" s="542">
        <f t="shared" si="1"/>
        <v>106</v>
      </c>
      <c r="B113" s="220" t="s">
        <v>1239</v>
      </c>
      <c r="C113" s="221" t="s">
        <v>5581</v>
      </c>
      <c r="D113" s="240" t="s">
        <v>5533</v>
      </c>
      <c r="E113" s="222" t="s">
        <v>5583</v>
      </c>
      <c r="F113" s="222" t="s">
        <v>1210</v>
      </c>
      <c r="G113" s="223">
        <v>2600</v>
      </c>
      <c r="H113" s="341">
        <v>12</v>
      </c>
      <c r="I113" s="252"/>
    </row>
    <row r="114" spans="1:9">
      <c r="A114" s="542">
        <f t="shared" si="1"/>
        <v>107</v>
      </c>
      <c r="B114" s="220" t="s">
        <v>1241</v>
      </c>
      <c r="C114" s="221" t="s">
        <v>5581</v>
      </c>
      <c r="D114" s="240" t="s">
        <v>5533</v>
      </c>
      <c r="E114" s="222" t="s">
        <v>1049</v>
      </c>
      <c r="F114" s="222" t="s">
        <v>1210</v>
      </c>
      <c r="G114" s="223">
        <v>3300</v>
      </c>
      <c r="H114" s="341">
        <v>12</v>
      </c>
      <c r="I114" s="219"/>
    </row>
    <row r="115" spans="1:9" ht="31.5">
      <c r="A115" s="542">
        <f t="shared" si="1"/>
        <v>108</v>
      </c>
      <c r="B115" s="220" t="s">
        <v>1243</v>
      </c>
      <c r="C115" s="221" t="s">
        <v>5581</v>
      </c>
      <c r="D115" s="240" t="s">
        <v>5533</v>
      </c>
      <c r="E115" s="222" t="s">
        <v>5584</v>
      </c>
      <c r="F115" s="222" t="s">
        <v>5585</v>
      </c>
      <c r="G115" s="223">
        <v>3480</v>
      </c>
      <c r="H115" s="341">
        <v>12</v>
      </c>
      <c r="I115" s="252"/>
    </row>
    <row r="116" spans="1:9">
      <c r="A116" s="542">
        <f t="shared" si="1"/>
        <v>109</v>
      </c>
      <c r="B116" s="242" t="s">
        <v>2698</v>
      </c>
      <c r="C116" s="221" t="s">
        <v>5552</v>
      </c>
      <c r="D116" s="240" t="s">
        <v>5533</v>
      </c>
      <c r="E116" s="222" t="s">
        <v>1170</v>
      </c>
      <c r="F116" s="222" t="s">
        <v>2697</v>
      </c>
      <c r="G116" s="223">
        <v>845</v>
      </c>
      <c r="H116" s="342"/>
      <c r="I116" s="269"/>
    </row>
    <row r="117" spans="1:9" s="230" customFormat="1">
      <c r="A117" s="502" t="s">
        <v>1114</v>
      </c>
      <c r="B117" s="380" t="s">
        <v>5586</v>
      </c>
      <c r="C117" s="381"/>
      <c r="D117" s="382"/>
      <c r="E117" s="391"/>
      <c r="F117" s="391"/>
      <c r="G117" s="384"/>
      <c r="H117" s="385"/>
      <c r="I117" s="386"/>
    </row>
    <row r="118" spans="1:9" s="230" customFormat="1">
      <c r="A118" s="542">
        <f>A116+1</f>
        <v>110</v>
      </c>
      <c r="B118" s="220" t="s">
        <v>1660</v>
      </c>
      <c r="C118" s="221" t="s">
        <v>5587</v>
      </c>
      <c r="D118" s="240" t="s">
        <v>5533</v>
      </c>
      <c r="E118" s="231" t="s">
        <v>5588</v>
      </c>
      <c r="F118" s="231" t="s">
        <v>5125</v>
      </c>
      <c r="G118" s="223">
        <v>11216</v>
      </c>
      <c r="H118" s="341" t="s">
        <v>8267</v>
      </c>
      <c r="I118" s="219"/>
    </row>
    <row r="119" spans="1:9" s="230" customFormat="1" ht="31.5">
      <c r="A119" s="542">
        <f t="shared" ref="A119:A182" si="2">A118+1</f>
        <v>111</v>
      </c>
      <c r="B119" s="220" t="s">
        <v>1663</v>
      </c>
      <c r="C119" s="221" t="s">
        <v>5589</v>
      </c>
      <c r="D119" s="240" t="s">
        <v>5533</v>
      </c>
      <c r="E119" s="231" t="s">
        <v>5590</v>
      </c>
      <c r="F119" s="231" t="s">
        <v>5124</v>
      </c>
      <c r="G119" s="223">
        <v>4002</v>
      </c>
      <c r="H119" s="341">
        <v>8.6</v>
      </c>
      <c r="I119" s="219"/>
    </row>
    <row r="120" spans="1:9" s="230" customFormat="1" ht="31.5">
      <c r="A120" s="542">
        <f t="shared" si="2"/>
        <v>112</v>
      </c>
      <c r="B120" s="220" t="s">
        <v>1666</v>
      </c>
      <c r="C120" s="221" t="s">
        <v>8519</v>
      </c>
      <c r="D120" s="240" t="s">
        <v>5533</v>
      </c>
      <c r="E120" s="231" t="s">
        <v>1112</v>
      </c>
      <c r="F120" s="231" t="s">
        <v>1667</v>
      </c>
      <c r="G120" s="223">
        <v>11544</v>
      </c>
      <c r="H120" s="341">
        <v>10.4</v>
      </c>
      <c r="I120" s="219"/>
    </row>
    <row r="121" spans="1:9" s="230" customFormat="1">
      <c r="A121" s="542">
        <f t="shared" si="2"/>
        <v>113</v>
      </c>
      <c r="B121" s="220" t="s">
        <v>5591</v>
      </c>
      <c r="C121" s="221" t="s">
        <v>5592</v>
      </c>
      <c r="D121" s="240" t="s">
        <v>5533</v>
      </c>
      <c r="E121" s="231" t="s">
        <v>5593</v>
      </c>
      <c r="F121" s="231" t="s">
        <v>407</v>
      </c>
      <c r="G121" s="223">
        <v>2975</v>
      </c>
      <c r="H121" s="341">
        <v>0.8</v>
      </c>
      <c r="I121" s="219"/>
    </row>
    <row r="122" spans="1:9" s="230" customFormat="1">
      <c r="A122" s="542">
        <f t="shared" si="2"/>
        <v>114</v>
      </c>
      <c r="B122" s="220" t="s">
        <v>1668</v>
      </c>
      <c r="C122" s="221" t="s">
        <v>5594</v>
      </c>
      <c r="D122" s="240" t="s">
        <v>5533</v>
      </c>
      <c r="E122" s="231" t="s">
        <v>1112</v>
      </c>
      <c r="F122" s="231" t="s">
        <v>407</v>
      </c>
      <c r="G122" s="223">
        <v>1860</v>
      </c>
      <c r="H122" s="341">
        <v>2.2000000000000002</v>
      </c>
      <c r="I122" s="219"/>
    </row>
    <row r="123" spans="1:9" s="230" customFormat="1">
      <c r="A123" s="542">
        <f t="shared" si="2"/>
        <v>115</v>
      </c>
      <c r="B123" s="220" t="s">
        <v>1669</v>
      </c>
      <c r="C123" s="221" t="s">
        <v>5594</v>
      </c>
      <c r="D123" s="240" t="s">
        <v>5533</v>
      </c>
      <c r="E123" s="231" t="s">
        <v>1112</v>
      </c>
      <c r="F123" s="231" t="s">
        <v>407</v>
      </c>
      <c r="G123" s="223">
        <v>460</v>
      </c>
      <c r="H123" s="341">
        <v>0.45</v>
      </c>
      <c r="I123" s="219"/>
    </row>
    <row r="124" spans="1:9" s="230" customFormat="1">
      <c r="A124" s="542">
        <f t="shared" si="2"/>
        <v>116</v>
      </c>
      <c r="B124" s="220" t="s">
        <v>1670</v>
      </c>
      <c r="C124" s="221" t="s">
        <v>5594</v>
      </c>
      <c r="D124" s="240" t="s">
        <v>5533</v>
      </c>
      <c r="E124" s="231" t="s">
        <v>1112</v>
      </c>
      <c r="F124" s="231" t="s">
        <v>407</v>
      </c>
      <c r="G124" s="223">
        <v>746</v>
      </c>
      <c r="H124" s="341">
        <v>1.6</v>
      </c>
      <c r="I124" s="219"/>
    </row>
    <row r="125" spans="1:9" s="230" customFormat="1">
      <c r="A125" s="542">
        <f t="shared" si="2"/>
        <v>117</v>
      </c>
      <c r="B125" s="220" t="s">
        <v>1671</v>
      </c>
      <c r="C125" s="221" t="s">
        <v>5594</v>
      </c>
      <c r="D125" s="240" t="s">
        <v>5533</v>
      </c>
      <c r="E125" s="231" t="s">
        <v>1112</v>
      </c>
      <c r="F125" s="231" t="s">
        <v>407</v>
      </c>
      <c r="G125" s="223">
        <v>300</v>
      </c>
      <c r="H125" s="341">
        <v>0.25</v>
      </c>
      <c r="I125" s="219"/>
    </row>
    <row r="126" spans="1:9" s="230" customFormat="1">
      <c r="A126" s="542">
        <f t="shared" si="2"/>
        <v>118</v>
      </c>
      <c r="B126" s="220" t="s">
        <v>1672</v>
      </c>
      <c r="C126" s="221" t="s">
        <v>5594</v>
      </c>
      <c r="D126" s="240" t="s">
        <v>5533</v>
      </c>
      <c r="E126" s="231" t="s">
        <v>1112</v>
      </c>
      <c r="F126" s="231" t="s">
        <v>407</v>
      </c>
      <c r="G126" s="223">
        <v>280</v>
      </c>
      <c r="H126" s="341">
        <v>0.25</v>
      </c>
      <c r="I126" s="219"/>
    </row>
    <row r="127" spans="1:9" s="230" customFormat="1">
      <c r="A127" s="542">
        <f t="shared" si="2"/>
        <v>119</v>
      </c>
      <c r="B127" s="220" t="s">
        <v>1673</v>
      </c>
      <c r="C127" s="221" t="s">
        <v>5594</v>
      </c>
      <c r="D127" s="240" t="s">
        <v>5533</v>
      </c>
      <c r="E127" s="231" t="s">
        <v>1112</v>
      </c>
      <c r="F127" s="231" t="s">
        <v>407</v>
      </c>
      <c r="G127" s="223">
        <v>492</v>
      </c>
      <c r="H127" s="341">
        <v>1.8</v>
      </c>
      <c r="I127" s="219"/>
    </row>
    <row r="128" spans="1:9" s="230" customFormat="1">
      <c r="A128" s="542">
        <f t="shared" si="2"/>
        <v>120</v>
      </c>
      <c r="B128" s="220" t="s">
        <v>1674</v>
      </c>
      <c r="C128" s="221" t="s">
        <v>5594</v>
      </c>
      <c r="D128" s="240" t="s">
        <v>5533</v>
      </c>
      <c r="E128" s="231" t="s">
        <v>1112</v>
      </c>
      <c r="F128" s="231" t="s">
        <v>407</v>
      </c>
      <c r="G128" s="223">
        <v>650</v>
      </c>
      <c r="H128" s="341">
        <v>1.6</v>
      </c>
      <c r="I128" s="219"/>
    </row>
    <row r="129" spans="1:9" s="230" customFormat="1">
      <c r="A129" s="542">
        <f t="shared" si="2"/>
        <v>121</v>
      </c>
      <c r="B129" s="220" t="s">
        <v>1675</v>
      </c>
      <c r="C129" s="221" t="s">
        <v>5594</v>
      </c>
      <c r="D129" s="240" t="s">
        <v>5533</v>
      </c>
      <c r="E129" s="231" t="s">
        <v>1112</v>
      </c>
      <c r="F129" s="231" t="s">
        <v>407</v>
      </c>
      <c r="G129" s="223">
        <v>790</v>
      </c>
      <c r="H129" s="341">
        <v>1.9</v>
      </c>
      <c r="I129" s="219"/>
    </row>
    <row r="130" spans="1:9" s="230" customFormat="1" ht="31.5">
      <c r="A130" s="542">
        <f t="shared" si="2"/>
        <v>122</v>
      </c>
      <c r="B130" s="220" t="s">
        <v>1676</v>
      </c>
      <c r="C130" s="221" t="s">
        <v>5595</v>
      </c>
      <c r="D130" s="240" t="s">
        <v>5533</v>
      </c>
      <c r="E130" s="231" t="s">
        <v>1112</v>
      </c>
      <c r="F130" s="231" t="s">
        <v>407</v>
      </c>
      <c r="G130" s="223">
        <v>16624</v>
      </c>
      <c r="H130" s="341" t="s">
        <v>8268</v>
      </c>
      <c r="I130" s="219"/>
    </row>
    <row r="131" spans="1:9" s="230" customFormat="1">
      <c r="A131" s="542">
        <f t="shared" si="2"/>
        <v>123</v>
      </c>
      <c r="B131" s="220" t="s">
        <v>1677</v>
      </c>
      <c r="C131" s="221" t="s">
        <v>5594</v>
      </c>
      <c r="D131" s="240" t="s">
        <v>5533</v>
      </c>
      <c r="E131" s="231" t="s">
        <v>1112</v>
      </c>
      <c r="F131" s="231" t="s">
        <v>407</v>
      </c>
      <c r="G131" s="223">
        <v>529</v>
      </c>
      <c r="H131" s="341">
        <v>1.6</v>
      </c>
      <c r="I131" s="219"/>
    </row>
    <row r="132" spans="1:9" s="230" customFormat="1">
      <c r="A132" s="542">
        <f t="shared" si="2"/>
        <v>124</v>
      </c>
      <c r="B132" s="220" t="s">
        <v>1678</v>
      </c>
      <c r="C132" s="221" t="s">
        <v>5594</v>
      </c>
      <c r="D132" s="240" t="s">
        <v>5533</v>
      </c>
      <c r="E132" s="231" t="s">
        <v>1112</v>
      </c>
      <c r="F132" s="231" t="s">
        <v>407</v>
      </c>
      <c r="G132" s="223">
        <v>1535</v>
      </c>
      <c r="H132" s="341">
        <v>2</v>
      </c>
      <c r="I132" s="219"/>
    </row>
    <row r="133" spans="1:9" s="230" customFormat="1">
      <c r="A133" s="542">
        <f t="shared" si="2"/>
        <v>125</v>
      </c>
      <c r="B133" s="220" t="s">
        <v>1679</v>
      </c>
      <c r="C133" s="221" t="s">
        <v>5594</v>
      </c>
      <c r="D133" s="240" t="s">
        <v>5533</v>
      </c>
      <c r="E133" s="231" t="s">
        <v>1112</v>
      </c>
      <c r="F133" s="231" t="s">
        <v>407</v>
      </c>
      <c r="G133" s="223">
        <v>468</v>
      </c>
      <c r="H133" s="341">
        <v>1.4</v>
      </c>
      <c r="I133" s="219"/>
    </row>
    <row r="134" spans="1:9" s="230" customFormat="1">
      <c r="A134" s="542">
        <f t="shared" si="2"/>
        <v>126</v>
      </c>
      <c r="B134" s="220" t="s">
        <v>1680</v>
      </c>
      <c r="C134" s="221" t="s">
        <v>5594</v>
      </c>
      <c r="D134" s="240" t="s">
        <v>5533</v>
      </c>
      <c r="E134" s="231" t="s">
        <v>1112</v>
      </c>
      <c r="F134" s="231" t="s">
        <v>407</v>
      </c>
      <c r="G134" s="223">
        <v>1404</v>
      </c>
      <c r="H134" s="341">
        <v>1.9</v>
      </c>
      <c r="I134" s="219"/>
    </row>
    <row r="135" spans="1:9" s="230" customFormat="1">
      <c r="A135" s="542">
        <f t="shared" si="2"/>
        <v>127</v>
      </c>
      <c r="B135" s="220" t="s">
        <v>1681</v>
      </c>
      <c r="C135" s="221" t="s">
        <v>5594</v>
      </c>
      <c r="D135" s="240" t="s">
        <v>5533</v>
      </c>
      <c r="E135" s="231" t="s">
        <v>1112</v>
      </c>
      <c r="F135" s="231" t="s">
        <v>407</v>
      </c>
      <c r="G135" s="223">
        <v>897</v>
      </c>
      <c r="H135" s="341">
        <v>0.8</v>
      </c>
      <c r="I135" s="219"/>
    </row>
    <row r="136" spans="1:9" s="230" customFormat="1">
      <c r="A136" s="542">
        <f t="shared" si="2"/>
        <v>128</v>
      </c>
      <c r="B136" s="220" t="s">
        <v>1682</v>
      </c>
      <c r="C136" s="221" t="s">
        <v>5594</v>
      </c>
      <c r="D136" s="240" t="s">
        <v>5533</v>
      </c>
      <c r="E136" s="231" t="s">
        <v>1112</v>
      </c>
      <c r="F136" s="231" t="s">
        <v>407</v>
      </c>
      <c r="G136" s="223">
        <v>904</v>
      </c>
      <c r="H136" s="341">
        <v>2.4</v>
      </c>
      <c r="I136" s="219"/>
    </row>
    <row r="137" spans="1:9" s="230" customFormat="1">
      <c r="A137" s="542">
        <f t="shared" si="2"/>
        <v>129</v>
      </c>
      <c r="B137" s="220" t="s">
        <v>1683</v>
      </c>
      <c r="C137" s="221" t="s">
        <v>5594</v>
      </c>
      <c r="D137" s="240" t="s">
        <v>5533</v>
      </c>
      <c r="E137" s="231" t="s">
        <v>1112</v>
      </c>
      <c r="F137" s="231" t="s">
        <v>1684</v>
      </c>
      <c r="G137" s="223">
        <v>6550</v>
      </c>
      <c r="H137" s="341" t="s">
        <v>8269</v>
      </c>
      <c r="I137" s="219"/>
    </row>
    <row r="138" spans="1:9" s="230" customFormat="1">
      <c r="A138" s="542">
        <f t="shared" si="2"/>
        <v>130</v>
      </c>
      <c r="B138" s="220" t="s">
        <v>5596</v>
      </c>
      <c r="C138" s="221" t="s">
        <v>5594</v>
      </c>
      <c r="D138" s="240" t="s">
        <v>5533</v>
      </c>
      <c r="E138" s="231" t="s">
        <v>5597</v>
      </c>
      <c r="F138" s="231" t="s">
        <v>407</v>
      </c>
      <c r="G138" s="223">
        <v>384</v>
      </c>
      <c r="H138" s="341">
        <v>0.5</v>
      </c>
      <c r="I138" s="219"/>
    </row>
    <row r="139" spans="1:9" s="230" customFormat="1">
      <c r="A139" s="542">
        <f t="shared" si="2"/>
        <v>131</v>
      </c>
      <c r="B139" s="220" t="s">
        <v>1685</v>
      </c>
      <c r="C139" s="221" t="s">
        <v>5594</v>
      </c>
      <c r="D139" s="240" t="s">
        <v>5533</v>
      </c>
      <c r="E139" s="231" t="s">
        <v>1112</v>
      </c>
      <c r="F139" s="231" t="s">
        <v>407</v>
      </c>
      <c r="G139" s="223">
        <v>1659</v>
      </c>
      <c r="H139" s="341">
        <v>2.5</v>
      </c>
      <c r="I139" s="219"/>
    </row>
    <row r="140" spans="1:9" s="230" customFormat="1">
      <c r="A140" s="542">
        <f t="shared" si="2"/>
        <v>132</v>
      </c>
      <c r="B140" s="220" t="s">
        <v>1686</v>
      </c>
      <c r="C140" s="221" t="s">
        <v>5594</v>
      </c>
      <c r="D140" s="240" t="s">
        <v>5533</v>
      </c>
      <c r="E140" s="231" t="s">
        <v>1112</v>
      </c>
      <c r="F140" s="231" t="s">
        <v>407</v>
      </c>
      <c r="G140" s="223">
        <v>800</v>
      </c>
      <c r="H140" s="341">
        <v>5.5</v>
      </c>
      <c r="I140" s="219"/>
    </row>
    <row r="141" spans="1:9" s="230" customFormat="1">
      <c r="A141" s="542">
        <f t="shared" si="2"/>
        <v>133</v>
      </c>
      <c r="B141" s="220" t="s">
        <v>1687</v>
      </c>
      <c r="C141" s="221" t="s">
        <v>5598</v>
      </c>
      <c r="D141" s="240" t="s">
        <v>5533</v>
      </c>
      <c r="E141" s="231" t="s">
        <v>1112</v>
      </c>
      <c r="F141" s="231" t="s">
        <v>407</v>
      </c>
      <c r="G141" s="223">
        <v>928</v>
      </c>
      <c r="H141" s="341">
        <v>0.8</v>
      </c>
      <c r="I141" s="219"/>
    </row>
    <row r="142" spans="1:9" s="230" customFormat="1">
      <c r="A142" s="542">
        <f t="shared" si="2"/>
        <v>134</v>
      </c>
      <c r="B142" s="220" t="s">
        <v>1688</v>
      </c>
      <c r="C142" s="221" t="s">
        <v>5598</v>
      </c>
      <c r="D142" s="240" t="s">
        <v>5533</v>
      </c>
      <c r="E142" s="231" t="s">
        <v>1112</v>
      </c>
      <c r="F142" s="231" t="s">
        <v>407</v>
      </c>
      <c r="G142" s="223">
        <v>1147</v>
      </c>
      <c r="H142" s="341">
        <v>2.2000000000000002</v>
      </c>
      <c r="I142" s="219"/>
    </row>
    <row r="143" spans="1:9" s="230" customFormat="1">
      <c r="A143" s="542">
        <f t="shared" si="2"/>
        <v>135</v>
      </c>
      <c r="B143" s="220" t="s">
        <v>1689</v>
      </c>
      <c r="C143" s="221" t="s">
        <v>5594</v>
      </c>
      <c r="D143" s="240" t="s">
        <v>5533</v>
      </c>
      <c r="E143" s="231" t="s">
        <v>1112</v>
      </c>
      <c r="F143" s="231" t="s">
        <v>407</v>
      </c>
      <c r="G143" s="223">
        <v>651</v>
      </c>
      <c r="H143" s="341">
        <v>0.7</v>
      </c>
      <c r="I143" s="219"/>
    </row>
    <row r="144" spans="1:9" s="230" customFormat="1">
      <c r="A144" s="542">
        <f t="shared" si="2"/>
        <v>136</v>
      </c>
      <c r="B144" s="220" t="s">
        <v>1690</v>
      </c>
      <c r="C144" s="221" t="s">
        <v>5598</v>
      </c>
      <c r="D144" s="240" t="s">
        <v>5533</v>
      </c>
      <c r="E144" s="231" t="s">
        <v>1112</v>
      </c>
      <c r="F144" s="231" t="s">
        <v>407</v>
      </c>
      <c r="G144" s="223">
        <v>1619</v>
      </c>
      <c r="H144" s="341" t="s">
        <v>8270</v>
      </c>
      <c r="I144" s="219"/>
    </row>
    <row r="145" spans="1:9" s="230" customFormat="1">
      <c r="A145" s="542">
        <f t="shared" si="2"/>
        <v>137</v>
      </c>
      <c r="B145" s="220" t="s">
        <v>5599</v>
      </c>
      <c r="C145" s="221" t="s">
        <v>5600</v>
      </c>
      <c r="D145" s="240" t="s">
        <v>5533</v>
      </c>
      <c r="E145" s="231" t="s">
        <v>5601</v>
      </c>
      <c r="F145" s="231" t="s">
        <v>407</v>
      </c>
      <c r="G145" s="223">
        <v>725</v>
      </c>
      <c r="H145" s="341">
        <v>0.8</v>
      </c>
      <c r="I145" s="219"/>
    </row>
    <row r="146" spans="1:9" s="230" customFormat="1">
      <c r="A146" s="542">
        <f t="shared" si="2"/>
        <v>138</v>
      </c>
      <c r="B146" s="220" t="s">
        <v>1691</v>
      </c>
      <c r="C146" s="221" t="s">
        <v>5598</v>
      </c>
      <c r="D146" s="240" t="s">
        <v>5533</v>
      </c>
      <c r="E146" s="231" t="s">
        <v>1112</v>
      </c>
      <c r="F146" s="231" t="s">
        <v>407</v>
      </c>
      <c r="G146" s="223">
        <v>753</v>
      </c>
      <c r="H146" s="341">
        <v>2.2000000000000002</v>
      </c>
      <c r="I146" s="219"/>
    </row>
    <row r="147" spans="1:9" s="230" customFormat="1">
      <c r="A147" s="542">
        <f t="shared" si="2"/>
        <v>139</v>
      </c>
      <c r="B147" s="220" t="s">
        <v>1692</v>
      </c>
      <c r="C147" s="221" t="s">
        <v>5602</v>
      </c>
      <c r="D147" s="240" t="s">
        <v>5533</v>
      </c>
      <c r="E147" s="231" t="s">
        <v>1112</v>
      </c>
      <c r="F147" s="231" t="s">
        <v>1693</v>
      </c>
      <c r="G147" s="223">
        <v>14971</v>
      </c>
      <c r="H147" s="341" t="s">
        <v>8271</v>
      </c>
      <c r="I147" s="219"/>
    </row>
    <row r="148" spans="1:9" s="230" customFormat="1">
      <c r="A148" s="542">
        <f t="shared" si="2"/>
        <v>140</v>
      </c>
      <c r="B148" s="220" t="s">
        <v>1694</v>
      </c>
      <c r="C148" s="221" t="s">
        <v>5603</v>
      </c>
      <c r="D148" s="240" t="s">
        <v>5533</v>
      </c>
      <c r="E148" s="231" t="s">
        <v>1663</v>
      </c>
      <c r="F148" s="231" t="s">
        <v>407</v>
      </c>
      <c r="G148" s="223">
        <v>390</v>
      </c>
      <c r="H148" s="341">
        <v>1.5</v>
      </c>
      <c r="I148" s="219"/>
    </row>
    <row r="149" spans="1:9" s="230" customFormat="1">
      <c r="A149" s="542">
        <f t="shared" si="2"/>
        <v>141</v>
      </c>
      <c r="B149" s="220" t="s">
        <v>1695</v>
      </c>
      <c r="C149" s="221" t="s">
        <v>5603</v>
      </c>
      <c r="D149" s="240" t="s">
        <v>5533</v>
      </c>
      <c r="E149" s="231" t="s">
        <v>1663</v>
      </c>
      <c r="F149" s="231" t="s">
        <v>407</v>
      </c>
      <c r="G149" s="223">
        <v>762</v>
      </c>
      <c r="H149" s="341">
        <v>1.7</v>
      </c>
      <c r="I149" s="219"/>
    </row>
    <row r="150" spans="1:9" s="230" customFormat="1">
      <c r="A150" s="542">
        <f t="shared" si="2"/>
        <v>142</v>
      </c>
      <c r="B150" s="220" t="s">
        <v>5604</v>
      </c>
      <c r="C150" s="221" t="s">
        <v>5603</v>
      </c>
      <c r="D150" s="240" t="s">
        <v>5533</v>
      </c>
      <c r="E150" s="231" t="s">
        <v>1663</v>
      </c>
      <c r="F150" s="231" t="s">
        <v>407</v>
      </c>
      <c r="G150" s="223">
        <v>540</v>
      </c>
      <c r="H150" s="341">
        <v>1</v>
      </c>
      <c r="I150" s="219"/>
    </row>
    <row r="151" spans="1:9" s="230" customFormat="1">
      <c r="A151" s="542">
        <f t="shared" si="2"/>
        <v>143</v>
      </c>
      <c r="B151" s="220" t="s">
        <v>5605</v>
      </c>
      <c r="C151" s="221" t="s">
        <v>5603</v>
      </c>
      <c r="D151" s="240" t="s">
        <v>5533</v>
      </c>
      <c r="E151" s="231" t="s">
        <v>1663</v>
      </c>
      <c r="F151" s="231" t="s">
        <v>407</v>
      </c>
      <c r="G151" s="223">
        <v>280</v>
      </c>
      <c r="H151" s="341">
        <v>0.5</v>
      </c>
      <c r="I151" s="219"/>
    </row>
    <row r="152" spans="1:9" s="230" customFormat="1">
      <c r="A152" s="542">
        <f t="shared" si="2"/>
        <v>144</v>
      </c>
      <c r="B152" s="220" t="s">
        <v>1697</v>
      </c>
      <c r="C152" s="221" t="s">
        <v>5594</v>
      </c>
      <c r="D152" s="240" t="s">
        <v>5533</v>
      </c>
      <c r="E152" s="231" t="s">
        <v>1663</v>
      </c>
      <c r="F152" s="231" t="s">
        <v>407</v>
      </c>
      <c r="G152" s="223">
        <v>1731</v>
      </c>
      <c r="H152" s="341">
        <v>2.2999999999999998</v>
      </c>
      <c r="I152" s="219"/>
    </row>
    <row r="153" spans="1:9" s="230" customFormat="1">
      <c r="A153" s="542">
        <f t="shared" si="2"/>
        <v>145</v>
      </c>
      <c r="B153" s="220" t="s">
        <v>1698</v>
      </c>
      <c r="C153" s="221" t="s">
        <v>5594</v>
      </c>
      <c r="D153" s="240" t="s">
        <v>5533</v>
      </c>
      <c r="E153" s="231" t="s">
        <v>1663</v>
      </c>
      <c r="F153" s="231" t="s">
        <v>407</v>
      </c>
      <c r="G153" s="223">
        <v>1680</v>
      </c>
      <c r="H153" s="341">
        <v>2.2999999999999998</v>
      </c>
      <c r="I153" s="219"/>
    </row>
    <row r="154" spans="1:9" s="230" customFormat="1">
      <c r="A154" s="542">
        <f t="shared" si="2"/>
        <v>146</v>
      </c>
      <c r="B154" s="220" t="s">
        <v>1699</v>
      </c>
      <c r="C154" s="221" t="s">
        <v>5594</v>
      </c>
      <c r="D154" s="240" t="s">
        <v>5533</v>
      </c>
      <c r="E154" s="231" t="s">
        <v>1663</v>
      </c>
      <c r="F154" s="231" t="s">
        <v>407</v>
      </c>
      <c r="G154" s="223">
        <v>60</v>
      </c>
      <c r="H154" s="341">
        <v>0.8</v>
      </c>
      <c r="I154" s="219"/>
    </row>
    <row r="155" spans="1:9" s="230" customFormat="1">
      <c r="A155" s="542">
        <f t="shared" si="2"/>
        <v>147</v>
      </c>
      <c r="B155" s="220" t="s">
        <v>1700</v>
      </c>
      <c r="C155" s="221" t="s">
        <v>5594</v>
      </c>
      <c r="D155" s="240" t="s">
        <v>5533</v>
      </c>
      <c r="E155" s="231" t="s">
        <v>1663</v>
      </c>
      <c r="F155" s="231" t="s">
        <v>407</v>
      </c>
      <c r="G155" s="223">
        <v>843</v>
      </c>
      <c r="H155" s="341">
        <v>1.6</v>
      </c>
      <c r="I155" s="219"/>
    </row>
    <row r="156" spans="1:9" s="230" customFormat="1">
      <c r="A156" s="542">
        <f t="shared" si="2"/>
        <v>148</v>
      </c>
      <c r="B156" s="220" t="s">
        <v>5606</v>
      </c>
      <c r="C156" s="221" t="s">
        <v>5594</v>
      </c>
      <c r="D156" s="240" t="s">
        <v>5533</v>
      </c>
      <c r="E156" s="231" t="s">
        <v>5607</v>
      </c>
      <c r="F156" s="316" t="s">
        <v>5608</v>
      </c>
      <c r="G156" s="223">
        <v>700</v>
      </c>
      <c r="H156" s="341">
        <v>0.5</v>
      </c>
      <c r="I156" s="219"/>
    </row>
    <row r="157" spans="1:9" s="230" customFormat="1">
      <c r="A157" s="542">
        <f t="shared" si="2"/>
        <v>149</v>
      </c>
      <c r="B157" s="220" t="s">
        <v>1701</v>
      </c>
      <c r="C157" s="221" t="s">
        <v>5594</v>
      </c>
      <c r="D157" s="240" t="s">
        <v>5533</v>
      </c>
      <c r="E157" s="231" t="s">
        <v>1666</v>
      </c>
      <c r="F157" s="231" t="s">
        <v>407</v>
      </c>
      <c r="G157" s="223">
        <v>1270</v>
      </c>
      <c r="H157" s="341">
        <v>1.4</v>
      </c>
      <c r="I157" s="219"/>
    </row>
    <row r="158" spans="1:9" s="230" customFormat="1">
      <c r="A158" s="542">
        <f t="shared" si="2"/>
        <v>150</v>
      </c>
      <c r="B158" s="220" t="s">
        <v>1702</v>
      </c>
      <c r="C158" s="221" t="s">
        <v>5609</v>
      </c>
      <c r="D158" s="240" t="s">
        <v>5533</v>
      </c>
      <c r="E158" s="231" t="s">
        <v>1666</v>
      </c>
      <c r="F158" s="231" t="s">
        <v>407</v>
      </c>
      <c r="G158" s="223">
        <v>8021</v>
      </c>
      <c r="H158" s="341" t="s">
        <v>8253</v>
      </c>
      <c r="I158" s="219"/>
    </row>
    <row r="159" spans="1:9" s="230" customFormat="1">
      <c r="A159" s="542">
        <f t="shared" si="2"/>
        <v>151</v>
      </c>
      <c r="B159" s="220" t="s">
        <v>5610</v>
      </c>
      <c r="C159" s="221" t="s">
        <v>5594</v>
      </c>
      <c r="D159" s="240" t="s">
        <v>5533</v>
      </c>
      <c r="E159" s="231" t="s">
        <v>1666</v>
      </c>
      <c r="F159" s="231" t="s">
        <v>407</v>
      </c>
      <c r="G159" s="223">
        <v>730</v>
      </c>
      <c r="H159" s="341">
        <v>0.5</v>
      </c>
      <c r="I159" s="219"/>
    </row>
    <row r="160" spans="1:9" s="230" customFormat="1">
      <c r="A160" s="542">
        <f t="shared" si="2"/>
        <v>152</v>
      </c>
      <c r="B160" s="220" t="s">
        <v>5611</v>
      </c>
      <c r="C160" s="221" t="s">
        <v>5594</v>
      </c>
      <c r="D160" s="240" t="s">
        <v>5533</v>
      </c>
      <c r="E160" s="231" t="s">
        <v>1666</v>
      </c>
      <c r="F160" s="231" t="s">
        <v>407</v>
      </c>
      <c r="G160" s="223">
        <v>340</v>
      </c>
      <c r="H160" s="341">
        <v>0.45</v>
      </c>
      <c r="I160" s="219"/>
    </row>
    <row r="161" spans="1:9" s="230" customFormat="1">
      <c r="A161" s="542">
        <f t="shared" si="2"/>
        <v>153</v>
      </c>
      <c r="B161" s="220" t="s">
        <v>1703</v>
      </c>
      <c r="C161" s="221" t="s">
        <v>5594</v>
      </c>
      <c r="D161" s="240" t="s">
        <v>5533</v>
      </c>
      <c r="E161" s="231" t="s">
        <v>1666</v>
      </c>
      <c r="F161" s="231" t="s">
        <v>407</v>
      </c>
      <c r="G161" s="223">
        <v>435</v>
      </c>
      <c r="H161" s="341">
        <v>0.5</v>
      </c>
      <c r="I161" s="219"/>
    </row>
    <row r="162" spans="1:9" s="230" customFormat="1">
      <c r="A162" s="542">
        <f t="shared" si="2"/>
        <v>154</v>
      </c>
      <c r="B162" s="220" t="s">
        <v>1705</v>
      </c>
      <c r="C162" s="221" t="s">
        <v>5603</v>
      </c>
      <c r="D162" s="240" t="s">
        <v>5533</v>
      </c>
      <c r="E162" s="231" t="s">
        <v>1666</v>
      </c>
      <c r="F162" s="231" t="s">
        <v>407</v>
      </c>
      <c r="G162" s="223">
        <v>3100</v>
      </c>
      <c r="H162" s="341" t="s">
        <v>8254</v>
      </c>
      <c r="I162" s="219"/>
    </row>
    <row r="163" spans="1:9" s="230" customFormat="1">
      <c r="A163" s="542">
        <f t="shared" si="2"/>
        <v>155</v>
      </c>
      <c r="B163" s="220" t="s">
        <v>1706</v>
      </c>
      <c r="C163" s="221" t="s">
        <v>5603</v>
      </c>
      <c r="D163" s="240" t="s">
        <v>5533</v>
      </c>
      <c r="E163" s="231" t="s">
        <v>1666</v>
      </c>
      <c r="F163" s="231" t="s">
        <v>407</v>
      </c>
      <c r="G163" s="223">
        <v>600</v>
      </c>
      <c r="H163" s="341">
        <v>0.5</v>
      </c>
      <c r="I163" s="219"/>
    </row>
    <row r="164" spans="1:9" s="230" customFormat="1">
      <c r="A164" s="542">
        <f t="shared" si="2"/>
        <v>156</v>
      </c>
      <c r="B164" s="220" t="s">
        <v>5612</v>
      </c>
      <c r="C164" s="221" t="s">
        <v>5603</v>
      </c>
      <c r="D164" s="240" t="s">
        <v>5533</v>
      </c>
      <c r="E164" s="231" t="s">
        <v>5613</v>
      </c>
      <c r="F164" s="231" t="s">
        <v>407</v>
      </c>
      <c r="G164" s="223">
        <v>215</v>
      </c>
      <c r="H164" s="341">
        <v>0.5</v>
      </c>
      <c r="I164" s="219"/>
    </row>
    <row r="165" spans="1:9" s="230" customFormat="1">
      <c r="A165" s="542">
        <f t="shared" si="2"/>
        <v>157</v>
      </c>
      <c r="B165" s="220" t="s">
        <v>1707</v>
      </c>
      <c r="C165" s="221" t="s">
        <v>5614</v>
      </c>
      <c r="D165" s="240" t="s">
        <v>5533</v>
      </c>
      <c r="E165" s="231" t="s">
        <v>1666</v>
      </c>
      <c r="F165" s="231" t="s">
        <v>407</v>
      </c>
      <c r="G165" s="223">
        <v>2490</v>
      </c>
      <c r="H165" s="341">
        <v>1.3</v>
      </c>
      <c r="I165" s="219"/>
    </row>
    <row r="166" spans="1:9" s="230" customFormat="1">
      <c r="A166" s="542">
        <f t="shared" si="2"/>
        <v>158</v>
      </c>
      <c r="B166" s="220" t="s">
        <v>1708</v>
      </c>
      <c r="C166" s="221" t="s">
        <v>5592</v>
      </c>
      <c r="D166" s="240" t="s">
        <v>5533</v>
      </c>
      <c r="E166" s="231" t="s">
        <v>1666</v>
      </c>
      <c r="F166" s="231" t="s">
        <v>407</v>
      </c>
      <c r="G166" s="223">
        <v>1112</v>
      </c>
      <c r="H166" s="341">
        <v>1.8</v>
      </c>
      <c r="I166" s="219"/>
    </row>
    <row r="167" spans="1:9" s="230" customFormat="1">
      <c r="A167" s="542">
        <f t="shared" si="2"/>
        <v>159</v>
      </c>
      <c r="B167" s="220" t="s">
        <v>1709</v>
      </c>
      <c r="C167" s="221" t="s">
        <v>5592</v>
      </c>
      <c r="D167" s="240" t="s">
        <v>5533</v>
      </c>
      <c r="E167" s="231" t="s">
        <v>1666</v>
      </c>
      <c r="F167" s="231" t="s">
        <v>407</v>
      </c>
      <c r="G167" s="223">
        <v>4024</v>
      </c>
      <c r="H167" s="341">
        <v>2.8</v>
      </c>
      <c r="I167" s="219"/>
    </row>
    <row r="168" spans="1:9" s="230" customFormat="1">
      <c r="A168" s="542">
        <f t="shared" si="2"/>
        <v>160</v>
      </c>
      <c r="B168" s="220" t="s">
        <v>1710</v>
      </c>
      <c r="C168" s="221" t="s">
        <v>5592</v>
      </c>
      <c r="D168" s="240" t="s">
        <v>5533</v>
      </c>
      <c r="E168" s="231" t="s">
        <v>1666</v>
      </c>
      <c r="F168" s="231" t="s">
        <v>407</v>
      </c>
      <c r="G168" s="223">
        <v>500</v>
      </c>
      <c r="H168" s="341">
        <v>0.6</v>
      </c>
      <c r="I168" s="219"/>
    </row>
    <row r="169" spans="1:9" s="230" customFormat="1">
      <c r="A169" s="542">
        <f t="shared" si="2"/>
        <v>161</v>
      </c>
      <c r="B169" s="220" t="s">
        <v>1711</v>
      </c>
      <c r="C169" s="221" t="s">
        <v>5592</v>
      </c>
      <c r="D169" s="240" t="s">
        <v>5533</v>
      </c>
      <c r="E169" s="231" t="s">
        <v>1666</v>
      </c>
      <c r="F169" s="231" t="s">
        <v>407</v>
      </c>
      <c r="G169" s="223">
        <v>500</v>
      </c>
      <c r="H169" s="341">
        <v>0.6</v>
      </c>
      <c r="I169" s="219"/>
    </row>
    <row r="170" spans="1:9" s="230" customFormat="1">
      <c r="A170" s="542">
        <f t="shared" si="2"/>
        <v>162</v>
      </c>
      <c r="B170" s="220" t="s">
        <v>1712</v>
      </c>
      <c r="C170" s="221" t="s">
        <v>5603</v>
      </c>
      <c r="D170" s="240" t="s">
        <v>5533</v>
      </c>
      <c r="E170" s="231" t="s">
        <v>1666</v>
      </c>
      <c r="F170" s="231" t="s">
        <v>407</v>
      </c>
      <c r="G170" s="223">
        <v>2600</v>
      </c>
      <c r="H170" s="341">
        <v>1.5</v>
      </c>
      <c r="I170" s="219"/>
    </row>
    <row r="171" spans="1:9" s="230" customFormat="1">
      <c r="A171" s="542">
        <f t="shared" si="2"/>
        <v>163</v>
      </c>
      <c r="B171" s="220" t="s">
        <v>1713</v>
      </c>
      <c r="C171" s="221" t="s">
        <v>5603</v>
      </c>
      <c r="D171" s="240" t="s">
        <v>5533</v>
      </c>
      <c r="E171" s="231" t="s">
        <v>1666</v>
      </c>
      <c r="F171" s="231" t="s">
        <v>407</v>
      </c>
      <c r="G171" s="223">
        <v>1080</v>
      </c>
      <c r="H171" s="341" t="s">
        <v>8272</v>
      </c>
      <c r="I171" s="219"/>
    </row>
    <row r="172" spans="1:9" s="230" customFormat="1">
      <c r="A172" s="542">
        <f t="shared" si="2"/>
        <v>164</v>
      </c>
      <c r="B172" s="220" t="s">
        <v>1714</v>
      </c>
      <c r="C172" s="221" t="s">
        <v>5603</v>
      </c>
      <c r="D172" s="240" t="s">
        <v>5533</v>
      </c>
      <c r="E172" s="231" t="s">
        <v>1666</v>
      </c>
      <c r="F172" s="231" t="s">
        <v>407</v>
      </c>
      <c r="G172" s="223">
        <v>600</v>
      </c>
      <c r="H172" s="341">
        <v>1.3</v>
      </c>
      <c r="I172" s="219"/>
    </row>
    <row r="173" spans="1:9" s="230" customFormat="1">
      <c r="A173" s="542">
        <f t="shared" si="2"/>
        <v>165</v>
      </c>
      <c r="B173" s="220" t="s">
        <v>1715</v>
      </c>
      <c r="C173" s="221" t="s">
        <v>5603</v>
      </c>
      <c r="D173" s="240" t="s">
        <v>5533</v>
      </c>
      <c r="E173" s="231" t="s">
        <v>1666</v>
      </c>
      <c r="F173" s="231" t="s">
        <v>407</v>
      </c>
      <c r="G173" s="223">
        <v>1992</v>
      </c>
      <c r="H173" s="341" t="s">
        <v>8255</v>
      </c>
      <c r="I173" s="219"/>
    </row>
    <row r="174" spans="1:9" s="230" customFormat="1">
      <c r="A174" s="542">
        <f t="shared" si="2"/>
        <v>166</v>
      </c>
      <c r="B174" s="220" t="s">
        <v>1716</v>
      </c>
      <c r="C174" s="221" t="s">
        <v>5592</v>
      </c>
      <c r="D174" s="240" t="s">
        <v>5533</v>
      </c>
      <c r="E174" s="231" t="s">
        <v>1666</v>
      </c>
      <c r="F174" s="231" t="s">
        <v>407</v>
      </c>
      <c r="G174" s="223">
        <v>1079</v>
      </c>
      <c r="H174" s="341">
        <v>1.2</v>
      </c>
      <c r="I174" s="219"/>
    </row>
    <row r="175" spans="1:9" s="230" customFormat="1">
      <c r="A175" s="542">
        <f t="shared" si="2"/>
        <v>167</v>
      </c>
      <c r="B175" s="220" t="s">
        <v>1717</v>
      </c>
      <c r="C175" s="221" t="s">
        <v>5592</v>
      </c>
      <c r="D175" s="240" t="s">
        <v>5533</v>
      </c>
      <c r="E175" s="231" t="s">
        <v>1666</v>
      </c>
      <c r="F175" s="231" t="s">
        <v>407</v>
      </c>
      <c r="G175" s="223">
        <v>4094</v>
      </c>
      <c r="H175" s="341">
        <v>2</v>
      </c>
      <c r="I175" s="219"/>
    </row>
    <row r="176" spans="1:9" s="230" customFormat="1">
      <c r="A176" s="542">
        <f t="shared" si="2"/>
        <v>168</v>
      </c>
      <c r="B176" s="220" t="s">
        <v>5615</v>
      </c>
      <c r="C176" s="221" t="s">
        <v>5592</v>
      </c>
      <c r="D176" s="240" t="s">
        <v>5533</v>
      </c>
      <c r="E176" s="231" t="s">
        <v>5616</v>
      </c>
      <c r="F176" s="231" t="s">
        <v>407</v>
      </c>
      <c r="G176" s="223">
        <v>850</v>
      </c>
      <c r="H176" s="341">
        <v>0.6</v>
      </c>
      <c r="I176" s="219"/>
    </row>
    <row r="177" spans="1:9" s="230" customFormat="1">
      <c r="A177" s="542">
        <f t="shared" si="2"/>
        <v>169</v>
      </c>
      <c r="B177" s="220" t="s">
        <v>1718</v>
      </c>
      <c r="C177" s="221" t="s">
        <v>5592</v>
      </c>
      <c r="D177" s="240" t="s">
        <v>5533</v>
      </c>
      <c r="E177" s="231" t="s">
        <v>1666</v>
      </c>
      <c r="F177" s="231" t="s">
        <v>407</v>
      </c>
      <c r="G177" s="223">
        <v>655</v>
      </c>
      <c r="H177" s="341">
        <v>0.6</v>
      </c>
      <c r="I177" s="219"/>
    </row>
    <row r="178" spans="1:9" s="230" customFormat="1">
      <c r="A178" s="542">
        <f t="shared" si="2"/>
        <v>170</v>
      </c>
      <c r="B178" s="220" t="s">
        <v>1720</v>
      </c>
      <c r="C178" s="221" t="s">
        <v>5594</v>
      </c>
      <c r="D178" s="240" t="s">
        <v>5533</v>
      </c>
      <c r="E178" s="231" t="s">
        <v>1668</v>
      </c>
      <c r="F178" s="231" t="s">
        <v>407</v>
      </c>
      <c r="G178" s="223">
        <v>430</v>
      </c>
      <c r="H178" s="341">
        <v>0.45</v>
      </c>
      <c r="I178" s="219"/>
    </row>
    <row r="179" spans="1:9" s="230" customFormat="1">
      <c r="A179" s="542">
        <f t="shared" si="2"/>
        <v>171</v>
      </c>
      <c r="B179" s="220" t="s">
        <v>1721</v>
      </c>
      <c r="C179" s="221" t="s">
        <v>5594</v>
      </c>
      <c r="D179" s="240" t="s">
        <v>5533</v>
      </c>
      <c r="E179" s="231" t="s">
        <v>1668</v>
      </c>
      <c r="F179" s="231" t="s">
        <v>407</v>
      </c>
      <c r="G179" s="223">
        <v>317</v>
      </c>
      <c r="H179" s="341">
        <v>0.45</v>
      </c>
      <c r="I179" s="219"/>
    </row>
    <row r="180" spans="1:9" s="230" customFormat="1">
      <c r="A180" s="542">
        <f t="shared" si="2"/>
        <v>172</v>
      </c>
      <c r="B180" s="220" t="s">
        <v>1722</v>
      </c>
      <c r="C180" s="221" t="s">
        <v>5594</v>
      </c>
      <c r="D180" s="240" t="s">
        <v>5533</v>
      </c>
      <c r="E180" s="231" t="s">
        <v>1668</v>
      </c>
      <c r="F180" s="231" t="s">
        <v>407</v>
      </c>
      <c r="G180" s="223">
        <v>170</v>
      </c>
      <c r="H180" s="341">
        <v>0.4</v>
      </c>
      <c r="I180" s="219"/>
    </row>
    <row r="181" spans="1:9" s="230" customFormat="1">
      <c r="A181" s="542">
        <f t="shared" si="2"/>
        <v>173</v>
      </c>
      <c r="B181" s="220" t="s">
        <v>1723</v>
      </c>
      <c r="C181" s="221" t="s">
        <v>5594</v>
      </c>
      <c r="D181" s="240" t="s">
        <v>5533</v>
      </c>
      <c r="E181" s="231" t="s">
        <v>1668</v>
      </c>
      <c r="F181" s="231" t="s">
        <v>407</v>
      </c>
      <c r="G181" s="223">
        <v>244</v>
      </c>
      <c r="H181" s="341">
        <v>0.4</v>
      </c>
      <c r="I181" s="219"/>
    </row>
    <row r="182" spans="1:9" s="230" customFormat="1">
      <c r="A182" s="542">
        <f t="shared" si="2"/>
        <v>174</v>
      </c>
      <c r="B182" s="220" t="s">
        <v>1724</v>
      </c>
      <c r="C182" s="221" t="s">
        <v>5594</v>
      </c>
      <c r="D182" s="240" t="s">
        <v>5533</v>
      </c>
      <c r="E182" s="231" t="s">
        <v>1670</v>
      </c>
      <c r="F182" s="231" t="s">
        <v>407</v>
      </c>
      <c r="G182" s="223">
        <v>260</v>
      </c>
      <c r="H182" s="341">
        <v>0.4</v>
      </c>
      <c r="I182" s="219"/>
    </row>
    <row r="183" spans="1:9" s="230" customFormat="1">
      <c r="A183" s="542">
        <f t="shared" ref="A183:A246" si="3">A182+1</f>
        <v>175</v>
      </c>
      <c r="B183" s="220" t="s">
        <v>1725</v>
      </c>
      <c r="C183" s="221" t="s">
        <v>5594</v>
      </c>
      <c r="D183" s="240" t="s">
        <v>5533</v>
      </c>
      <c r="E183" s="231" t="s">
        <v>1670</v>
      </c>
      <c r="F183" s="231" t="s">
        <v>407</v>
      </c>
      <c r="G183" s="223">
        <v>197</v>
      </c>
      <c r="H183" s="341">
        <v>0.45</v>
      </c>
      <c r="I183" s="219"/>
    </row>
    <row r="184" spans="1:9" s="230" customFormat="1">
      <c r="A184" s="542">
        <f t="shared" si="3"/>
        <v>176</v>
      </c>
      <c r="B184" s="220" t="s">
        <v>1726</v>
      </c>
      <c r="C184" s="221" t="s">
        <v>5594</v>
      </c>
      <c r="D184" s="240" t="s">
        <v>5533</v>
      </c>
      <c r="E184" s="231" t="s">
        <v>1670</v>
      </c>
      <c r="F184" s="231" t="s">
        <v>407</v>
      </c>
      <c r="G184" s="223">
        <v>300</v>
      </c>
      <c r="H184" s="341">
        <v>0.4</v>
      </c>
      <c r="I184" s="219"/>
    </row>
    <row r="185" spans="1:9" s="230" customFormat="1">
      <c r="A185" s="542">
        <f t="shared" si="3"/>
        <v>177</v>
      </c>
      <c r="B185" s="220" t="s">
        <v>1727</v>
      </c>
      <c r="C185" s="221" t="s">
        <v>5594</v>
      </c>
      <c r="D185" s="240" t="s">
        <v>5533</v>
      </c>
      <c r="E185" s="231" t="s">
        <v>1670</v>
      </c>
      <c r="F185" s="231" t="s">
        <v>407</v>
      </c>
      <c r="G185" s="223">
        <v>225</v>
      </c>
      <c r="H185" s="341">
        <v>0.4</v>
      </c>
      <c r="I185" s="219"/>
    </row>
    <row r="186" spans="1:9" s="230" customFormat="1">
      <c r="A186" s="542">
        <f t="shared" si="3"/>
        <v>178</v>
      </c>
      <c r="B186" s="220" t="s">
        <v>5617</v>
      </c>
      <c r="C186" s="221" t="s">
        <v>5594</v>
      </c>
      <c r="D186" s="240" t="s">
        <v>5533</v>
      </c>
      <c r="E186" s="231" t="s">
        <v>1670</v>
      </c>
      <c r="F186" s="231" t="s">
        <v>407</v>
      </c>
      <c r="G186" s="223">
        <v>100</v>
      </c>
      <c r="H186" s="341">
        <v>0.4</v>
      </c>
      <c r="I186" s="219"/>
    </row>
    <row r="187" spans="1:9" s="230" customFormat="1">
      <c r="A187" s="542">
        <f t="shared" si="3"/>
        <v>179</v>
      </c>
      <c r="B187" s="220" t="s">
        <v>1728</v>
      </c>
      <c r="C187" s="221" t="s">
        <v>5594</v>
      </c>
      <c r="D187" s="240" t="s">
        <v>5533</v>
      </c>
      <c r="E187" s="231" t="s">
        <v>1673</v>
      </c>
      <c r="F187" s="231" t="s">
        <v>407</v>
      </c>
      <c r="G187" s="223">
        <v>440</v>
      </c>
      <c r="H187" s="341">
        <v>0.45</v>
      </c>
      <c r="I187" s="219"/>
    </row>
    <row r="188" spans="1:9" s="230" customFormat="1">
      <c r="A188" s="542">
        <f t="shared" si="3"/>
        <v>180</v>
      </c>
      <c r="B188" s="220" t="s">
        <v>1729</v>
      </c>
      <c r="C188" s="221" t="s">
        <v>5594</v>
      </c>
      <c r="D188" s="240" t="s">
        <v>5533</v>
      </c>
      <c r="E188" s="231" t="s">
        <v>1673</v>
      </c>
      <c r="F188" s="231" t="s">
        <v>407</v>
      </c>
      <c r="G188" s="223">
        <v>1177</v>
      </c>
      <c r="H188" s="341">
        <v>1.5</v>
      </c>
      <c r="I188" s="219"/>
    </row>
    <row r="189" spans="1:9" s="230" customFormat="1">
      <c r="A189" s="542">
        <f t="shared" si="3"/>
        <v>181</v>
      </c>
      <c r="B189" s="220" t="s">
        <v>5618</v>
      </c>
      <c r="C189" s="221" t="s">
        <v>5594</v>
      </c>
      <c r="D189" s="240" t="s">
        <v>5533</v>
      </c>
      <c r="E189" s="231" t="s">
        <v>1673</v>
      </c>
      <c r="F189" s="231" t="s">
        <v>5619</v>
      </c>
      <c r="G189" s="223">
        <v>492</v>
      </c>
      <c r="H189" s="341">
        <v>0.4</v>
      </c>
      <c r="I189" s="219"/>
    </row>
    <row r="190" spans="1:9" s="230" customFormat="1">
      <c r="A190" s="542">
        <f t="shared" si="3"/>
        <v>182</v>
      </c>
      <c r="B190" s="220" t="s">
        <v>1730</v>
      </c>
      <c r="C190" s="221" t="s">
        <v>5594</v>
      </c>
      <c r="D190" s="240" t="s">
        <v>5533</v>
      </c>
      <c r="E190" s="231" t="s">
        <v>1674</v>
      </c>
      <c r="F190" s="231" t="s">
        <v>407</v>
      </c>
      <c r="G190" s="223">
        <v>445</v>
      </c>
      <c r="H190" s="341">
        <v>0.45</v>
      </c>
      <c r="I190" s="219"/>
    </row>
    <row r="191" spans="1:9" s="230" customFormat="1">
      <c r="A191" s="542">
        <f t="shared" si="3"/>
        <v>183</v>
      </c>
      <c r="B191" s="220" t="s">
        <v>1731</v>
      </c>
      <c r="C191" s="221" t="s">
        <v>5594</v>
      </c>
      <c r="D191" s="240" t="s">
        <v>5533</v>
      </c>
      <c r="E191" s="231" t="s">
        <v>1674</v>
      </c>
      <c r="F191" s="231" t="s">
        <v>407</v>
      </c>
      <c r="G191" s="223">
        <v>210</v>
      </c>
      <c r="H191" s="341">
        <v>0.4</v>
      </c>
      <c r="I191" s="219"/>
    </row>
    <row r="192" spans="1:9" s="230" customFormat="1">
      <c r="A192" s="542">
        <f t="shared" si="3"/>
        <v>184</v>
      </c>
      <c r="B192" s="220" t="s">
        <v>1732</v>
      </c>
      <c r="C192" s="221" t="s">
        <v>5594</v>
      </c>
      <c r="D192" s="240" t="s">
        <v>5533</v>
      </c>
      <c r="E192" s="231" t="s">
        <v>1674</v>
      </c>
      <c r="F192" s="231" t="s">
        <v>407</v>
      </c>
      <c r="G192" s="223">
        <v>200</v>
      </c>
      <c r="H192" s="341">
        <v>0.45</v>
      </c>
      <c r="I192" s="219"/>
    </row>
    <row r="193" spans="1:9" s="230" customFormat="1">
      <c r="A193" s="542">
        <f t="shared" si="3"/>
        <v>185</v>
      </c>
      <c r="B193" s="220" t="s">
        <v>1733</v>
      </c>
      <c r="C193" s="221" t="s">
        <v>5594</v>
      </c>
      <c r="D193" s="240" t="s">
        <v>5533</v>
      </c>
      <c r="E193" s="231" t="s">
        <v>1674</v>
      </c>
      <c r="F193" s="231" t="s">
        <v>407</v>
      </c>
      <c r="G193" s="223">
        <v>130</v>
      </c>
      <c r="H193" s="341">
        <v>0.4</v>
      </c>
      <c r="I193" s="219"/>
    </row>
    <row r="194" spans="1:9" s="230" customFormat="1">
      <c r="A194" s="542">
        <f t="shared" si="3"/>
        <v>186</v>
      </c>
      <c r="B194" s="220" t="s">
        <v>1734</v>
      </c>
      <c r="C194" s="221" t="s">
        <v>5594</v>
      </c>
      <c r="D194" s="240" t="s">
        <v>5533</v>
      </c>
      <c r="E194" s="231" t="s">
        <v>1675</v>
      </c>
      <c r="F194" s="231" t="s">
        <v>407</v>
      </c>
      <c r="G194" s="223">
        <v>402</v>
      </c>
      <c r="H194" s="341">
        <v>0.45</v>
      </c>
      <c r="I194" s="219"/>
    </row>
    <row r="195" spans="1:9" s="230" customFormat="1">
      <c r="A195" s="542">
        <f t="shared" si="3"/>
        <v>187</v>
      </c>
      <c r="B195" s="220" t="s">
        <v>1735</v>
      </c>
      <c r="C195" s="221" t="s">
        <v>5594</v>
      </c>
      <c r="D195" s="240" t="s">
        <v>5533</v>
      </c>
      <c r="E195" s="231" t="s">
        <v>1675</v>
      </c>
      <c r="F195" s="231" t="s">
        <v>407</v>
      </c>
      <c r="G195" s="223">
        <v>327</v>
      </c>
      <c r="H195" s="341">
        <v>0.4</v>
      </c>
      <c r="I195" s="219"/>
    </row>
    <row r="196" spans="1:9" s="230" customFormat="1">
      <c r="A196" s="542">
        <f t="shared" si="3"/>
        <v>188</v>
      </c>
      <c r="B196" s="220" t="s">
        <v>1736</v>
      </c>
      <c r="C196" s="221" t="s">
        <v>5594</v>
      </c>
      <c r="D196" s="240" t="s">
        <v>5533</v>
      </c>
      <c r="E196" s="231" t="s">
        <v>1675</v>
      </c>
      <c r="F196" s="231" t="s">
        <v>407</v>
      </c>
      <c r="G196" s="223">
        <v>465</v>
      </c>
      <c r="H196" s="341">
        <v>0.4</v>
      </c>
      <c r="I196" s="219"/>
    </row>
    <row r="197" spans="1:9" s="230" customFormat="1">
      <c r="A197" s="542">
        <f t="shared" si="3"/>
        <v>189</v>
      </c>
      <c r="B197" s="220" t="s">
        <v>5620</v>
      </c>
      <c r="C197" s="221" t="s">
        <v>5594</v>
      </c>
      <c r="D197" s="240" t="s">
        <v>5533</v>
      </c>
      <c r="E197" s="231" t="s">
        <v>1675</v>
      </c>
      <c r="F197" s="231" t="s">
        <v>407</v>
      </c>
      <c r="G197" s="223">
        <v>465</v>
      </c>
      <c r="H197" s="341">
        <v>0.4</v>
      </c>
      <c r="I197" s="219"/>
    </row>
    <row r="198" spans="1:9" s="230" customFormat="1">
      <c r="A198" s="542">
        <f t="shared" si="3"/>
        <v>190</v>
      </c>
      <c r="B198" s="220" t="s">
        <v>1737</v>
      </c>
      <c r="C198" s="221" t="s">
        <v>5594</v>
      </c>
      <c r="D198" s="240" t="s">
        <v>5533</v>
      </c>
      <c r="E198" s="231" t="s">
        <v>1676</v>
      </c>
      <c r="F198" s="231" t="s">
        <v>407</v>
      </c>
      <c r="G198" s="223">
        <v>535</v>
      </c>
      <c r="H198" s="341">
        <v>1.3</v>
      </c>
      <c r="I198" s="219"/>
    </row>
    <row r="199" spans="1:9" s="230" customFormat="1">
      <c r="A199" s="542">
        <f t="shared" si="3"/>
        <v>191</v>
      </c>
      <c r="B199" s="220" t="s">
        <v>1738</v>
      </c>
      <c r="C199" s="221" t="s">
        <v>5594</v>
      </c>
      <c r="D199" s="240" t="s">
        <v>5533</v>
      </c>
      <c r="E199" s="231" t="s">
        <v>1676</v>
      </c>
      <c r="F199" s="231" t="s">
        <v>407</v>
      </c>
      <c r="G199" s="223">
        <v>378</v>
      </c>
      <c r="H199" s="341">
        <v>1.2</v>
      </c>
      <c r="I199" s="219"/>
    </row>
    <row r="200" spans="1:9" s="230" customFormat="1">
      <c r="A200" s="542">
        <f t="shared" si="3"/>
        <v>192</v>
      </c>
      <c r="B200" s="220" t="s">
        <v>1739</v>
      </c>
      <c r="C200" s="221" t="s">
        <v>5594</v>
      </c>
      <c r="D200" s="240" t="s">
        <v>5533</v>
      </c>
      <c r="E200" s="231" t="s">
        <v>1676</v>
      </c>
      <c r="F200" s="231" t="s">
        <v>407</v>
      </c>
      <c r="G200" s="223">
        <v>395</v>
      </c>
      <c r="H200" s="341">
        <v>0.5</v>
      </c>
      <c r="I200" s="219"/>
    </row>
    <row r="201" spans="1:9" s="230" customFormat="1">
      <c r="A201" s="542">
        <f t="shared" si="3"/>
        <v>193</v>
      </c>
      <c r="B201" s="220" t="s">
        <v>1740</v>
      </c>
      <c r="C201" s="221" t="s">
        <v>5592</v>
      </c>
      <c r="D201" s="240" t="s">
        <v>5533</v>
      </c>
      <c r="E201" s="231" t="s">
        <v>1676</v>
      </c>
      <c r="F201" s="231" t="s">
        <v>407</v>
      </c>
      <c r="G201" s="223">
        <v>898</v>
      </c>
      <c r="H201" s="341">
        <v>1.5</v>
      </c>
      <c r="I201" s="219"/>
    </row>
    <row r="202" spans="1:9" s="230" customFormat="1">
      <c r="A202" s="542">
        <f t="shared" si="3"/>
        <v>194</v>
      </c>
      <c r="B202" s="220" t="s">
        <v>1741</v>
      </c>
      <c r="C202" s="221" t="s">
        <v>5592</v>
      </c>
      <c r="D202" s="240" t="s">
        <v>5533</v>
      </c>
      <c r="E202" s="231" t="s">
        <v>1676</v>
      </c>
      <c r="F202" s="231" t="s">
        <v>407</v>
      </c>
      <c r="G202" s="223">
        <v>300</v>
      </c>
      <c r="H202" s="341">
        <v>0.5</v>
      </c>
      <c r="I202" s="219"/>
    </row>
    <row r="203" spans="1:9" s="230" customFormat="1">
      <c r="A203" s="542">
        <f t="shared" si="3"/>
        <v>195</v>
      </c>
      <c r="B203" s="220" t="s">
        <v>1742</v>
      </c>
      <c r="C203" s="221" t="s">
        <v>5592</v>
      </c>
      <c r="D203" s="240" t="s">
        <v>5533</v>
      </c>
      <c r="E203" s="231" t="s">
        <v>1676</v>
      </c>
      <c r="F203" s="231" t="s">
        <v>407</v>
      </c>
      <c r="G203" s="223">
        <v>550</v>
      </c>
      <c r="H203" s="341">
        <v>0.6</v>
      </c>
      <c r="I203" s="219"/>
    </row>
    <row r="204" spans="1:9" s="230" customFormat="1">
      <c r="A204" s="542">
        <f t="shared" si="3"/>
        <v>196</v>
      </c>
      <c r="B204" s="220" t="s">
        <v>1743</v>
      </c>
      <c r="C204" s="221" t="s">
        <v>5592</v>
      </c>
      <c r="D204" s="240" t="s">
        <v>5533</v>
      </c>
      <c r="E204" s="231" t="s">
        <v>1676</v>
      </c>
      <c r="F204" s="231" t="s">
        <v>407</v>
      </c>
      <c r="G204" s="223">
        <v>939</v>
      </c>
      <c r="H204" s="341">
        <v>0.6</v>
      </c>
      <c r="I204" s="219"/>
    </row>
    <row r="205" spans="1:9" s="230" customFormat="1">
      <c r="A205" s="542">
        <f t="shared" si="3"/>
        <v>197</v>
      </c>
      <c r="B205" s="220" t="s">
        <v>1744</v>
      </c>
      <c r="C205" s="221" t="s">
        <v>5592</v>
      </c>
      <c r="D205" s="240" t="s">
        <v>5533</v>
      </c>
      <c r="E205" s="231" t="s">
        <v>1676</v>
      </c>
      <c r="F205" s="231" t="s">
        <v>407</v>
      </c>
      <c r="G205" s="223">
        <v>756</v>
      </c>
      <c r="H205" s="341">
        <v>0.9</v>
      </c>
      <c r="I205" s="219"/>
    </row>
    <row r="206" spans="1:9" s="230" customFormat="1">
      <c r="A206" s="542">
        <f t="shared" si="3"/>
        <v>198</v>
      </c>
      <c r="B206" s="220" t="s">
        <v>1745</v>
      </c>
      <c r="C206" s="221" t="s">
        <v>5592</v>
      </c>
      <c r="D206" s="240" t="s">
        <v>5533</v>
      </c>
      <c r="E206" s="231" t="s">
        <v>1676</v>
      </c>
      <c r="F206" s="231" t="s">
        <v>407</v>
      </c>
      <c r="G206" s="223">
        <v>2400</v>
      </c>
      <c r="H206" s="341">
        <v>0.8</v>
      </c>
      <c r="I206" s="219"/>
    </row>
    <row r="207" spans="1:9" s="230" customFormat="1">
      <c r="A207" s="542">
        <f t="shared" si="3"/>
        <v>199</v>
      </c>
      <c r="B207" s="220" t="s">
        <v>1746</v>
      </c>
      <c r="C207" s="221" t="s">
        <v>5598</v>
      </c>
      <c r="D207" s="240" t="s">
        <v>5533</v>
      </c>
      <c r="E207" s="231" t="s">
        <v>1676</v>
      </c>
      <c r="F207" s="231" t="s">
        <v>407</v>
      </c>
      <c r="G207" s="223">
        <v>674</v>
      </c>
      <c r="H207" s="341">
        <v>2</v>
      </c>
      <c r="I207" s="219"/>
    </row>
    <row r="208" spans="1:9" s="230" customFormat="1">
      <c r="A208" s="542">
        <f t="shared" si="3"/>
        <v>200</v>
      </c>
      <c r="B208" s="220" t="s">
        <v>1747</v>
      </c>
      <c r="C208" s="221" t="s">
        <v>5598</v>
      </c>
      <c r="D208" s="240" t="s">
        <v>5533</v>
      </c>
      <c r="E208" s="231" t="s">
        <v>1676</v>
      </c>
      <c r="F208" s="231" t="s">
        <v>407</v>
      </c>
      <c r="G208" s="223">
        <v>750</v>
      </c>
      <c r="H208" s="341">
        <v>0.8</v>
      </c>
      <c r="I208" s="219"/>
    </row>
    <row r="209" spans="1:9" s="230" customFormat="1">
      <c r="A209" s="542">
        <f t="shared" si="3"/>
        <v>201</v>
      </c>
      <c r="B209" s="220" t="s">
        <v>1748</v>
      </c>
      <c r="C209" s="221" t="s">
        <v>641</v>
      </c>
      <c r="D209" s="240" t="s">
        <v>5533</v>
      </c>
      <c r="E209" s="231" t="s">
        <v>1676</v>
      </c>
      <c r="F209" s="231" t="s">
        <v>407</v>
      </c>
      <c r="G209" s="223">
        <v>1860</v>
      </c>
      <c r="H209" s="341">
        <v>2</v>
      </c>
      <c r="I209" s="219"/>
    </row>
    <row r="210" spans="1:9" s="230" customFormat="1">
      <c r="A210" s="542">
        <f t="shared" si="3"/>
        <v>202</v>
      </c>
      <c r="B210" s="220" t="s">
        <v>1750</v>
      </c>
      <c r="C210" s="221" t="s">
        <v>641</v>
      </c>
      <c r="D210" s="240" t="s">
        <v>5533</v>
      </c>
      <c r="E210" s="231" t="s">
        <v>1676</v>
      </c>
      <c r="F210" s="231" t="s">
        <v>407</v>
      </c>
      <c r="G210" s="223">
        <v>375</v>
      </c>
      <c r="H210" s="341">
        <v>0.5</v>
      </c>
      <c r="I210" s="219"/>
    </row>
    <row r="211" spans="1:9" s="230" customFormat="1">
      <c r="A211" s="542">
        <f t="shared" si="3"/>
        <v>203</v>
      </c>
      <c r="B211" s="220" t="s">
        <v>1751</v>
      </c>
      <c r="C211" s="221" t="s">
        <v>641</v>
      </c>
      <c r="D211" s="240" t="s">
        <v>5533</v>
      </c>
      <c r="E211" s="231" t="s">
        <v>1676</v>
      </c>
      <c r="F211" s="231" t="s">
        <v>407</v>
      </c>
      <c r="G211" s="223">
        <v>2050</v>
      </c>
      <c r="H211" s="341">
        <v>1.2</v>
      </c>
      <c r="I211" s="219"/>
    </row>
    <row r="212" spans="1:9" s="230" customFormat="1">
      <c r="A212" s="542">
        <f t="shared" si="3"/>
        <v>204</v>
      </c>
      <c r="B212" s="317" t="s">
        <v>5621</v>
      </c>
      <c r="C212" s="221" t="s">
        <v>641</v>
      </c>
      <c r="D212" s="240" t="s">
        <v>5533</v>
      </c>
      <c r="E212" s="231" t="s">
        <v>1751</v>
      </c>
      <c r="F212" s="231" t="s">
        <v>407</v>
      </c>
      <c r="G212" s="223">
        <v>629</v>
      </c>
      <c r="H212" s="341">
        <v>1</v>
      </c>
      <c r="I212" s="219"/>
    </row>
    <row r="213" spans="1:9" s="230" customFormat="1">
      <c r="A213" s="542">
        <f t="shared" si="3"/>
        <v>205</v>
      </c>
      <c r="B213" s="220" t="s">
        <v>1753</v>
      </c>
      <c r="C213" s="221" t="s">
        <v>5592</v>
      </c>
      <c r="D213" s="240" t="s">
        <v>5533</v>
      </c>
      <c r="E213" s="231" t="s">
        <v>1676</v>
      </c>
      <c r="F213" s="231" t="s">
        <v>407</v>
      </c>
      <c r="G213" s="223">
        <v>535</v>
      </c>
      <c r="H213" s="341">
        <v>0.45</v>
      </c>
      <c r="I213" s="219"/>
    </row>
    <row r="214" spans="1:9" s="230" customFormat="1">
      <c r="A214" s="542">
        <f t="shared" si="3"/>
        <v>206</v>
      </c>
      <c r="B214" s="220" t="s">
        <v>5622</v>
      </c>
      <c r="C214" s="221" t="s">
        <v>5592</v>
      </c>
      <c r="D214" s="240" t="s">
        <v>5533</v>
      </c>
      <c r="E214" s="231" t="s">
        <v>1758</v>
      </c>
      <c r="F214" s="231" t="s">
        <v>407</v>
      </c>
      <c r="G214" s="223">
        <v>353</v>
      </c>
      <c r="H214" s="341">
        <v>0.4</v>
      </c>
      <c r="I214" s="219"/>
    </row>
    <row r="215" spans="1:9" s="230" customFormat="1">
      <c r="A215" s="542">
        <f t="shared" si="3"/>
        <v>207</v>
      </c>
      <c r="B215" s="220" t="s">
        <v>1754</v>
      </c>
      <c r="C215" s="221" t="s">
        <v>5592</v>
      </c>
      <c r="D215" s="240" t="s">
        <v>5533</v>
      </c>
      <c r="E215" s="231" t="s">
        <v>1676</v>
      </c>
      <c r="F215" s="231" t="s">
        <v>407</v>
      </c>
      <c r="G215" s="223">
        <v>885</v>
      </c>
      <c r="H215" s="341">
        <v>0.5</v>
      </c>
      <c r="I215" s="219"/>
    </row>
    <row r="216" spans="1:9" s="230" customFormat="1">
      <c r="A216" s="542">
        <f t="shared" si="3"/>
        <v>208</v>
      </c>
      <c r="B216" s="220" t="s">
        <v>1755</v>
      </c>
      <c r="C216" s="221" t="s">
        <v>5592</v>
      </c>
      <c r="D216" s="240" t="s">
        <v>5533</v>
      </c>
      <c r="E216" s="231" t="s">
        <v>1676</v>
      </c>
      <c r="F216" s="231" t="s">
        <v>407</v>
      </c>
      <c r="G216" s="223">
        <v>247</v>
      </c>
      <c r="H216" s="341">
        <v>0.6</v>
      </c>
      <c r="I216" s="219"/>
    </row>
    <row r="217" spans="1:9" s="230" customFormat="1">
      <c r="A217" s="542">
        <f t="shared" si="3"/>
        <v>209</v>
      </c>
      <c r="B217" s="220" t="s">
        <v>1756</v>
      </c>
      <c r="C217" s="221" t="s">
        <v>5592</v>
      </c>
      <c r="D217" s="240" t="s">
        <v>5533</v>
      </c>
      <c r="E217" s="231" t="s">
        <v>1676</v>
      </c>
      <c r="F217" s="231" t="s">
        <v>407</v>
      </c>
      <c r="G217" s="223">
        <v>494</v>
      </c>
      <c r="H217" s="341">
        <v>0.6</v>
      </c>
      <c r="I217" s="219"/>
    </row>
    <row r="218" spans="1:9" s="230" customFormat="1">
      <c r="A218" s="542">
        <f t="shared" si="3"/>
        <v>210</v>
      </c>
      <c r="B218" s="220" t="s">
        <v>1757</v>
      </c>
      <c r="C218" s="221" t="s">
        <v>5592</v>
      </c>
      <c r="D218" s="240" t="s">
        <v>5533</v>
      </c>
      <c r="E218" s="231" t="s">
        <v>1676</v>
      </c>
      <c r="F218" s="231" t="s">
        <v>407</v>
      </c>
      <c r="G218" s="223">
        <v>370</v>
      </c>
      <c r="H218" s="341">
        <v>0.6</v>
      </c>
      <c r="I218" s="219"/>
    </row>
    <row r="219" spans="1:9" s="230" customFormat="1">
      <c r="A219" s="542">
        <f t="shared" si="3"/>
        <v>211</v>
      </c>
      <c r="B219" s="220" t="s">
        <v>1758</v>
      </c>
      <c r="C219" s="221" t="s">
        <v>5592</v>
      </c>
      <c r="D219" s="240" t="s">
        <v>5533</v>
      </c>
      <c r="E219" s="231" t="s">
        <v>1676</v>
      </c>
      <c r="F219" s="231" t="s">
        <v>407</v>
      </c>
      <c r="G219" s="223">
        <v>656</v>
      </c>
      <c r="H219" s="341">
        <v>0.6</v>
      </c>
      <c r="I219" s="219"/>
    </row>
    <row r="220" spans="1:9" s="230" customFormat="1">
      <c r="A220" s="542">
        <f t="shared" si="3"/>
        <v>212</v>
      </c>
      <c r="B220" s="220" t="s">
        <v>1759</v>
      </c>
      <c r="C220" s="221" t="s">
        <v>5623</v>
      </c>
      <c r="D220" s="240" t="s">
        <v>5533</v>
      </c>
      <c r="E220" s="231" t="s">
        <v>1676</v>
      </c>
      <c r="F220" s="231" t="s">
        <v>407</v>
      </c>
      <c r="G220" s="223">
        <v>2944</v>
      </c>
      <c r="H220" s="341">
        <v>1.2</v>
      </c>
      <c r="I220" s="219"/>
    </row>
    <row r="221" spans="1:9" s="230" customFormat="1">
      <c r="A221" s="542">
        <f t="shared" si="3"/>
        <v>213</v>
      </c>
      <c r="B221" s="220" t="s">
        <v>1761</v>
      </c>
      <c r="C221" s="221" t="s">
        <v>5594</v>
      </c>
      <c r="D221" s="240" t="s">
        <v>5533</v>
      </c>
      <c r="E221" s="231" t="s">
        <v>1677</v>
      </c>
      <c r="F221" s="231" t="s">
        <v>407</v>
      </c>
      <c r="G221" s="223">
        <v>505</v>
      </c>
      <c r="H221" s="341">
        <v>0.45</v>
      </c>
      <c r="I221" s="219"/>
    </row>
    <row r="222" spans="1:9" s="230" customFormat="1">
      <c r="A222" s="542">
        <f t="shared" si="3"/>
        <v>214</v>
      </c>
      <c r="B222" s="220" t="s">
        <v>1762</v>
      </c>
      <c r="C222" s="221" t="s">
        <v>5594</v>
      </c>
      <c r="D222" s="240" t="s">
        <v>5533</v>
      </c>
      <c r="E222" s="231" t="s">
        <v>1678</v>
      </c>
      <c r="F222" s="231" t="s">
        <v>407</v>
      </c>
      <c r="G222" s="223">
        <v>365</v>
      </c>
      <c r="H222" s="341">
        <v>0.4</v>
      </c>
      <c r="I222" s="219"/>
    </row>
    <row r="223" spans="1:9" s="230" customFormat="1">
      <c r="A223" s="542">
        <f t="shared" si="3"/>
        <v>215</v>
      </c>
      <c r="B223" s="220" t="s">
        <v>1763</v>
      </c>
      <c r="C223" s="221" t="s">
        <v>5594</v>
      </c>
      <c r="D223" s="240" t="s">
        <v>5533</v>
      </c>
      <c r="E223" s="231" t="s">
        <v>1678</v>
      </c>
      <c r="F223" s="231" t="s">
        <v>407</v>
      </c>
      <c r="G223" s="223">
        <v>1173</v>
      </c>
      <c r="H223" s="341">
        <v>1.3</v>
      </c>
      <c r="I223" s="219"/>
    </row>
    <row r="224" spans="1:9" s="230" customFormat="1">
      <c r="A224" s="542">
        <f t="shared" si="3"/>
        <v>216</v>
      </c>
      <c r="B224" s="220" t="s">
        <v>1764</v>
      </c>
      <c r="C224" s="221" t="s">
        <v>5594</v>
      </c>
      <c r="D224" s="240" t="s">
        <v>5533</v>
      </c>
      <c r="E224" s="231" t="s">
        <v>1678</v>
      </c>
      <c r="F224" s="231" t="s">
        <v>407</v>
      </c>
      <c r="G224" s="223">
        <v>430</v>
      </c>
      <c r="H224" s="341">
        <v>0.5</v>
      </c>
      <c r="I224" s="219"/>
    </row>
    <row r="225" spans="1:9" s="230" customFormat="1">
      <c r="A225" s="542">
        <f t="shared" si="3"/>
        <v>217</v>
      </c>
      <c r="B225" s="220" t="s">
        <v>1765</v>
      </c>
      <c r="C225" s="221" t="s">
        <v>5594</v>
      </c>
      <c r="D225" s="240" t="s">
        <v>5533</v>
      </c>
      <c r="E225" s="231" t="s">
        <v>1678</v>
      </c>
      <c r="F225" s="231" t="s">
        <v>407</v>
      </c>
      <c r="G225" s="223">
        <v>583</v>
      </c>
      <c r="H225" s="341">
        <v>0.5</v>
      </c>
      <c r="I225" s="219"/>
    </row>
    <row r="226" spans="1:9" s="230" customFormat="1">
      <c r="A226" s="542">
        <f t="shared" si="3"/>
        <v>218</v>
      </c>
      <c r="B226" s="220" t="s">
        <v>5624</v>
      </c>
      <c r="C226" s="221" t="s">
        <v>5594</v>
      </c>
      <c r="D226" s="240" t="s">
        <v>5533</v>
      </c>
      <c r="E226" s="231" t="s">
        <v>1678</v>
      </c>
      <c r="F226" s="231" t="s">
        <v>407</v>
      </c>
      <c r="G226" s="223">
        <v>490</v>
      </c>
      <c r="H226" s="341">
        <v>0.5</v>
      </c>
      <c r="I226" s="219"/>
    </row>
    <row r="227" spans="1:9" s="230" customFormat="1">
      <c r="A227" s="542">
        <f t="shared" si="3"/>
        <v>219</v>
      </c>
      <c r="B227" s="220" t="s">
        <v>1766</v>
      </c>
      <c r="C227" s="221" t="s">
        <v>5594</v>
      </c>
      <c r="D227" s="240" t="s">
        <v>5533</v>
      </c>
      <c r="E227" s="231" t="s">
        <v>1678</v>
      </c>
      <c r="F227" s="231" t="s">
        <v>407</v>
      </c>
      <c r="G227" s="223">
        <v>374</v>
      </c>
      <c r="H227" s="341">
        <v>0.5</v>
      </c>
      <c r="I227" s="219"/>
    </row>
    <row r="228" spans="1:9" s="230" customFormat="1">
      <c r="A228" s="542">
        <f t="shared" si="3"/>
        <v>220</v>
      </c>
      <c r="B228" s="220" t="s">
        <v>1767</v>
      </c>
      <c r="C228" s="221" t="s">
        <v>5594</v>
      </c>
      <c r="D228" s="240" t="s">
        <v>5533</v>
      </c>
      <c r="E228" s="231" t="s">
        <v>1678</v>
      </c>
      <c r="F228" s="231" t="s">
        <v>407</v>
      </c>
      <c r="G228" s="223">
        <v>660</v>
      </c>
      <c r="H228" s="341">
        <v>0.45</v>
      </c>
      <c r="I228" s="219"/>
    </row>
    <row r="229" spans="1:9" s="230" customFormat="1">
      <c r="A229" s="542">
        <f t="shared" si="3"/>
        <v>221</v>
      </c>
      <c r="B229" s="220" t="s">
        <v>1768</v>
      </c>
      <c r="C229" s="221" t="s">
        <v>5594</v>
      </c>
      <c r="D229" s="240" t="s">
        <v>5533</v>
      </c>
      <c r="E229" s="231" t="s">
        <v>1679</v>
      </c>
      <c r="F229" s="231" t="s">
        <v>407</v>
      </c>
      <c r="G229" s="223">
        <v>513</v>
      </c>
      <c r="H229" s="341">
        <v>0.5</v>
      </c>
      <c r="I229" s="219"/>
    </row>
    <row r="230" spans="1:9" s="230" customFormat="1">
      <c r="A230" s="542">
        <f t="shared" si="3"/>
        <v>222</v>
      </c>
      <c r="B230" s="220" t="s">
        <v>1769</v>
      </c>
      <c r="C230" s="221" t="s">
        <v>5594</v>
      </c>
      <c r="D230" s="240" t="s">
        <v>5533</v>
      </c>
      <c r="E230" s="231" t="s">
        <v>1679</v>
      </c>
      <c r="F230" s="231" t="s">
        <v>407</v>
      </c>
      <c r="G230" s="223">
        <v>270</v>
      </c>
      <c r="H230" s="341">
        <v>0.4</v>
      </c>
      <c r="I230" s="219"/>
    </row>
    <row r="231" spans="1:9" s="230" customFormat="1">
      <c r="A231" s="542">
        <f t="shared" si="3"/>
        <v>223</v>
      </c>
      <c r="B231" s="220" t="s">
        <v>1770</v>
      </c>
      <c r="C231" s="221" t="s">
        <v>5594</v>
      </c>
      <c r="D231" s="240" t="s">
        <v>5533</v>
      </c>
      <c r="E231" s="231" t="s">
        <v>1679</v>
      </c>
      <c r="F231" s="231" t="s">
        <v>407</v>
      </c>
      <c r="G231" s="223">
        <v>394</v>
      </c>
      <c r="H231" s="341">
        <v>0.45</v>
      </c>
      <c r="I231" s="219"/>
    </row>
    <row r="232" spans="1:9" s="230" customFormat="1">
      <c r="A232" s="542">
        <f t="shared" si="3"/>
        <v>224</v>
      </c>
      <c r="B232" s="220" t="s">
        <v>5625</v>
      </c>
      <c r="C232" s="221" t="s">
        <v>5594</v>
      </c>
      <c r="D232" s="240" t="s">
        <v>5533</v>
      </c>
      <c r="E232" s="231" t="s">
        <v>1680</v>
      </c>
      <c r="F232" s="231" t="s">
        <v>407</v>
      </c>
      <c r="G232" s="223">
        <v>458</v>
      </c>
      <c r="H232" s="341">
        <v>0.45</v>
      </c>
      <c r="I232" s="219"/>
    </row>
    <row r="233" spans="1:9" s="230" customFormat="1">
      <c r="A233" s="542">
        <f t="shared" si="3"/>
        <v>225</v>
      </c>
      <c r="B233" s="220" t="s">
        <v>1771</v>
      </c>
      <c r="C233" s="221" t="s">
        <v>5594</v>
      </c>
      <c r="D233" s="240" t="s">
        <v>5533</v>
      </c>
      <c r="E233" s="231" t="s">
        <v>1680</v>
      </c>
      <c r="F233" s="231" t="s">
        <v>407</v>
      </c>
      <c r="G233" s="223">
        <v>125</v>
      </c>
      <c r="H233" s="341">
        <v>0.4</v>
      </c>
      <c r="I233" s="219"/>
    </row>
    <row r="234" spans="1:9" s="230" customFormat="1">
      <c r="A234" s="542">
        <f t="shared" si="3"/>
        <v>226</v>
      </c>
      <c r="B234" s="220" t="s">
        <v>1772</v>
      </c>
      <c r="C234" s="221" t="s">
        <v>5594</v>
      </c>
      <c r="D234" s="240" t="s">
        <v>5533</v>
      </c>
      <c r="E234" s="231" t="s">
        <v>1680</v>
      </c>
      <c r="F234" s="231" t="s">
        <v>407</v>
      </c>
      <c r="G234" s="223">
        <v>505</v>
      </c>
      <c r="H234" s="341">
        <v>0.45</v>
      </c>
      <c r="I234" s="219"/>
    </row>
    <row r="235" spans="1:9" s="230" customFormat="1">
      <c r="A235" s="542">
        <f t="shared" si="3"/>
        <v>227</v>
      </c>
      <c r="B235" s="220" t="s">
        <v>1773</v>
      </c>
      <c r="C235" s="221" t="s">
        <v>5594</v>
      </c>
      <c r="D235" s="240" t="s">
        <v>5533</v>
      </c>
      <c r="E235" s="231" t="s">
        <v>1680</v>
      </c>
      <c r="F235" s="231" t="s">
        <v>407</v>
      </c>
      <c r="G235" s="223">
        <v>460</v>
      </c>
      <c r="H235" s="341">
        <v>0.45</v>
      </c>
      <c r="I235" s="219"/>
    </row>
    <row r="236" spans="1:9" s="230" customFormat="1">
      <c r="A236" s="542">
        <f t="shared" si="3"/>
        <v>228</v>
      </c>
      <c r="B236" s="220" t="s">
        <v>1774</v>
      </c>
      <c r="C236" s="221" t="s">
        <v>5594</v>
      </c>
      <c r="D236" s="240" t="s">
        <v>5533</v>
      </c>
      <c r="E236" s="231" t="s">
        <v>1680</v>
      </c>
      <c r="F236" s="231" t="s">
        <v>407</v>
      </c>
      <c r="G236" s="223">
        <v>400</v>
      </c>
      <c r="H236" s="341">
        <v>0.45</v>
      </c>
      <c r="I236" s="219"/>
    </row>
    <row r="237" spans="1:9" s="230" customFormat="1">
      <c r="A237" s="542">
        <f t="shared" si="3"/>
        <v>229</v>
      </c>
      <c r="B237" s="220" t="s">
        <v>1775</v>
      </c>
      <c r="C237" s="221" t="s">
        <v>5594</v>
      </c>
      <c r="D237" s="240" t="s">
        <v>5533</v>
      </c>
      <c r="E237" s="231" t="s">
        <v>1680</v>
      </c>
      <c r="F237" s="231" t="s">
        <v>407</v>
      </c>
      <c r="G237" s="223">
        <v>300</v>
      </c>
      <c r="H237" s="341">
        <v>0.45</v>
      </c>
      <c r="I237" s="219"/>
    </row>
    <row r="238" spans="1:9" s="230" customFormat="1">
      <c r="A238" s="542">
        <f t="shared" si="3"/>
        <v>230</v>
      </c>
      <c r="B238" s="220" t="s">
        <v>1776</v>
      </c>
      <c r="C238" s="221" t="s">
        <v>5594</v>
      </c>
      <c r="D238" s="240" t="s">
        <v>5533</v>
      </c>
      <c r="E238" s="231" t="s">
        <v>1680</v>
      </c>
      <c r="F238" s="231" t="s">
        <v>407</v>
      </c>
      <c r="G238" s="223">
        <v>400</v>
      </c>
      <c r="H238" s="341">
        <v>0.45</v>
      </c>
      <c r="I238" s="219"/>
    </row>
    <row r="239" spans="1:9" s="230" customFormat="1">
      <c r="A239" s="542">
        <f t="shared" si="3"/>
        <v>231</v>
      </c>
      <c r="B239" s="220" t="s">
        <v>1777</v>
      </c>
      <c r="C239" s="221" t="s">
        <v>5594</v>
      </c>
      <c r="D239" s="240" t="s">
        <v>5533</v>
      </c>
      <c r="E239" s="231" t="s">
        <v>1681</v>
      </c>
      <c r="F239" s="231" t="s">
        <v>407</v>
      </c>
      <c r="G239" s="223">
        <v>467</v>
      </c>
      <c r="H239" s="341">
        <v>1.2</v>
      </c>
      <c r="I239" s="219"/>
    </row>
    <row r="240" spans="1:9" s="230" customFormat="1">
      <c r="A240" s="542">
        <f t="shared" si="3"/>
        <v>232</v>
      </c>
      <c r="B240" s="220" t="s">
        <v>1778</v>
      </c>
      <c r="C240" s="221" t="s">
        <v>5594</v>
      </c>
      <c r="D240" s="240" t="s">
        <v>5533</v>
      </c>
      <c r="E240" s="231" t="s">
        <v>1681</v>
      </c>
      <c r="F240" s="231" t="s">
        <v>407</v>
      </c>
      <c r="G240" s="223">
        <v>1796</v>
      </c>
      <c r="H240" s="341">
        <v>0.7</v>
      </c>
      <c r="I240" s="219"/>
    </row>
    <row r="241" spans="1:9" s="230" customFormat="1">
      <c r="A241" s="542">
        <f t="shared" si="3"/>
        <v>233</v>
      </c>
      <c r="B241" s="220" t="s">
        <v>1779</v>
      </c>
      <c r="C241" s="221" t="s">
        <v>5594</v>
      </c>
      <c r="D241" s="240" t="s">
        <v>5533</v>
      </c>
      <c r="E241" s="231" t="s">
        <v>1681</v>
      </c>
      <c r="F241" s="231" t="s">
        <v>407</v>
      </c>
      <c r="G241" s="223">
        <v>295</v>
      </c>
      <c r="H241" s="341">
        <v>0.45</v>
      </c>
      <c r="I241" s="219"/>
    </row>
    <row r="242" spans="1:9" s="230" customFormat="1">
      <c r="A242" s="542">
        <f t="shared" si="3"/>
        <v>234</v>
      </c>
      <c r="B242" s="220" t="s">
        <v>1780</v>
      </c>
      <c r="C242" s="221" t="s">
        <v>5594</v>
      </c>
      <c r="D242" s="240" t="s">
        <v>5533</v>
      </c>
      <c r="E242" s="231" t="s">
        <v>1681</v>
      </c>
      <c r="F242" s="231" t="s">
        <v>407</v>
      </c>
      <c r="G242" s="223">
        <v>345</v>
      </c>
      <c r="H242" s="341">
        <v>0.4</v>
      </c>
      <c r="I242" s="219"/>
    </row>
    <row r="243" spans="1:9" s="230" customFormat="1">
      <c r="A243" s="542">
        <f t="shared" si="3"/>
        <v>235</v>
      </c>
      <c r="B243" s="220" t="s">
        <v>1781</v>
      </c>
      <c r="C243" s="221" t="s">
        <v>5594</v>
      </c>
      <c r="D243" s="240" t="s">
        <v>5533</v>
      </c>
      <c r="E243" s="231" t="s">
        <v>1681</v>
      </c>
      <c r="F243" s="231" t="s">
        <v>407</v>
      </c>
      <c r="G243" s="223">
        <v>570</v>
      </c>
      <c r="H243" s="341">
        <v>0.45</v>
      </c>
      <c r="I243" s="219"/>
    </row>
    <row r="244" spans="1:9" s="230" customFormat="1">
      <c r="A244" s="542">
        <f t="shared" si="3"/>
        <v>236</v>
      </c>
      <c r="B244" s="220" t="s">
        <v>1782</v>
      </c>
      <c r="C244" s="221" t="s">
        <v>5594</v>
      </c>
      <c r="D244" s="240" t="s">
        <v>5533</v>
      </c>
      <c r="E244" s="231" t="s">
        <v>1681</v>
      </c>
      <c r="F244" s="231" t="s">
        <v>407</v>
      </c>
      <c r="G244" s="223">
        <v>360</v>
      </c>
      <c r="H244" s="341">
        <v>0.4</v>
      </c>
      <c r="I244" s="219"/>
    </row>
    <row r="245" spans="1:9" s="230" customFormat="1">
      <c r="A245" s="542">
        <f t="shared" si="3"/>
        <v>237</v>
      </c>
      <c r="B245" s="220" t="s">
        <v>1783</v>
      </c>
      <c r="C245" s="221" t="s">
        <v>5594</v>
      </c>
      <c r="D245" s="240" t="s">
        <v>5533</v>
      </c>
      <c r="E245" s="231" t="s">
        <v>1681</v>
      </c>
      <c r="F245" s="231" t="s">
        <v>407</v>
      </c>
      <c r="G245" s="223">
        <v>292</v>
      </c>
      <c r="H245" s="341">
        <v>0.45</v>
      </c>
      <c r="I245" s="219"/>
    </row>
    <row r="246" spans="1:9" s="230" customFormat="1">
      <c r="A246" s="542">
        <f t="shared" si="3"/>
        <v>238</v>
      </c>
      <c r="B246" s="220" t="s">
        <v>1784</v>
      </c>
      <c r="C246" s="221" t="s">
        <v>5594</v>
      </c>
      <c r="D246" s="240" t="s">
        <v>5533</v>
      </c>
      <c r="E246" s="231" t="s">
        <v>1681</v>
      </c>
      <c r="F246" s="231" t="s">
        <v>407</v>
      </c>
      <c r="G246" s="223">
        <v>223</v>
      </c>
      <c r="H246" s="341">
        <v>0.45</v>
      </c>
      <c r="I246" s="219"/>
    </row>
    <row r="247" spans="1:9" s="230" customFormat="1">
      <c r="A247" s="542">
        <f t="shared" ref="A247:A310" si="4">A246+1</f>
        <v>239</v>
      </c>
      <c r="B247" s="220" t="s">
        <v>1785</v>
      </c>
      <c r="C247" s="221" t="s">
        <v>5594</v>
      </c>
      <c r="D247" s="240" t="s">
        <v>5533</v>
      </c>
      <c r="E247" s="231" t="s">
        <v>1681</v>
      </c>
      <c r="F247" s="231" t="s">
        <v>407</v>
      </c>
      <c r="G247" s="223">
        <v>300</v>
      </c>
      <c r="H247" s="341">
        <v>0.5</v>
      </c>
      <c r="I247" s="219"/>
    </row>
    <row r="248" spans="1:9" s="230" customFormat="1">
      <c r="A248" s="542">
        <f t="shared" si="4"/>
        <v>240</v>
      </c>
      <c r="B248" s="220" t="s">
        <v>1786</v>
      </c>
      <c r="C248" s="221" t="s">
        <v>5594</v>
      </c>
      <c r="D248" s="240" t="s">
        <v>5533</v>
      </c>
      <c r="E248" s="231" t="s">
        <v>1682</v>
      </c>
      <c r="F248" s="231" t="s">
        <v>407</v>
      </c>
      <c r="G248" s="223">
        <v>248</v>
      </c>
      <c r="H248" s="341">
        <v>0.4</v>
      </c>
      <c r="I248" s="219"/>
    </row>
    <row r="249" spans="1:9" s="230" customFormat="1">
      <c r="A249" s="542">
        <f t="shared" si="4"/>
        <v>241</v>
      </c>
      <c r="B249" s="220" t="s">
        <v>1787</v>
      </c>
      <c r="C249" s="221" t="s">
        <v>5594</v>
      </c>
      <c r="D249" s="240" t="s">
        <v>5533</v>
      </c>
      <c r="E249" s="231" t="s">
        <v>1682</v>
      </c>
      <c r="F249" s="231" t="s">
        <v>407</v>
      </c>
      <c r="G249" s="223">
        <v>285</v>
      </c>
      <c r="H249" s="341">
        <v>0.4</v>
      </c>
      <c r="I249" s="219"/>
    </row>
    <row r="250" spans="1:9" s="230" customFormat="1">
      <c r="A250" s="542">
        <f t="shared" si="4"/>
        <v>242</v>
      </c>
      <c r="B250" s="220" t="s">
        <v>1788</v>
      </c>
      <c r="C250" s="221" t="s">
        <v>5594</v>
      </c>
      <c r="D250" s="240" t="s">
        <v>5533</v>
      </c>
      <c r="E250" s="231" t="s">
        <v>1682</v>
      </c>
      <c r="F250" s="231" t="s">
        <v>407</v>
      </c>
      <c r="G250" s="223">
        <v>440</v>
      </c>
      <c r="H250" s="341">
        <v>0.4</v>
      </c>
      <c r="I250" s="219"/>
    </row>
    <row r="251" spans="1:9" s="230" customFormat="1">
      <c r="A251" s="542">
        <f t="shared" si="4"/>
        <v>243</v>
      </c>
      <c r="B251" s="220" t="s">
        <v>1789</v>
      </c>
      <c r="C251" s="221" t="s">
        <v>5594</v>
      </c>
      <c r="D251" s="240" t="s">
        <v>5533</v>
      </c>
      <c r="E251" s="231" t="s">
        <v>1682</v>
      </c>
      <c r="F251" s="231" t="s">
        <v>407</v>
      </c>
      <c r="G251" s="223">
        <v>430</v>
      </c>
      <c r="H251" s="341">
        <v>0.4</v>
      </c>
      <c r="I251" s="219"/>
    </row>
    <row r="252" spans="1:9" s="230" customFormat="1">
      <c r="A252" s="542">
        <f t="shared" si="4"/>
        <v>244</v>
      </c>
      <c r="B252" s="220" t="s">
        <v>1790</v>
      </c>
      <c r="C252" s="221" t="s">
        <v>5594</v>
      </c>
      <c r="D252" s="240" t="s">
        <v>5533</v>
      </c>
      <c r="E252" s="231" t="s">
        <v>1683</v>
      </c>
      <c r="F252" s="231" t="s">
        <v>407</v>
      </c>
      <c r="G252" s="223">
        <v>1100</v>
      </c>
      <c r="H252" s="341">
        <v>2</v>
      </c>
      <c r="I252" s="219"/>
    </row>
    <row r="253" spans="1:9" s="230" customFormat="1">
      <c r="A253" s="542">
        <f t="shared" si="4"/>
        <v>245</v>
      </c>
      <c r="B253" s="220" t="s">
        <v>1791</v>
      </c>
      <c r="C253" s="221" t="s">
        <v>5594</v>
      </c>
      <c r="D253" s="240" t="s">
        <v>5533</v>
      </c>
      <c r="E253" s="231" t="s">
        <v>1683</v>
      </c>
      <c r="F253" s="231" t="s">
        <v>407</v>
      </c>
      <c r="G253" s="223">
        <v>1550</v>
      </c>
      <c r="H253" s="341">
        <v>2</v>
      </c>
      <c r="I253" s="219"/>
    </row>
    <row r="254" spans="1:9" s="230" customFormat="1">
      <c r="A254" s="542">
        <f t="shared" si="4"/>
        <v>246</v>
      </c>
      <c r="B254" s="220" t="s">
        <v>1792</v>
      </c>
      <c r="C254" s="221" t="s">
        <v>5594</v>
      </c>
      <c r="D254" s="240" t="s">
        <v>5533</v>
      </c>
      <c r="E254" s="231" t="s">
        <v>1683</v>
      </c>
      <c r="F254" s="231" t="s">
        <v>407</v>
      </c>
      <c r="G254" s="223">
        <v>1338</v>
      </c>
      <c r="H254" s="341">
        <v>0.5</v>
      </c>
      <c r="I254" s="219"/>
    </row>
    <row r="255" spans="1:9" s="230" customFormat="1">
      <c r="A255" s="542">
        <f t="shared" si="4"/>
        <v>247</v>
      </c>
      <c r="B255" s="220" t="s">
        <v>1793</v>
      </c>
      <c r="C255" s="221" t="s">
        <v>5594</v>
      </c>
      <c r="D255" s="240" t="s">
        <v>5533</v>
      </c>
      <c r="E255" s="231" t="s">
        <v>1683</v>
      </c>
      <c r="F255" s="231" t="s">
        <v>407</v>
      </c>
      <c r="G255" s="223">
        <v>2395</v>
      </c>
      <c r="H255" s="341">
        <v>4</v>
      </c>
      <c r="I255" s="219"/>
    </row>
    <row r="256" spans="1:9" s="230" customFormat="1">
      <c r="A256" s="542">
        <f t="shared" si="4"/>
        <v>248</v>
      </c>
      <c r="B256" s="220" t="s">
        <v>1794</v>
      </c>
      <c r="C256" s="221" t="s">
        <v>5594</v>
      </c>
      <c r="D256" s="240" t="s">
        <v>5533</v>
      </c>
      <c r="E256" s="231" t="s">
        <v>1683</v>
      </c>
      <c r="F256" s="231" t="s">
        <v>407</v>
      </c>
      <c r="G256" s="223">
        <v>160</v>
      </c>
      <c r="H256" s="341">
        <v>1</v>
      </c>
      <c r="I256" s="219"/>
    </row>
    <row r="257" spans="1:9" s="230" customFormat="1">
      <c r="A257" s="542">
        <f t="shared" si="4"/>
        <v>249</v>
      </c>
      <c r="B257" s="220" t="s">
        <v>1795</v>
      </c>
      <c r="C257" s="221" t="s">
        <v>5594</v>
      </c>
      <c r="D257" s="240" t="s">
        <v>5533</v>
      </c>
      <c r="E257" s="231" t="s">
        <v>1683</v>
      </c>
      <c r="F257" s="231" t="s">
        <v>407</v>
      </c>
      <c r="G257" s="223">
        <v>780</v>
      </c>
      <c r="H257" s="341">
        <v>0.5</v>
      </c>
      <c r="I257" s="219"/>
    </row>
    <row r="258" spans="1:9" s="230" customFormat="1">
      <c r="A258" s="542">
        <f t="shared" si="4"/>
        <v>250</v>
      </c>
      <c r="B258" s="220" t="s">
        <v>1796</v>
      </c>
      <c r="C258" s="221" t="s">
        <v>5594</v>
      </c>
      <c r="D258" s="240" t="s">
        <v>5533</v>
      </c>
      <c r="E258" s="231" t="s">
        <v>1683</v>
      </c>
      <c r="F258" s="231" t="s">
        <v>407</v>
      </c>
      <c r="G258" s="223">
        <v>1496</v>
      </c>
      <c r="H258" s="341">
        <v>0.5</v>
      </c>
      <c r="I258" s="219"/>
    </row>
    <row r="259" spans="1:9" s="230" customFormat="1">
      <c r="A259" s="542">
        <f t="shared" si="4"/>
        <v>251</v>
      </c>
      <c r="B259" s="220" t="s">
        <v>1797</v>
      </c>
      <c r="C259" s="221" t="s">
        <v>5594</v>
      </c>
      <c r="D259" s="240" t="s">
        <v>5533</v>
      </c>
      <c r="E259" s="231" t="s">
        <v>1683</v>
      </c>
      <c r="F259" s="231" t="s">
        <v>407</v>
      </c>
      <c r="G259" s="223">
        <v>5580</v>
      </c>
      <c r="H259" s="341" t="s">
        <v>8273</v>
      </c>
      <c r="I259" s="219"/>
    </row>
    <row r="260" spans="1:9" s="230" customFormat="1">
      <c r="A260" s="542">
        <f t="shared" si="4"/>
        <v>252</v>
      </c>
      <c r="B260" s="220" t="s">
        <v>5626</v>
      </c>
      <c r="C260" s="221" t="s">
        <v>5594</v>
      </c>
      <c r="D260" s="240" t="s">
        <v>5533</v>
      </c>
      <c r="E260" s="231" t="s">
        <v>1683</v>
      </c>
      <c r="F260" s="231" t="s">
        <v>407</v>
      </c>
      <c r="G260" s="223">
        <v>246</v>
      </c>
      <c r="H260" s="341">
        <v>0.5</v>
      </c>
      <c r="I260" s="219"/>
    </row>
    <row r="261" spans="1:9" s="230" customFormat="1">
      <c r="A261" s="542">
        <f t="shared" si="4"/>
        <v>253</v>
      </c>
      <c r="B261" s="220" t="s">
        <v>1799</v>
      </c>
      <c r="C261" s="221" t="s">
        <v>5594</v>
      </c>
      <c r="D261" s="240" t="s">
        <v>5533</v>
      </c>
      <c r="E261" s="231" t="s">
        <v>1683</v>
      </c>
      <c r="F261" s="231" t="s">
        <v>407</v>
      </c>
      <c r="G261" s="223">
        <v>617</v>
      </c>
      <c r="H261" s="341">
        <v>0.6</v>
      </c>
      <c r="I261" s="219"/>
    </row>
    <row r="262" spans="1:9" s="230" customFormat="1">
      <c r="A262" s="542">
        <f t="shared" si="4"/>
        <v>254</v>
      </c>
      <c r="B262" s="220" t="s">
        <v>1800</v>
      </c>
      <c r="C262" s="221" t="s">
        <v>5594</v>
      </c>
      <c r="D262" s="240" t="s">
        <v>5533</v>
      </c>
      <c r="E262" s="231" t="s">
        <v>1683</v>
      </c>
      <c r="F262" s="231" t="s">
        <v>407</v>
      </c>
      <c r="G262" s="223">
        <v>229</v>
      </c>
      <c r="H262" s="341">
        <v>0.5</v>
      </c>
      <c r="I262" s="219"/>
    </row>
    <row r="263" spans="1:9" s="230" customFormat="1">
      <c r="A263" s="542">
        <f t="shared" si="4"/>
        <v>255</v>
      </c>
      <c r="B263" s="220" t="s">
        <v>1801</v>
      </c>
      <c r="C263" s="221" t="s">
        <v>5594</v>
      </c>
      <c r="D263" s="240" t="s">
        <v>5533</v>
      </c>
      <c r="E263" s="231" t="s">
        <v>1683</v>
      </c>
      <c r="F263" s="231" t="s">
        <v>407</v>
      </c>
      <c r="G263" s="223">
        <v>557</v>
      </c>
      <c r="H263" s="341">
        <v>0.6</v>
      </c>
      <c r="I263" s="219"/>
    </row>
    <row r="264" spans="1:9" s="230" customFormat="1">
      <c r="A264" s="542">
        <f t="shared" si="4"/>
        <v>256</v>
      </c>
      <c r="B264" s="220" t="s">
        <v>1802</v>
      </c>
      <c r="C264" s="221" t="s">
        <v>5594</v>
      </c>
      <c r="D264" s="240" t="s">
        <v>5533</v>
      </c>
      <c r="E264" s="231" t="s">
        <v>1683</v>
      </c>
      <c r="F264" s="231" t="s">
        <v>407</v>
      </c>
      <c r="G264" s="223">
        <v>182</v>
      </c>
      <c r="H264" s="341">
        <v>0.4</v>
      </c>
      <c r="I264" s="219"/>
    </row>
    <row r="265" spans="1:9" s="230" customFormat="1">
      <c r="A265" s="542">
        <f t="shared" si="4"/>
        <v>257</v>
      </c>
      <c r="B265" s="220" t="s">
        <v>1803</v>
      </c>
      <c r="C265" s="221" t="s">
        <v>5594</v>
      </c>
      <c r="D265" s="240" t="s">
        <v>5533</v>
      </c>
      <c r="E265" s="231" t="s">
        <v>1683</v>
      </c>
      <c r="F265" s="231" t="s">
        <v>407</v>
      </c>
      <c r="G265" s="223">
        <v>589</v>
      </c>
      <c r="H265" s="341">
        <v>0.7</v>
      </c>
      <c r="I265" s="219"/>
    </row>
    <row r="266" spans="1:9" s="230" customFormat="1">
      <c r="A266" s="542">
        <f t="shared" si="4"/>
        <v>258</v>
      </c>
      <c r="B266" s="220" t="s">
        <v>1804</v>
      </c>
      <c r="C266" s="221" t="s">
        <v>5594</v>
      </c>
      <c r="D266" s="240" t="s">
        <v>5533</v>
      </c>
      <c r="E266" s="231" t="s">
        <v>1683</v>
      </c>
      <c r="F266" s="231" t="s">
        <v>407</v>
      </c>
      <c r="G266" s="223">
        <v>184</v>
      </c>
      <c r="H266" s="341">
        <v>0.4</v>
      </c>
      <c r="I266" s="219"/>
    </row>
    <row r="267" spans="1:9" s="230" customFormat="1">
      <c r="A267" s="542">
        <f t="shared" si="4"/>
        <v>259</v>
      </c>
      <c r="B267" s="220" t="s">
        <v>1805</v>
      </c>
      <c r="C267" s="221" t="s">
        <v>5594</v>
      </c>
      <c r="D267" s="240" t="s">
        <v>5533</v>
      </c>
      <c r="E267" s="231" t="s">
        <v>1683</v>
      </c>
      <c r="F267" s="231" t="s">
        <v>407</v>
      </c>
      <c r="G267" s="223">
        <v>386</v>
      </c>
      <c r="H267" s="341">
        <v>0.4</v>
      </c>
      <c r="I267" s="219"/>
    </row>
    <row r="268" spans="1:9" s="230" customFormat="1">
      <c r="A268" s="542">
        <f t="shared" si="4"/>
        <v>260</v>
      </c>
      <c r="B268" s="220" t="s">
        <v>1806</v>
      </c>
      <c r="C268" s="221" t="s">
        <v>5594</v>
      </c>
      <c r="D268" s="240" t="s">
        <v>5533</v>
      </c>
      <c r="E268" s="231" t="s">
        <v>1683</v>
      </c>
      <c r="F268" s="231" t="s">
        <v>407</v>
      </c>
      <c r="G268" s="223">
        <v>1359</v>
      </c>
      <c r="H268" s="341">
        <v>0.8</v>
      </c>
      <c r="I268" s="219"/>
    </row>
    <row r="269" spans="1:9" s="230" customFormat="1">
      <c r="A269" s="542">
        <f t="shared" si="4"/>
        <v>261</v>
      </c>
      <c r="B269" s="220" t="s">
        <v>1807</v>
      </c>
      <c r="C269" s="221" t="s">
        <v>5594</v>
      </c>
      <c r="D269" s="240" t="s">
        <v>5533</v>
      </c>
      <c r="E269" s="231" t="s">
        <v>1683</v>
      </c>
      <c r="F269" s="231" t="s">
        <v>407</v>
      </c>
      <c r="G269" s="223">
        <v>519</v>
      </c>
      <c r="H269" s="341">
        <v>0.5</v>
      </c>
      <c r="I269" s="219"/>
    </row>
    <row r="270" spans="1:9" s="230" customFormat="1">
      <c r="A270" s="542">
        <f t="shared" si="4"/>
        <v>262</v>
      </c>
      <c r="B270" s="220" t="s">
        <v>1808</v>
      </c>
      <c r="C270" s="221" t="s">
        <v>5594</v>
      </c>
      <c r="D270" s="240" t="s">
        <v>5533</v>
      </c>
      <c r="E270" s="231" t="s">
        <v>1683</v>
      </c>
      <c r="F270" s="231" t="s">
        <v>407</v>
      </c>
      <c r="G270" s="223">
        <v>1524</v>
      </c>
      <c r="H270" s="341">
        <v>0.7</v>
      </c>
      <c r="I270" s="219"/>
    </row>
    <row r="271" spans="1:9" s="230" customFormat="1">
      <c r="A271" s="542">
        <f t="shared" si="4"/>
        <v>263</v>
      </c>
      <c r="B271" s="220" t="s">
        <v>1809</v>
      </c>
      <c r="C271" s="221" t="s">
        <v>5594</v>
      </c>
      <c r="D271" s="240" t="s">
        <v>5533</v>
      </c>
      <c r="E271" s="231" t="s">
        <v>1685</v>
      </c>
      <c r="F271" s="231" t="s">
        <v>407</v>
      </c>
      <c r="G271" s="223">
        <v>1194</v>
      </c>
      <c r="H271" s="341">
        <v>0.8</v>
      </c>
      <c r="I271" s="219"/>
    </row>
    <row r="272" spans="1:9" s="230" customFormat="1">
      <c r="A272" s="542">
        <f t="shared" si="4"/>
        <v>264</v>
      </c>
      <c r="B272" s="220" t="s">
        <v>1810</v>
      </c>
      <c r="C272" s="221" t="s">
        <v>5592</v>
      </c>
      <c r="D272" s="240" t="s">
        <v>5533</v>
      </c>
      <c r="E272" s="231" t="s">
        <v>1685</v>
      </c>
      <c r="F272" s="231" t="s">
        <v>407</v>
      </c>
      <c r="G272" s="223">
        <v>1847</v>
      </c>
      <c r="H272" s="341">
        <v>1.5</v>
      </c>
      <c r="I272" s="219"/>
    </row>
    <row r="273" spans="1:9" s="230" customFormat="1">
      <c r="A273" s="542">
        <f t="shared" si="4"/>
        <v>265</v>
      </c>
      <c r="B273" s="220" t="s">
        <v>1811</v>
      </c>
      <c r="C273" s="221" t="s">
        <v>5592</v>
      </c>
      <c r="D273" s="240" t="s">
        <v>5533</v>
      </c>
      <c r="E273" s="231" t="s">
        <v>1685</v>
      </c>
      <c r="F273" s="231" t="s">
        <v>407</v>
      </c>
      <c r="G273" s="223">
        <v>475</v>
      </c>
      <c r="H273" s="341">
        <v>0.45</v>
      </c>
      <c r="I273" s="219"/>
    </row>
    <row r="274" spans="1:9" s="230" customFormat="1">
      <c r="A274" s="542">
        <f t="shared" si="4"/>
        <v>266</v>
      </c>
      <c r="B274" s="220" t="s">
        <v>1812</v>
      </c>
      <c r="C274" s="221" t="s">
        <v>5594</v>
      </c>
      <c r="D274" s="240" t="s">
        <v>5533</v>
      </c>
      <c r="E274" s="231" t="s">
        <v>1686</v>
      </c>
      <c r="F274" s="231" t="s">
        <v>407</v>
      </c>
      <c r="G274" s="223">
        <v>505</v>
      </c>
      <c r="H274" s="341">
        <v>0.5</v>
      </c>
      <c r="I274" s="219"/>
    </row>
    <row r="275" spans="1:9" s="230" customFormat="1">
      <c r="A275" s="542">
        <f t="shared" si="4"/>
        <v>267</v>
      </c>
      <c r="B275" s="220" t="s">
        <v>1813</v>
      </c>
      <c r="C275" s="221" t="s">
        <v>5594</v>
      </c>
      <c r="D275" s="240" t="s">
        <v>5533</v>
      </c>
      <c r="E275" s="231" t="s">
        <v>1686</v>
      </c>
      <c r="F275" s="231" t="s">
        <v>407</v>
      </c>
      <c r="G275" s="223">
        <v>80</v>
      </c>
      <c r="H275" s="341">
        <v>0.5</v>
      </c>
      <c r="I275" s="219"/>
    </row>
    <row r="276" spans="1:9" s="230" customFormat="1">
      <c r="A276" s="542">
        <f t="shared" si="4"/>
        <v>268</v>
      </c>
      <c r="B276" s="220" t="s">
        <v>1814</v>
      </c>
      <c r="C276" s="221" t="s">
        <v>5594</v>
      </c>
      <c r="D276" s="240" t="s">
        <v>5533</v>
      </c>
      <c r="E276" s="231" t="s">
        <v>1686</v>
      </c>
      <c r="F276" s="231" t="s">
        <v>407</v>
      </c>
      <c r="G276" s="223">
        <v>900</v>
      </c>
      <c r="H276" s="341">
        <v>0.7</v>
      </c>
      <c r="I276" s="219"/>
    </row>
    <row r="277" spans="1:9" s="230" customFormat="1">
      <c r="A277" s="542">
        <f t="shared" si="4"/>
        <v>269</v>
      </c>
      <c r="B277" s="220" t="s">
        <v>1815</v>
      </c>
      <c r="C277" s="221" t="s">
        <v>5598</v>
      </c>
      <c r="D277" s="240" t="s">
        <v>5533</v>
      </c>
      <c r="E277" s="231" t="s">
        <v>1687</v>
      </c>
      <c r="F277" s="231" t="s">
        <v>407</v>
      </c>
      <c r="G277" s="223">
        <v>290</v>
      </c>
      <c r="H277" s="341">
        <v>0.4</v>
      </c>
      <c r="I277" s="219"/>
    </row>
    <row r="278" spans="1:9" s="230" customFormat="1">
      <c r="A278" s="542">
        <f t="shared" si="4"/>
        <v>270</v>
      </c>
      <c r="B278" s="220" t="s">
        <v>1816</v>
      </c>
      <c r="C278" s="221" t="s">
        <v>5598</v>
      </c>
      <c r="D278" s="240" t="s">
        <v>5533</v>
      </c>
      <c r="E278" s="231" t="s">
        <v>1687</v>
      </c>
      <c r="F278" s="231" t="s">
        <v>407</v>
      </c>
      <c r="G278" s="223">
        <v>700</v>
      </c>
      <c r="H278" s="341">
        <v>0.45</v>
      </c>
      <c r="I278" s="219"/>
    </row>
    <row r="279" spans="1:9" s="230" customFormat="1">
      <c r="A279" s="542">
        <f t="shared" si="4"/>
        <v>271</v>
      </c>
      <c r="B279" s="220" t="s">
        <v>1817</v>
      </c>
      <c r="C279" s="221" t="s">
        <v>5598</v>
      </c>
      <c r="D279" s="240" t="s">
        <v>5533</v>
      </c>
      <c r="E279" s="231" t="s">
        <v>1687</v>
      </c>
      <c r="F279" s="231" t="s">
        <v>407</v>
      </c>
      <c r="G279" s="223">
        <v>730</v>
      </c>
      <c r="H279" s="341">
        <v>0.5</v>
      </c>
      <c r="I279" s="219"/>
    </row>
    <row r="280" spans="1:9" s="230" customFormat="1">
      <c r="A280" s="542">
        <f t="shared" si="4"/>
        <v>272</v>
      </c>
      <c r="B280" s="220" t="s">
        <v>1818</v>
      </c>
      <c r="C280" s="221" t="s">
        <v>5598</v>
      </c>
      <c r="D280" s="240" t="s">
        <v>5533</v>
      </c>
      <c r="E280" s="231" t="s">
        <v>1687</v>
      </c>
      <c r="F280" s="231" t="s">
        <v>407</v>
      </c>
      <c r="G280" s="223">
        <v>631</v>
      </c>
      <c r="H280" s="341">
        <v>0.45</v>
      </c>
      <c r="I280" s="219"/>
    </row>
    <row r="281" spans="1:9" s="230" customFormat="1">
      <c r="A281" s="542">
        <f t="shared" si="4"/>
        <v>273</v>
      </c>
      <c r="B281" s="220" t="s">
        <v>1819</v>
      </c>
      <c r="C281" s="221" t="s">
        <v>5598</v>
      </c>
      <c r="D281" s="240" t="s">
        <v>5533</v>
      </c>
      <c r="E281" s="231" t="s">
        <v>1687</v>
      </c>
      <c r="F281" s="231" t="s">
        <v>407</v>
      </c>
      <c r="G281" s="223">
        <v>725</v>
      </c>
      <c r="H281" s="341">
        <v>0.5</v>
      </c>
      <c r="I281" s="219"/>
    </row>
    <row r="282" spans="1:9" s="230" customFormat="1">
      <c r="A282" s="542">
        <f t="shared" si="4"/>
        <v>274</v>
      </c>
      <c r="B282" s="220" t="s">
        <v>1821</v>
      </c>
      <c r="C282" s="221" t="s">
        <v>5598</v>
      </c>
      <c r="D282" s="240" t="s">
        <v>5533</v>
      </c>
      <c r="E282" s="231" t="s">
        <v>1688</v>
      </c>
      <c r="F282" s="231" t="s">
        <v>407</v>
      </c>
      <c r="G282" s="223">
        <v>579</v>
      </c>
      <c r="H282" s="341">
        <v>0.45</v>
      </c>
      <c r="I282" s="219"/>
    </row>
    <row r="283" spans="1:9" s="230" customFormat="1">
      <c r="A283" s="542">
        <f t="shared" si="4"/>
        <v>275</v>
      </c>
      <c r="B283" s="220" t="s">
        <v>1822</v>
      </c>
      <c r="C283" s="221" t="s">
        <v>5598</v>
      </c>
      <c r="D283" s="240" t="s">
        <v>5533</v>
      </c>
      <c r="E283" s="231" t="s">
        <v>1688</v>
      </c>
      <c r="F283" s="231" t="s">
        <v>407</v>
      </c>
      <c r="G283" s="223">
        <v>640</v>
      </c>
      <c r="H283" s="341">
        <v>0.5</v>
      </c>
      <c r="I283" s="219"/>
    </row>
    <row r="284" spans="1:9" s="230" customFormat="1">
      <c r="A284" s="542">
        <f t="shared" si="4"/>
        <v>276</v>
      </c>
      <c r="B284" s="220" t="s">
        <v>1823</v>
      </c>
      <c r="C284" s="221" t="s">
        <v>5598</v>
      </c>
      <c r="D284" s="240" t="s">
        <v>5533</v>
      </c>
      <c r="E284" s="231" t="s">
        <v>1688</v>
      </c>
      <c r="F284" s="231" t="s">
        <v>407</v>
      </c>
      <c r="G284" s="223">
        <v>658</v>
      </c>
      <c r="H284" s="341">
        <v>0.4</v>
      </c>
      <c r="I284" s="219"/>
    </row>
    <row r="285" spans="1:9" s="230" customFormat="1">
      <c r="A285" s="542">
        <f t="shared" si="4"/>
        <v>277</v>
      </c>
      <c r="B285" s="220" t="s">
        <v>1824</v>
      </c>
      <c r="C285" s="221" t="s">
        <v>5598</v>
      </c>
      <c r="D285" s="240" t="s">
        <v>5533</v>
      </c>
      <c r="E285" s="231" t="s">
        <v>1688</v>
      </c>
      <c r="F285" s="231" t="s">
        <v>407</v>
      </c>
      <c r="G285" s="223">
        <v>638</v>
      </c>
      <c r="H285" s="341">
        <v>0.45</v>
      </c>
      <c r="I285" s="219"/>
    </row>
    <row r="286" spans="1:9" s="230" customFormat="1">
      <c r="A286" s="542">
        <f t="shared" si="4"/>
        <v>278</v>
      </c>
      <c r="B286" s="220" t="s">
        <v>1825</v>
      </c>
      <c r="C286" s="221" t="s">
        <v>5598</v>
      </c>
      <c r="D286" s="240" t="s">
        <v>5533</v>
      </c>
      <c r="E286" s="231" t="s">
        <v>1688</v>
      </c>
      <c r="F286" s="231" t="s">
        <v>407</v>
      </c>
      <c r="G286" s="223">
        <v>787</v>
      </c>
      <c r="H286" s="341">
        <v>0.45</v>
      </c>
      <c r="I286" s="219"/>
    </row>
    <row r="287" spans="1:9" s="230" customFormat="1">
      <c r="A287" s="542">
        <f t="shared" si="4"/>
        <v>279</v>
      </c>
      <c r="B287" s="220" t="s">
        <v>1826</v>
      </c>
      <c r="C287" s="221" t="s">
        <v>5594</v>
      </c>
      <c r="D287" s="240" t="s">
        <v>5533</v>
      </c>
      <c r="E287" s="231" t="s">
        <v>1689</v>
      </c>
      <c r="F287" s="231" t="s">
        <v>407</v>
      </c>
      <c r="G287" s="223">
        <v>470</v>
      </c>
      <c r="H287" s="341">
        <v>0.5</v>
      </c>
      <c r="I287" s="219"/>
    </row>
    <row r="288" spans="1:9" s="230" customFormat="1">
      <c r="A288" s="542">
        <f t="shared" si="4"/>
        <v>280</v>
      </c>
      <c r="B288" s="220" t="s">
        <v>1827</v>
      </c>
      <c r="C288" s="221" t="s">
        <v>5594</v>
      </c>
      <c r="D288" s="240" t="s">
        <v>5533</v>
      </c>
      <c r="E288" s="231" t="s">
        <v>1689</v>
      </c>
      <c r="F288" s="231" t="s">
        <v>407</v>
      </c>
      <c r="G288" s="223">
        <v>682</v>
      </c>
      <c r="H288" s="341">
        <v>0.6</v>
      </c>
      <c r="I288" s="219"/>
    </row>
    <row r="289" spans="1:9" s="230" customFormat="1">
      <c r="A289" s="542">
        <f t="shared" si="4"/>
        <v>281</v>
      </c>
      <c r="B289" s="220" t="s">
        <v>1828</v>
      </c>
      <c r="C289" s="221" t="s">
        <v>5594</v>
      </c>
      <c r="D289" s="240" t="s">
        <v>5533</v>
      </c>
      <c r="E289" s="231" t="s">
        <v>1689</v>
      </c>
      <c r="F289" s="231" t="s">
        <v>407</v>
      </c>
      <c r="G289" s="223">
        <v>740</v>
      </c>
      <c r="H289" s="341">
        <v>0.6</v>
      </c>
      <c r="I289" s="219"/>
    </row>
    <row r="290" spans="1:9" s="230" customFormat="1">
      <c r="A290" s="542">
        <f t="shared" si="4"/>
        <v>282</v>
      </c>
      <c r="B290" s="220" t="s">
        <v>1829</v>
      </c>
      <c r="C290" s="221" t="s">
        <v>5594</v>
      </c>
      <c r="D290" s="240" t="s">
        <v>5533</v>
      </c>
      <c r="E290" s="231" t="s">
        <v>1689</v>
      </c>
      <c r="F290" s="231" t="s">
        <v>407</v>
      </c>
      <c r="G290" s="223">
        <v>595</v>
      </c>
      <c r="H290" s="341">
        <v>0.5</v>
      </c>
      <c r="I290" s="219"/>
    </row>
    <row r="291" spans="1:9" s="230" customFormat="1">
      <c r="A291" s="542">
        <f t="shared" si="4"/>
        <v>283</v>
      </c>
      <c r="B291" s="220" t="s">
        <v>1830</v>
      </c>
      <c r="C291" s="221" t="s">
        <v>5594</v>
      </c>
      <c r="D291" s="240" t="s">
        <v>5533</v>
      </c>
      <c r="E291" s="231" t="s">
        <v>1689</v>
      </c>
      <c r="F291" s="231" t="s">
        <v>407</v>
      </c>
      <c r="G291" s="223">
        <v>655</v>
      </c>
      <c r="H291" s="341">
        <v>0.4</v>
      </c>
      <c r="I291" s="219"/>
    </row>
    <row r="292" spans="1:9" s="230" customFormat="1">
      <c r="A292" s="542">
        <f t="shared" si="4"/>
        <v>284</v>
      </c>
      <c r="B292" s="220" t="s">
        <v>1831</v>
      </c>
      <c r="C292" s="221" t="s">
        <v>5598</v>
      </c>
      <c r="D292" s="240" t="s">
        <v>5533</v>
      </c>
      <c r="E292" s="231" t="s">
        <v>1690</v>
      </c>
      <c r="F292" s="231" t="s">
        <v>407</v>
      </c>
      <c r="G292" s="223">
        <v>1612</v>
      </c>
      <c r="H292" s="341">
        <v>0.9</v>
      </c>
      <c r="I292" s="219"/>
    </row>
    <row r="293" spans="1:9" s="230" customFormat="1">
      <c r="A293" s="542">
        <f t="shared" si="4"/>
        <v>285</v>
      </c>
      <c r="B293" s="220" t="s">
        <v>1832</v>
      </c>
      <c r="C293" s="221" t="s">
        <v>5598</v>
      </c>
      <c r="D293" s="240" t="s">
        <v>5533</v>
      </c>
      <c r="E293" s="231" t="s">
        <v>1690</v>
      </c>
      <c r="F293" s="231" t="s">
        <v>407</v>
      </c>
      <c r="G293" s="223">
        <v>900</v>
      </c>
      <c r="H293" s="341">
        <v>0.45</v>
      </c>
      <c r="I293" s="219"/>
    </row>
    <row r="294" spans="1:9" s="230" customFormat="1">
      <c r="A294" s="542">
        <f t="shared" si="4"/>
        <v>286</v>
      </c>
      <c r="B294" s="220" t="s">
        <v>1833</v>
      </c>
      <c r="C294" s="221" t="s">
        <v>5598</v>
      </c>
      <c r="D294" s="240" t="s">
        <v>5533</v>
      </c>
      <c r="E294" s="231" t="s">
        <v>1690</v>
      </c>
      <c r="F294" s="231" t="s">
        <v>407</v>
      </c>
      <c r="G294" s="223">
        <v>850</v>
      </c>
      <c r="H294" s="341">
        <v>0.7</v>
      </c>
      <c r="I294" s="219"/>
    </row>
    <row r="295" spans="1:9" s="230" customFormat="1">
      <c r="A295" s="542">
        <f t="shared" si="4"/>
        <v>287</v>
      </c>
      <c r="B295" s="220" t="s">
        <v>1834</v>
      </c>
      <c r="C295" s="221" t="s">
        <v>5598</v>
      </c>
      <c r="D295" s="240" t="s">
        <v>5533</v>
      </c>
      <c r="E295" s="231" t="s">
        <v>1690</v>
      </c>
      <c r="F295" s="231" t="s">
        <v>407</v>
      </c>
      <c r="G295" s="223">
        <v>974</v>
      </c>
      <c r="H295" s="341">
        <v>1.9</v>
      </c>
      <c r="I295" s="219"/>
    </row>
    <row r="296" spans="1:9" s="230" customFormat="1">
      <c r="A296" s="542">
        <f t="shared" si="4"/>
        <v>288</v>
      </c>
      <c r="B296" s="220" t="s">
        <v>1835</v>
      </c>
      <c r="C296" s="221" t="s">
        <v>5598</v>
      </c>
      <c r="D296" s="240" t="s">
        <v>5533</v>
      </c>
      <c r="E296" s="231" t="s">
        <v>1691</v>
      </c>
      <c r="F296" s="231" t="s">
        <v>407</v>
      </c>
      <c r="G296" s="223">
        <v>467</v>
      </c>
      <c r="H296" s="341">
        <v>0.4</v>
      </c>
      <c r="I296" s="219"/>
    </row>
    <row r="297" spans="1:9" s="230" customFormat="1">
      <c r="A297" s="542">
        <f t="shared" si="4"/>
        <v>289</v>
      </c>
      <c r="B297" s="220" t="s">
        <v>1836</v>
      </c>
      <c r="C297" s="221" t="s">
        <v>5598</v>
      </c>
      <c r="D297" s="240" t="s">
        <v>5533</v>
      </c>
      <c r="E297" s="231" t="s">
        <v>1691</v>
      </c>
      <c r="F297" s="231" t="s">
        <v>407</v>
      </c>
      <c r="G297" s="223">
        <v>805</v>
      </c>
      <c r="H297" s="341">
        <v>0.4</v>
      </c>
      <c r="I297" s="219"/>
    </row>
    <row r="298" spans="1:9" s="230" customFormat="1">
      <c r="A298" s="542">
        <f t="shared" si="4"/>
        <v>290</v>
      </c>
      <c r="B298" s="220" t="s">
        <v>1837</v>
      </c>
      <c r="C298" s="221" t="s">
        <v>5598</v>
      </c>
      <c r="D298" s="240" t="s">
        <v>5533</v>
      </c>
      <c r="E298" s="231" t="s">
        <v>1691</v>
      </c>
      <c r="F298" s="231" t="s">
        <v>407</v>
      </c>
      <c r="G298" s="223">
        <v>580</v>
      </c>
      <c r="H298" s="341">
        <v>0.5</v>
      </c>
      <c r="I298" s="219"/>
    </row>
    <row r="299" spans="1:9" s="230" customFormat="1">
      <c r="A299" s="542">
        <f t="shared" si="4"/>
        <v>291</v>
      </c>
      <c r="B299" s="220" t="s">
        <v>1838</v>
      </c>
      <c r="C299" s="221" t="s">
        <v>5598</v>
      </c>
      <c r="D299" s="240" t="s">
        <v>5533</v>
      </c>
      <c r="E299" s="231" t="s">
        <v>1691</v>
      </c>
      <c r="F299" s="231" t="s">
        <v>407</v>
      </c>
      <c r="G299" s="223">
        <v>785</v>
      </c>
      <c r="H299" s="341">
        <v>0.45</v>
      </c>
      <c r="I299" s="219"/>
    </row>
    <row r="300" spans="1:9" s="230" customFormat="1">
      <c r="A300" s="542">
        <f t="shared" si="4"/>
        <v>292</v>
      </c>
      <c r="B300" s="220" t="s">
        <v>1839</v>
      </c>
      <c r="C300" s="221" t="s">
        <v>5598</v>
      </c>
      <c r="D300" s="240" t="s">
        <v>5533</v>
      </c>
      <c r="E300" s="231" t="s">
        <v>1691</v>
      </c>
      <c r="F300" s="231" t="s">
        <v>407</v>
      </c>
      <c r="G300" s="223">
        <v>606</v>
      </c>
      <c r="H300" s="341">
        <v>0.45</v>
      </c>
      <c r="I300" s="219"/>
    </row>
    <row r="301" spans="1:9" s="230" customFormat="1">
      <c r="A301" s="542">
        <f t="shared" si="4"/>
        <v>293</v>
      </c>
      <c r="B301" s="220" t="s">
        <v>1840</v>
      </c>
      <c r="C301" s="221" t="s">
        <v>5598</v>
      </c>
      <c r="D301" s="240" t="s">
        <v>5533</v>
      </c>
      <c r="E301" s="231" t="s">
        <v>1691</v>
      </c>
      <c r="F301" s="231" t="s">
        <v>407</v>
      </c>
      <c r="G301" s="223">
        <v>785</v>
      </c>
      <c r="H301" s="341">
        <v>0.45</v>
      </c>
      <c r="I301" s="219"/>
    </row>
    <row r="302" spans="1:9" s="230" customFormat="1">
      <c r="A302" s="542">
        <f t="shared" si="4"/>
        <v>294</v>
      </c>
      <c r="B302" s="220" t="s">
        <v>1841</v>
      </c>
      <c r="C302" s="221" t="s">
        <v>5598</v>
      </c>
      <c r="D302" s="240" t="s">
        <v>5533</v>
      </c>
      <c r="E302" s="231" t="s">
        <v>1691</v>
      </c>
      <c r="F302" s="231" t="s">
        <v>407</v>
      </c>
      <c r="G302" s="223">
        <v>785</v>
      </c>
      <c r="H302" s="341">
        <v>0.45</v>
      </c>
      <c r="I302" s="219"/>
    </row>
    <row r="303" spans="1:9" s="230" customFormat="1">
      <c r="A303" s="542">
        <f t="shared" si="4"/>
        <v>295</v>
      </c>
      <c r="B303" s="220" t="s">
        <v>1842</v>
      </c>
      <c r="C303" s="221" t="s">
        <v>5598</v>
      </c>
      <c r="D303" s="240" t="s">
        <v>5533</v>
      </c>
      <c r="E303" s="231" t="s">
        <v>1692</v>
      </c>
      <c r="F303" s="231" t="s">
        <v>407</v>
      </c>
      <c r="G303" s="223">
        <v>650</v>
      </c>
      <c r="H303" s="341" t="s">
        <v>8256</v>
      </c>
      <c r="I303" s="219"/>
    </row>
    <row r="304" spans="1:9" s="230" customFormat="1">
      <c r="A304" s="542">
        <f t="shared" si="4"/>
        <v>296</v>
      </c>
      <c r="B304" s="220" t="s">
        <v>1843</v>
      </c>
      <c r="C304" s="221" t="s">
        <v>5598</v>
      </c>
      <c r="D304" s="240" t="s">
        <v>5533</v>
      </c>
      <c r="E304" s="231" t="s">
        <v>1692</v>
      </c>
      <c r="F304" s="231" t="s">
        <v>407</v>
      </c>
      <c r="G304" s="223">
        <v>2460</v>
      </c>
      <c r="H304" s="341" t="s">
        <v>8257</v>
      </c>
      <c r="I304" s="219"/>
    </row>
    <row r="305" spans="1:9" s="230" customFormat="1">
      <c r="A305" s="542">
        <f t="shared" si="4"/>
        <v>297</v>
      </c>
      <c r="B305" s="220" t="s">
        <v>1844</v>
      </c>
      <c r="C305" s="221" t="s">
        <v>5598</v>
      </c>
      <c r="D305" s="240" t="s">
        <v>5533</v>
      </c>
      <c r="E305" s="231" t="s">
        <v>1692</v>
      </c>
      <c r="F305" s="231" t="s">
        <v>407</v>
      </c>
      <c r="G305" s="223">
        <v>2780</v>
      </c>
      <c r="H305" s="341" t="s">
        <v>8258</v>
      </c>
      <c r="I305" s="219"/>
    </row>
    <row r="306" spans="1:9" s="230" customFormat="1">
      <c r="A306" s="542">
        <f t="shared" si="4"/>
        <v>298</v>
      </c>
      <c r="B306" s="220" t="s">
        <v>1845</v>
      </c>
      <c r="C306" s="221" t="s">
        <v>5627</v>
      </c>
      <c r="D306" s="240" t="s">
        <v>5533</v>
      </c>
      <c r="E306" s="231" t="s">
        <v>1692</v>
      </c>
      <c r="F306" s="231" t="s">
        <v>407</v>
      </c>
      <c r="G306" s="223">
        <v>1660</v>
      </c>
      <c r="H306" s="341" t="s">
        <v>8259</v>
      </c>
      <c r="I306" s="219"/>
    </row>
    <row r="307" spans="1:9" s="230" customFormat="1">
      <c r="A307" s="542">
        <f t="shared" si="4"/>
        <v>299</v>
      </c>
      <c r="B307" s="220" t="s">
        <v>1846</v>
      </c>
      <c r="C307" s="221" t="s">
        <v>5598</v>
      </c>
      <c r="D307" s="240" t="s">
        <v>5533</v>
      </c>
      <c r="E307" s="231" t="s">
        <v>1692</v>
      </c>
      <c r="F307" s="231" t="s">
        <v>407</v>
      </c>
      <c r="G307" s="223">
        <v>2460</v>
      </c>
      <c r="H307" s="341">
        <v>3.15</v>
      </c>
      <c r="I307" s="219"/>
    </row>
    <row r="308" spans="1:9" s="230" customFormat="1">
      <c r="A308" s="542">
        <f t="shared" si="4"/>
        <v>300</v>
      </c>
      <c r="B308" s="220" t="s">
        <v>1847</v>
      </c>
      <c r="C308" s="221" t="s">
        <v>5598</v>
      </c>
      <c r="D308" s="240" t="s">
        <v>5533</v>
      </c>
      <c r="E308" s="231" t="s">
        <v>1692</v>
      </c>
      <c r="F308" s="231" t="s">
        <v>407</v>
      </c>
      <c r="G308" s="223">
        <v>600</v>
      </c>
      <c r="H308" s="341">
        <v>0.5</v>
      </c>
      <c r="I308" s="219"/>
    </row>
    <row r="309" spans="1:9" s="230" customFormat="1">
      <c r="A309" s="542">
        <f t="shared" si="4"/>
        <v>301</v>
      </c>
      <c r="B309" s="220" t="s">
        <v>1848</v>
      </c>
      <c r="C309" s="221" t="s">
        <v>641</v>
      </c>
      <c r="D309" s="240" t="s">
        <v>5533</v>
      </c>
      <c r="E309" s="231" t="s">
        <v>1692</v>
      </c>
      <c r="F309" s="231" t="s">
        <v>407</v>
      </c>
      <c r="G309" s="223">
        <v>556</v>
      </c>
      <c r="H309" s="341">
        <v>0.5</v>
      </c>
      <c r="I309" s="219"/>
    </row>
    <row r="310" spans="1:9" s="230" customFormat="1">
      <c r="A310" s="542">
        <f t="shared" si="4"/>
        <v>302</v>
      </c>
      <c r="B310" s="220" t="s">
        <v>1850</v>
      </c>
      <c r="C310" s="221" t="s">
        <v>641</v>
      </c>
      <c r="D310" s="240" t="s">
        <v>5533</v>
      </c>
      <c r="E310" s="231" t="s">
        <v>1692</v>
      </c>
      <c r="F310" s="231" t="s">
        <v>407</v>
      </c>
      <c r="G310" s="223">
        <v>2424</v>
      </c>
      <c r="H310" s="341">
        <v>2.7</v>
      </c>
      <c r="I310" s="219"/>
    </row>
    <row r="311" spans="1:9" s="230" customFormat="1">
      <c r="A311" s="542">
        <f t="shared" ref="A311:A330" si="5">A310+1</f>
        <v>303</v>
      </c>
      <c r="B311" s="220" t="s">
        <v>1851</v>
      </c>
      <c r="C311" s="221" t="s">
        <v>641</v>
      </c>
      <c r="D311" s="240" t="s">
        <v>5533</v>
      </c>
      <c r="E311" s="231" t="s">
        <v>1692</v>
      </c>
      <c r="F311" s="231" t="s">
        <v>407</v>
      </c>
      <c r="G311" s="223">
        <v>1932</v>
      </c>
      <c r="H311" s="341">
        <v>2.7</v>
      </c>
      <c r="I311" s="219"/>
    </row>
    <row r="312" spans="1:9" s="230" customFormat="1">
      <c r="A312" s="542">
        <f t="shared" si="5"/>
        <v>304</v>
      </c>
      <c r="B312" s="220" t="s">
        <v>1852</v>
      </c>
      <c r="C312" s="221" t="s">
        <v>641</v>
      </c>
      <c r="D312" s="240" t="s">
        <v>5533</v>
      </c>
      <c r="E312" s="231" t="s">
        <v>1692</v>
      </c>
      <c r="F312" s="231" t="s">
        <v>407</v>
      </c>
      <c r="G312" s="223">
        <v>700</v>
      </c>
      <c r="H312" s="341">
        <v>1</v>
      </c>
      <c r="I312" s="219"/>
    </row>
    <row r="313" spans="1:9" s="230" customFormat="1">
      <c r="A313" s="542">
        <f t="shared" si="5"/>
        <v>305</v>
      </c>
      <c r="B313" s="220" t="s">
        <v>1857</v>
      </c>
      <c r="C313" s="221" t="s">
        <v>5603</v>
      </c>
      <c r="D313" s="240" t="s">
        <v>5533</v>
      </c>
      <c r="E313" s="231" t="s">
        <v>1694</v>
      </c>
      <c r="F313" s="231" t="s">
        <v>407</v>
      </c>
      <c r="G313" s="223">
        <v>1102</v>
      </c>
      <c r="H313" s="341">
        <v>0.45</v>
      </c>
      <c r="I313" s="219"/>
    </row>
    <row r="314" spans="1:9" s="230" customFormat="1">
      <c r="A314" s="542">
        <f t="shared" si="5"/>
        <v>306</v>
      </c>
      <c r="B314" s="220" t="s">
        <v>5628</v>
      </c>
      <c r="C314" s="221" t="s">
        <v>5594</v>
      </c>
      <c r="D314" s="240" t="s">
        <v>5533</v>
      </c>
      <c r="E314" s="231" t="s">
        <v>1699</v>
      </c>
      <c r="F314" s="231" t="s">
        <v>407</v>
      </c>
      <c r="G314" s="223">
        <v>335</v>
      </c>
      <c r="H314" s="341">
        <v>0.45</v>
      </c>
      <c r="I314" s="219"/>
    </row>
    <row r="315" spans="1:9" s="230" customFormat="1">
      <c r="A315" s="542">
        <f t="shared" si="5"/>
        <v>307</v>
      </c>
      <c r="B315" s="220" t="s">
        <v>5629</v>
      </c>
      <c r="C315" s="221" t="s">
        <v>5594</v>
      </c>
      <c r="D315" s="240" t="s">
        <v>5533</v>
      </c>
      <c r="E315" s="231" t="s">
        <v>1697</v>
      </c>
      <c r="F315" s="231" t="s">
        <v>407</v>
      </c>
      <c r="G315" s="223">
        <v>345</v>
      </c>
      <c r="H315" s="341">
        <v>0.4</v>
      </c>
      <c r="I315" s="219"/>
    </row>
    <row r="316" spans="1:9" s="230" customFormat="1">
      <c r="A316" s="542">
        <f t="shared" si="5"/>
        <v>308</v>
      </c>
      <c r="B316" s="220" t="s">
        <v>5630</v>
      </c>
      <c r="C316" s="221" t="s">
        <v>5594</v>
      </c>
      <c r="D316" s="240" t="s">
        <v>5533</v>
      </c>
      <c r="E316" s="231" t="s">
        <v>1697</v>
      </c>
      <c r="F316" s="231" t="s">
        <v>407</v>
      </c>
      <c r="G316" s="223">
        <v>226</v>
      </c>
      <c r="H316" s="341">
        <v>0.4</v>
      </c>
      <c r="I316" s="219"/>
    </row>
    <row r="317" spans="1:9" s="230" customFormat="1">
      <c r="A317" s="542">
        <f t="shared" si="5"/>
        <v>309</v>
      </c>
      <c r="B317" s="220" t="s">
        <v>5631</v>
      </c>
      <c r="C317" s="221" t="s">
        <v>5594</v>
      </c>
      <c r="D317" s="240" t="s">
        <v>5533</v>
      </c>
      <c r="E317" s="231" t="s">
        <v>1697</v>
      </c>
      <c r="F317" s="231" t="s">
        <v>407</v>
      </c>
      <c r="G317" s="223">
        <v>221</v>
      </c>
      <c r="H317" s="341">
        <v>0.4</v>
      </c>
      <c r="I317" s="219"/>
    </row>
    <row r="318" spans="1:9" s="230" customFormat="1">
      <c r="A318" s="542">
        <f t="shared" si="5"/>
        <v>310</v>
      </c>
      <c r="B318" s="220" t="s">
        <v>5632</v>
      </c>
      <c r="C318" s="221" t="s">
        <v>5594</v>
      </c>
      <c r="D318" s="240" t="s">
        <v>5533</v>
      </c>
      <c r="E318" s="231" t="s">
        <v>1698</v>
      </c>
      <c r="F318" s="231" t="s">
        <v>407</v>
      </c>
      <c r="G318" s="223">
        <v>280</v>
      </c>
      <c r="H318" s="341">
        <v>0.4</v>
      </c>
      <c r="I318" s="219"/>
    </row>
    <row r="319" spans="1:9" s="230" customFormat="1">
      <c r="A319" s="542">
        <f t="shared" si="5"/>
        <v>311</v>
      </c>
      <c r="B319" s="220" t="s">
        <v>5633</v>
      </c>
      <c r="C319" s="221" t="s">
        <v>5594</v>
      </c>
      <c r="D319" s="240" t="s">
        <v>5533</v>
      </c>
      <c r="E319" s="231" t="s">
        <v>1698</v>
      </c>
      <c r="F319" s="231" t="s">
        <v>407</v>
      </c>
      <c r="G319" s="223">
        <v>239</v>
      </c>
      <c r="H319" s="341">
        <v>0.4</v>
      </c>
      <c r="I319" s="219"/>
    </row>
    <row r="320" spans="1:9" s="230" customFormat="1">
      <c r="A320" s="542">
        <f t="shared" si="5"/>
        <v>312</v>
      </c>
      <c r="B320" s="220" t="s">
        <v>1858</v>
      </c>
      <c r="C320" s="221" t="s">
        <v>5594</v>
      </c>
      <c r="D320" s="240" t="s">
        <v>5533</v>
      </c>
      <c r="E320" s="231" t="s">
        <v>1702</v>
      </c>
      <c r="F320" s="231" t="s">
        <v>407</v>
      </c>
      <c r="G320" s="223">
        <v>1295</v>
      </c>
      <c r="H320" s="341">
        <v>0.5</v>
      </c>
      <c r="I320" s="219"/>
    </row>
    <row r="321" spans="1:9" s="230" customFormat="1">
      <c r="A321" s="542">
        <f t="shared" si="5"/>
        <v>313</v>
      </c>
      <c r="B321" s="220" t="s">
        <v>1859</v>
      </c>
      <c r="C321" s="221" t="s">
        <v>5594</v>
      </c>
      <c r="D321" s="240" t="s">
        <v>5533</v>
      </c>
      <c r="E321" s="231" t="s">
        <v>1702</v>
      </c>
      <c r="F321" s="231" t="s">
        <v>407</v>
      </c>
      <c r="G321" s="223">
        <v>1630</v>
      </c>
      <c r="H321" s="341">
        <v>0.6</v>
      </c>
      <c r="I321" s="219"/>
    </row>
    <row r="322" spans="1:9" s="230" customFormat="1">
      <c r="A322" s="542">
        <f t="shared" si="5"/>
        <v>314</v>
      </c>
      <c r="B322" s="220" t="s">
        <v>1860</v>
      </c>
      <c r="C322" s="221" t="s">
        <v>5594</v>
      </c>
      <c r="D322" s="240" t="s">
        <v>5533</v>
      </c>
      <c r="E322" s="231" t="s">
        <v>1702</v>
      </c>
      <c r="F322" s="231" t="s">
        <v>407</v>
      </c>
      <c r="G322" s="223">
        <v>600</v>
      </c>
      <c r="H322" s="341">
        <v>0.45</v>
      </c>
      <c r="I322" s="219"/>
    </row>
    <row r="323" spans="1:9" s="230" customFormat="1">
      <c r="A323" s="542">
        <f t="shared" si="5"/>
        <v>315</v>
      </c>
      <c r="B323" s="317" t="s">
        <v>5634</v>
      </c>
      <c r="C323" s="221" t="s">
        <v>5594</v>
      </c>
      <c r="D323" s="240" t="s">
        <v>5533</v>
      </c>
      <c r="E323" s="231" t="s">
        <v>1702</v>
      </c>
      <c r="F323" s="231" t="s">
        <v>407</v>
      </c>
      <c r="G323" s="223">
        <v>790</v>
      </c>
      <c r="H323" s="341">
        <v>2.1</v>
      </c>
      <c r="I323" s="219"/>
    </row>
    <row r="324" spans="1:9" s="230" customFormat="1">
      <c r="A324" s="542">
        <f t="shared" si="5"/>
        <v>316</v>
      </c>
      <c r="B324" s="220" t="s">
        <v>1861</v>
      </c>
      <c r="C324" s="221" t="s">
        <v>5594</v>
      </c>
      <c r="D324" s="240" t="s">
        <v>5533</v>
      </c>
      <c r="E324" s="231" t="s">
        <v>1702</v>
      </c>
      <c r="F324" s="231" t="s">
        <v>407</v>
      </c>
      <c r="G324" s="223">
        <v>1389</v>
      </c>
      <c r="H324" s="341">
        <v>0.7</v>
      </c>
      <c r="I324" s="219"/>
    </row>
    <row r="325" spans="1:9" s="230" customFormat="1">
      <c r="A325" s="542">
        <f t="shared" si="5"/>
        <v>317</v>
      </c>
      <c r="B325" s="220" t="s">
        <v>1862</v>
      </c>
      <c r="C325" s="221" t="s">
        <v>5594</v>
      </c>
      <c r="D325" s="240" t="s">
        <v>5533</v>
      </c>
      <c r="E325" s="231" t="s">
        <v>1702</v>
      </c>
      <c r="F325" s="231" t="s">
        <v>407</v>
      </c>
      <c r="G325" s="223">
        <v>1982</v>
      </c>
      <c r="H325" s="341">
        <v>0.8</v>
      </c>
      <c r="I325" s="219"/>
    </row>
    <row r="326" spans="1:9" s="230" customFormat="1">
      <c r="A326" s="542">
        <f t="shared" si="5"/>
        <v>318</v>
      </c>
      <c r="B326" s="220" t="s">
        <v>1863</v>
      </c>
      <c r="C326" s="221" t="s">
        <v>5592</v>
      </c>
      <c r="D326" s="240" t="s">
        <v>5533</v>
      </c>
      <c r="E326" s="231" t="s">
        <v>1702</v>
      </c>
      <c r="F326" s="231" t="s">
        <v>407</v>
      </c>
      <c r="G326" s="223">
        <v>1966</v>
      </c>
      <c r="H326" s="341" t="s">
        <v>8260</v>
      </c>
      <c r="I326" s="219"/>
    </row>
    <row r="327" spans="1:9" s="230" customFormat="1">
      <c r="A327" s="542">
        <f t="shared" si="5"/>
        <v>319</v>
      </c>
      <c r="B327" s="220" t="s">
        <v>1864</v>
      </c>
      <c r="C327" s="221" t="s">
        <v>5594</v>
      </c>
      <c r="D327" s="240" t="s">
        <v>5533</v>
      </c>
      <c r="E327" s="231" t="s">
        <v>1702</v>
      </c>
      <c r="F327" s="231" t="s">
        <v>407</v>
      </c>
      <c r="G327" s="223">
        <v>1120</v>
      </c>
      <c r="H327" s="341">
        <v>0.5</v>
      </c>
      <c r="I327" s="219"/>
    </row>
    <row r="328" spans="1:9" s="230" customFormat="1">
      <c r="A328" s="542">
        <f t="shared" si="5"/>
        <v>320</v>
      </c>
      <c r="B328" s="220" t="s">
        <v>1865</v>
      </c>
      <c r="C328" s="221" t="s">
        <v>5592</v>
      </c>
      <c r="D328" s="240" t="s">
        <v>5533</v>
      </c>
      <c r="E328" s="231" t="s">
        <v>1702</v>
      </c>
      <c r="F328" s="231" t="s">
        <v>407</v>
      </c>
      <c r="G328" s="223">
        <v>1300</v>
      </c>
      <c r="H328" s="341">
        <v>0.6</v>
      </c>
      <c r="I328" s="219"/>
    </row>
    <row r="329" spans="1:9" s="230" customFormat="1">
      <c r="A329" s="542">
        <f t="shared" si="5"/>
        <v>321</v>
      </c>
      <c r="B329" s="220" t="s">
        <v>1866</v>
      </c>
      <c r="C329" s="221" t="s">
        <v>5594</v>
      </c>
      <c r="D329" s="240" t="s">
        <v>5533</v>
      </c>
      <c r="E329" s="231" t="s">
        <v>1702</v>
      </c>
      <c r="F329" s="231" t="s">
        <v>407</v>
      </c>
      <c r="G329" s="223">
        <v>581</v>
      </c>
      <c r="H329" s="341">
        <v>0.5</v>
      </c>
      <c r="I329" s="219"/>
    </row>
    <row r="330" spans="1:9" s="230" customFormat="1">
      <c r="A330" s="542">
        <f t="shared" si="5"/>
        <v>322</v>
      </c>
      <c r="B330" s="220" t="s">
        <v>1867</v>
      </c>
      <c r="C330" s="221" t="s">
        <v>5592</v>
      </c>
      <c r="D330" s="240" t="s">
        <v>5533</v>
      </c>
      <c r="E330" s="231" t="s">
        <v>1702</v>
      </c>
      <c r="F330" s="231" t="s">
        <v>407</v>
      </c>
      <c r="G330" s="223">
        <v>265</v>
      </c>
      <c r="H330" s="341">
        <v>0.4</v>
      </c>
      <c r="I330" s="219"/>
    </row>
    <row r="331" spans="1:9" s="230" customFormat="1">
      <c r="A331" s="542">
        <f t="shared" ref="A331:A392" si="6">A330+1</f>
        <v>323</v>
      </c>
      <c r="B331" s="220" t="s">
        <v>1868</v>
      </c>
      <c r="C331" s="221" t="s">
        <v>5594</v>
      </c>
      <c r="D331" s="240" t="s">
        <v>5533</v>
      </c>
      <c r="E331" s="231" t="s">
        <v>1702</v>
      </c>
      <c r="F331" s="231" t="s">
        <v>407</v>
      </c>
      <c r="G331" s="223">
        <v>710</v>
      </c>
      <c r="H331" s="341">
        <v>0.6</v>
      </c>
      <c r="I331" s="219"/>
    </row>
    <row r="332" spans="1:9" s="230" customFormat="1">
      <c r="A332" s="542">
        <f t="shared" si="6"/>
        <v>324</v>
      </c>
      <c r="B332" s="220" t="s">
        <v>1869</v>
      </c>
      <c r="C332" s="221" t="s">
        <v>5592</v>
      </c>
      <c r="D332" s="240" t="s">
        <v>5533</v>
      </c>
      <c r="E332" s="231" t="s">
        <v>1702</v>
      </c>
      <c r="F332" s="231" t="s">
        <v>407</v>
      </c>
      <c r="G332" s="223">
        <v>317</v>
      </c>
      <c r="H332" s="341">
        <v>0.45</v>
      </c>
      <c r="I332" s="219"/>
    </row>
    <row r="333" spans="1:9" s="230" customFormat="1">
      <c r="A333" s="542">
        <f t="shared" si="6"/>
        <v>325</v>
      </c>
      <c r="B333" s="220" t="s">
        <v>1870</v>
      </c>
      <c r="C333" s="221" t="s">
        <v>5594</v>
      </c>
      <c r="D333" s="240" t="s">
        <v>5533</v>
      </c>
      <c r="E333" s="231" t="s">
        <v>1702</v>
      </c>
      <c r="F333" s="231" t="s">
        <v>407</v>
      </c>
      <c r="G333" s="223">
        <v>780</v>
      </c>
      <c r="H333" s="341">
        <v>0.6</v>
      </c>
      <c r="I333" s="219"/>
    </row>
    <row r="334" spans="1:9" s="230" customFormat="1">
      <c r="A334" s="542">
        <f t="shared" si="6"/>
        <v>326</v>
      </c>
      <c r="B334" s="220" t="s">
        <v>1871</v>
      </c>
      <c r="C334" s="221" t="s">
        <v>5594</v>
      </c>
      <c r="D334" s="240" t="s">
        <v>5533</v>
      </c>
      <c r="E334" s="231" t="s">
        <v>1702</v>
      </c>
      <c r="F334" s="231" t="s">
        <v>407</v>
      </c>
      <c r="G334" s="223">
        <v>827</v>
      </c>
      <c r="H334" s="341">
        <v>0.5</v>
      </c>
      <c r="I334" s="219"/>
    </row>
    <row r="335" spans="1:9" s="230" customFormat="1">
      <c r="A335" s="542">
        <f t="shared" si="6"/>
        <v>327</v>
      </c>
      <c r="B335" s="220" t="s">
        <v>5635</v>
      </c>
      <c r="C335" s="221" t="s">
        <v>5592</v>
      </c>
      <c r="D335" s="240" t="s">
        <v>5533</v>
      </c>
      <c r="E335" s="231" t="s">
        <v>1702</v>
      </c>
      <c r="F335" s="231" t="s">
        <v>407</v>
      </c>
      <c r="G335" s="223">
        <v>100</v>
      </c>
      <c r="H335" s="341">
        <v>0.4</v>
      </c>
      <c r="I335" s="219"/>
    </row>
    <row r="336" spans="1:9" s="230" customFormat="1">
      <c r="A336" s="542">
        <f t="shared" si="6"/>
        <v>328</v>
      </c>
      <c r="B336" s="220" t="s">
        <v>1872</v>
      </c>
      <c r="C336" s="221" t="s">
        <v>5594</v>
      </c>
      <c r="D336" s="240" t="s">
        <v>5533</v>
      </c>
      <c r="E336" s="231" t="s">
        <v>1702</v>
      </c>
      <c r="F336" s="231" t="s">
        <v>407</v>
      </c>
      <c r="G336" s="223">
        <v>774</v>
      </c>
      <c r="H336" s="341">
        <v>0.6</v>
      </c>
      <c r="I336" s="219"/>
    </row>
    <row r="337" spans="1:9" s="230" customFormat="1">
      <c r="A337" s="542">
        <f t="shared" si="6"/>
        <v>329</v>
      </c>
      <c r="B337" s="220" t="s">
        <v>5636</v>
      </c>
      <c r="C337" s="221" t="s">
        <v>5592</v>
      </c>
      <c r="D337" s="240" t="s">
        <v>5533</v>
      </c>
      <c r="E337" s="231" t="s">
        <v>1702</v>
      </c>
      <c r="F337" s="231" t="s">
        <v>407</v>
      </c>
      <c r="G337" s="223">
        <v>50</v>
      </c>
      <c r="H337" s="341">
        <v>0.4</v>
      </c>
      <c r="I337" s="219"/>
    </row>
    <row r="338" spans="1:9" s="230" customFormat="1">
      <c r="A338" s="542">
        <f t="shared" si="6"/>
        <v>330</v>
      </c>
      <c r="B338" s="220" t="s">
        <v>1873</v>
      </c>
      <c r="C338" s="221" t="s">
        <v>5594</v>
      </c>
      <c r="D338" s="240" t="s">
        <v>5533</v>
      </c>
      <c r="E338" s="231" t="s">
        <v>1702</v>
      </c>
      <c r="F338" s="231" t="s">
        <v>407</v>
      </c>
      <c r="G338" s="223">
        <v>824</v>
      </c>
      <c r="H338" s="341">
        <v>0.5</v>
      </c>
      <c r="I338" s="219"/>
    </row>
    <row r="339" spans="1:9" s="230" customFormat="1">
      <c r="A339" s="542">
        <f t="shared" si="6"/>
        <v>331</v>
      </c>
      <c r="B339" s="220" t="s">
        <v>1874</v>
      </c>
      <c r="C339" s="221" t="s">
        <v>5594</v>
      </c>
      <c r="D339" s="240" t="s">
        <v>5533</v>
      </c>
      <c r="E339" s="231" t="s">
        <v>1702</v>
      </c>
      <c r="F339" s="231" t="s">
        <v>407</v>
      </c>
      <c r="G339" s="223">
        <v>460</v>
      </c>
      <c r="H339" s="341">
        <v>0.45</v>
      </c>
      <c r="I339" s="219"/>
    </row>
    <row r="340" spans="1:9" s="230" customFormat="1">
      <c r="A340" s="542">
        <f t="shared" si="6"/>
        <v>332</v>
      </c>
      <c r="B340" s="220" t="s">
        <v>1875</v>
      </c>
      <c r="C340" s="221" t="s">
        <v>5594</v>
      </c>
      <c r="D340" s="240" t="s">
        <v>5533</v>
      </c>
      <c r="E340" s="231" t="s">
        <v>1702</v>
      </c>
      <c r="F340" s="231" t="s">
        <v>407</v>
      </c>
      <c r="G340" s="223">
        <v>455</v>
      </c>
      <c r="H340" s="341">
        <v>0.5</v>
      </c>
      <c r="I340" s="219"/>
    </row>
    <row r="341" spans="1:9" s="230" customFormat="1">
      <c r="A341" s="542">
        <f t="shared" si="6"/>
        <v>333</v>
      </c>
      <c r="B341" s="220" t="s">
        <v>1876</v>
      </c>
      <c r="C341" s="221" t="s">
        <v>5592</v>
      </c>
      <c r="D341" s="240" t="s">
        <v>5533</v>
      </c>
      <c r="E341" s="231" t="s">
        <v>1702</v>
      </c>
      <c r="F341" s="231" t="s">
        <v>407</v>
      </c>
      <c r="G341" s="223">
        <v>288</v>
      </c>
      <c r="H341" s="341">
        <v>0.5</v>
      </c>
      <c r="I341" s="219"/>
    </row>
    <row r="342" spans="1:9" s="230" customFormat="1">
      <c r="A342" s="542">
        <f t="shared" si="6"/>
        <v>334</v>
      </c>
      <c r="B342" s="220" t="s">
        <v>1877</v>
      </c>
      <c r="C342" s="221" t="s">
        <v>5592</v>
      </c>
      <c r="D342" s="240" t="s">
        <v>5533</v>
      </c>
      <c r="E342" s="231" t="s">
        <v>1702</v>
      </c>
      <c r="F342" s="231" t="s">
        <v>407</v>
      </c>
      <c r="G342" s="223">
        <v>505</v>
      </c>
      <c r="H342" s="341">
        <v>0.5</v>
      </c>
      <c r="I342" s="219"/>
    </row>
    <row r="343" spans="1:9" s="230" customFormat="1">
      <c r="A343" s="542">
        <f t="shared" si="6"/>
        <v>335</v>
      </c>
      <c r="B343" s="220" t="s">
        <v>1878</v>
      </c>
      <c r="C343" s="221" t="s">
        <v>5592</v>
      </c>
      <c r="D343" s="240" t="s">
        <v>5533</v>
      </c>
      <c r="E343" s="231" t="s">
        <v>1702</v>
      </c>
      <c r="F343" s="231" t="s">
        <v>407</v>
      </c>
      <c r="G343" s="223">
        <v>480</v>
      </c>
      <c r="H343" s="341">
        <v>0.45</v>
      </c>
      <c r="I343" s="219"/>
    </row>
    <row r="344" spans="1:9" s="230" customFormat="1">
      <c r="A344" s="542">
        <f t="shared" si="6"/>
        <v>336</v>
      </c>
      <c r="B344" s="220" t="s">
        <v>1879</v>
      </c>
      <c r="C344" s="221" t="s">
        <v>5592</v>
      </c>
      <c r="D344" s="240" t="s">
        <v>5533</v>
      </c>
      <c r="E344" s="231" t="s">
        <v>1702</v>
      </c>
      <c r="F344" s="231" t="s">
        <v>407</v>
      </c>
      <c r="G344" s="223">
        <v>520</v>
      </c>
      <c r="H344" s="341">
        <v>0.45</v>
      </c>
      <c r="I344" s="219"/>
    </row>
    <row r="345" spans="1:9" s="230" customFormat="1">
      <c r="A345" s="542">
        <f t="shared" si="6"/>
        <v>337</v>
      </c>
      <c r="B345" s="220" t="s">
        <v>1880</v>
      </c>
      <c r="C345" s="221" t="s">
        <v>5592</v>
      </c>
      <c r="D345" s="240" t="s">
        <v>5533</v>
      </c>
      <c r="E345" s="231" t="s">
        <v>1702</v>
      </c>
      <c r="F345" s="231" t="s">
        <v>407</v>
      </c>
      <c r="G345" s="223">
        <v>333</v>
      </c>
      <c r="H345" s="341">
        <v>0.45</v>
      </c>
      <c r="I345" s="219"/>
    </row>
    <row r="346" spans="1:9" s="230" customFormat="1">
      <c r="A346" s="542">
        <f t="shared" si="6"/>
        <v>338</v>
      </c>
      <c r="B346" s="220" t="s">
        <v>1881</v>
      </c>
      <c r="C346" s="221" t="s">
        <v>5592</v>
      </c>
      <c r="D346" s="240" t="s">
        <v>5533</v>
      </c>
      <c r="E346" s="231" t="s">
        <v>1702</v>
      </c>
      <c r="F346" s="231" t="s">
        <v>407</v>
      </c>
      <c r="G346" s="223">
        <v>250</v>
      </c>
      <c r="H346" s="341">
        <v>0.45</v>
      </c>
      <c r="I346" s="219"/>
    </row>
    <row r="347" spans="1:9" s="230" customFormat="1">
      <c r="A347" s="542">
        <f t="shared" si="6"/>
        <v>339</v>
      </c>
      <c r="B347" s="220" t="s">
        <v>1882</v>
      </c>
      <c r="C347" s="221" t="s">
        <v>5592</v>
      </c>
      <c r="D347" s="240" t="s">
        <v>5533</v>
      </c>
      <c r="E347" s="231" t="s">
        <v>1702</v>
      </c>
      <c r="F347" s="231" t="s">
        <v>407</v>
      </c>
      <c r="G347" s="223">
        <v>184</v>
      </c>
      <c r="H347" s="341">
        <v>0.45</v>
      </c>
      <c r="I347" s="219"/>
    </row>
    <row r="348" spans="1:9" s="230" customFormat="1">
      <c r="A348" s="542">
        <f t="shared" si="6"/>
        <v>340</v>
      </c>
      <c r="B348" s="220" t="s">
        <v>1883</v>
      </c>
      <c r="C348" s="221" t="s">
        <v>5592</v>
      </c>
      <c r="D348" s="240" t="s">
        <v>5533</v>
      </c>
      <c r="E348" s="231" t="s">
        <v>1702</v>
      </c>
      <c r="F348" s="231" t="s">
        <v>407</v>
      </c>
      <c r="G348" s="223">
        <v>202</v>
      </c>
      <c r="H348" s="341">
        <v>0.45</v>
      </c>
      <c r="I348" s="219"/>
    </row>
    <row r="349" spans="1:9" s="230" customFormat="1">
      <c r="A349" s="542">
        <f t="shared" si="6"/>
        <v>341</v>
      </c>
      <c r="B349" s="220" t="s">
        <v>1884</v>
      </c>
      <c r="C349" s="221" t="s">
        <v>5592</v>
      </c>
      <c r="D349" s="240" t="s">
        <v>5533</v>
      </c>
      <c r="E349" s="231" t="s">
        <v>1702</v>
      </c>
      <c r="F349" s="231" t="s">
        <v>407</v>
      </c>
      <c r="G349" s="223">
        <v>1228</v>
      </c>
      <c r="H349" s="341">
        <v>1.7</v>
      </c>
      <c r="I349" s="219"/>
    </row>
    <row r="350" spans="1:9" s="230" customFormat="1">
      <c r="A350" s="542">
        <f t="shared" si="6"/>
        <v>342</v>
      </c>
      <c r="B350" s="220" t="s">
        <v>5637</v>
      </c>
      <c r="C350" s="221" t="s">
        <v>5603</v>
      </c>
      <c r="D350" s="240" t="s">
        <v>5533</v>
      </c>
      <c r="E350" s="231" t="s">
        <v>1706</v>
      </c>
      <c r="F350" s="231" t="s">
        <v>407</v>
      </c>
      <c r="G350" s="223">
        <v>250</v>
      </c>
      <c r="H350" s="341">
        <v>0.4</v>
      </c>
      <c r="I350" s="219"/>
    </row>
    <row r="351" spans="1:9" s="230" customFormat="1">
      <c r="A351" s="542">
        <f t="shared" si="6"/>
        <v>343</v>
      </c>
      <c r="B351" s="220" t="s">
        <v>1885</v>
      </c>
      <c r="C351" s="221" t="s">
        <v>5603</v>
      </c>
      <c r="D351" s="240" t="s">
        <v>5533</v>
      </c>
      <c r="E351" s="231" t="s">
        <v>1712</v>
      </c>
      <c r="F351" s="231" t="s">
        <v>407</v>
      </c>
      <c r="G351" s="223">
        <v>538</v>
      </c>
      <c r="H351" s="341">
        <v>0.5</v>
      </c>
      <c r="I351" s="219"/>
    </row>
    <row r="352" spans="1:9" s="230" customFormat="1">
      <c r="A352" s="542">
        <f t="shared" si="6"/>
        <v>344</v>
      </c>
      <c r="B352" s="220" t="s">
        <v>1886</v>
      </c>
      <c r="C352" s="221" t="s">
        <v>5603</v>
      </c>
      <c r="D352" s="240" t="s">
        <v>5533</v>
      </c>
      <c r="E352" s="231" t="s">
        <v>1712</v>
      </c>
      <c r="F352" s="231" t="s">
        <v>407</v>
      </c>
      <c r="G352" s="223">
        <v>310</v>
      </c>
      <c r="H352" s="341">
        <v>0.5</v>
      </c>
      <c r="I352" s="219"/>
    </row>
    <row r="353" spans="1:9" s="230" customFormat="1">
      <c r="A353" s="542">
        <f t="shared" si="6"/>
        <v>345</v>
      </c>
      <c r="B353" s="220" t="s">
        <v>1887</v>
      </c>
      <c r="C353" s="221" t="s">
        <v>5603</v>
      </c>
      <c r="D353" s="240" t="s">
        <v>5533</v>
      </c>
      <c r="E353" s="231" t="s">
        <v>1713</v>
      </c>
      <c r="F353" s="231" t="s">
        <v>407</v>
      </c>
      <c r="G353" s="223">
        <v>380</v>
      </c>
      <c r="H353" s="341">
        <v>0.5</v>
      </c>
      <c r="I353" s="219"/>
    </row>
    <row r="354" spans="1:9" s="230" customFormat="1">
      <c r="A354" s="542">
        <f t="shared" si="6"/>
        <v>346</v>
      </c>
      <c r="B354" s="220" t="s">
        <v>1888</v>
      </c>
      <c r="C354" s="221" t="s">
        <v>5603</v>
      </c>
      <c r="D354" s="240" t="s">
        <v>5533</v>
      </c>
      <c r="E354" s="231" t="s">
        <v>1713</v>
      </c>
      <c r="F354" s="231" t="s">
        <v>407</v>
      </c>
      <c r="G354" s="223">
        <v>532</v>
      </c>
      <c r="H354" s="341">
        <v>0.4</v>
      </c>
      <c r="I354" s="219"/>
    </row>
    <row r="355" spans="1:9" s="230" customFormat="1">
      <c r="A355" s="542">
        <f t="shared" si="6"/>
        <v>347</v>
      </c>
      <c r="B355" s="220" t="s">
        <v>1889</v>
      </c>
      <c r="C355" s="221" t="s">
        <v>5603</v>
      </c>
      <c r="D355" s="240" t="s">
        <v>5533</v>
      </c>
      <c r="E355" s="231" t="s">
        <v>1713</v>
      </c>
      <c r="F355" s="231" t="s">
        <v>407</v>
      </c>
      <c r="G355" s="223">
        <v>371</v>
      </c>
      <c r="H355" s="341">
        <v>0.45</v>
      </c>
      <c r="I355" s="219"/>
    </row>
    <row r="356" spans="1:9" s="230" customFormat="1">
      <c r="A356" s="542">
        <f t="shared" si="6"/>
        <v>348</v>
      </c>
      <c r="B356" s="220" t="s">
        <v>1890</v>
      </c>
      <c r="C356" s="221" t="s">
        <v>5603</v>
      </c>
      <c r="D356" s="240" t="s">
        <v>5533</v>
      </c>
      <c r="E356" s="231" t="s">
        <v>1713</v>
      </c>
      <c r="F356" s="231" t="s">
        <v>407</v>
      </c>
      <c r="G356" s="223">
        <v>560</v>
      </c>
      <c r="H356" s="341">
        <v>0.45</v>
      </c>
      <c r="I356" s="219"/>
    </row>
    <row r="357" spans="1:9" s="230" customFormat="1">
      <c r="A357" s="542">
        <f t="shared" si="6"/>
        <v>349</v>
      </c>
      <c r="B357" s="220" t="s">
        <v>1891</v>
      </c>
      <c r="C357" s="221" t="s">
        <v>5603</v>
      </c>
      <c r="D357" s="240" t="s">
        <v>5533</v>
      </c>
      <c r="E357" s="231" t="s">
        <v>1713</v>
      </c>
      <c r="F357" s="231" t="s">
        <v>407</v>
      </c>
      <c r="G357" s="223">
        <v>350</v>
      </c>
      <c r="H357" s="341">
        <v>0.4</v>
      </c>
      <c r="I357" s="219"/>
    </row>
    <row r="358" spans="1:9" s="230" customFormat="1">
      <c r="A358" s="542">
        <f t="shared" si="6"/>
        <v>350</v>
      </c>
      <c r="B358" s="220" t="s">
        <v>1892</v>
      </c>
      <c r="C358" s="221" t="s">
        <v>5603</v>
      </c>
      <c r="D358" s="240" t="s">
        <v>5533</v>
      </c>
      <c r="E358" s="231" t="s">
        <v>1715</v>
      </c>
      <c r="F358" s="231" t="s">
        <v>407</v>
      </c>
      <c r="G358" s="223">
        <v>210</v>
      </c>
      <c r="H358" s="341">
        <v>0.4</v>
      </c>
      <c r="I358" s="219"/>
    </row>
    <row r="359" spans="1:9" s="230" customFormat="1">
      <c r="A359" s="542">
        <f t="shared" si="6"/>
        <v>351</v>
      </c>
      <c r="B359" s="220" t="s">
        <v>1893</v>
      </c>
      <c r="C359" s="221" t="s">
        <v>5603</v>
      </c>
      <c r="D359" s="240" t="s">
        <v>5533</v>
      </c>
      <c r="E359" s="231" t="s">
        <v>1715</v>
      </c>
      <c r="F359" s="231" t="s">
        <v>407</v>
      </c>
      <c r="G359" s="223">
        <v>335</v>
      </c>
      <c r="H359" s="341">
        <v>0.4</v>
      </c>
      <c r="I359" s="219"/>
    </row>
    <row r="360" spans="1:9" s="230" customFormat="1">
      <c r="A360" s="542">
        <f t="shared" si="6"/>
        <v>352</v>
      </c>
      <c r="B360" s="220" t="s">
        <v>1894</v>
      </c>
      <c r="C360" s="221" t="s">
        <v>5603</v>
      </c>
      <c r="D360" s="240" t="s">
        <v>5533</v>
      </c>
      <c r="E360" s="231" t="s">
        <v>1715</v>
      </c>
      <c r="F360" s="231" t="s">
        <v>407</v>
      </c>
      <c r="G360" s="223">
        <v>885</v>
      </c>
      <c r="H360" s="341">
        <v>0.4</v>
      </c>
      <c r="I360" s="219"/>
    </row>
    <row r="361" spans="1:9" s="230" customFormat="1">
      <c r="A361" s="542">
        <f t="shared" si="6"/>
        <v>353</v>
      </c>
      <c r="B361" s="220" t="s">
        <v>1895</v>
      </c>
      <c r="C361" s="221" t="s">
        <v>5603</v>
      </c>
      <c r="D361" s="240" t="s">
        <v>5533</v>
      </c>
      <c r="E361" s="231" t="s">
        <v>1715</v>
      </c>
      <c r="F361" s="231" t="s">
        <v>407</v>
      </c>
      <c r="G361" s="223">
        <v>515</v>
      </c>
      <c r="H361" s="341">
        <v>0.4</v>
      </c>
      <c r="I361" s="219"/>
    </row>
    <row r="362" spans="1:9" s="230" customFormat="1">
      <c r="A362" s="542">
        <f t="shared" si="6"/>
        <v>354</v>
      </c>
      <c r="B362" s="220" t="s">
        <v>1896</v>
      </c>
      <c r="C362" s="221" t="s">
        <v>5603</v>
      </c>
      <c r="D362" s="240" t="s">
        <v>5533</v>
      </c>
      <c r="E362" s="231" t="s">
        <v>1715</v>
      </c>
      <c r="F362" s="231" t="s">
        <v>407</v>
      </c>
      <c r="G362" s="223">
        <v>482</v>
      </c>
      <c r="H362" s="341">
        <v>0.45</v>
      </c>
      <c r="I362" s="219"/>
    </row>
    <row r="363" spans="1:9" s="230" customFormat="1">
      <c r="A363" s="542">
        <f t="shared" si="6"/>
        <v>355</v>
      </c>
      <c r="B363" s="220" t="s">
        <v>1897</v>
      </c>
      <c r="C363" s="221" t="s">
        <v>5603</v>
      </c>
      <c r="D363" s="240" t="s">
        <v>5533</v>
      </c>
      <c r="E363" s="231" t="s">
        <v>1716</v>
      </c>
      <c r="F363" s="231" t="s">
        <v>407</v>
      </c>
      <c r="G363" s="223">
        <v>930</v>
      </c>
      <c r="H363" s="341">
        <v>0.5</v>
      </c>
      <c r="I363" s="219"/>
    </row>
    <row r="364" spans="1:9" s="230" customFormat="1">
      <c r="A364" s="542">
        <f t="shared" si="6"/>
        <v>356</v>
      </c>
      <c r="B364" s="220" t="s">
        <v>1898</v>
      </c>
      <c r="C364" s="221" t="s">
        <v>5592</v>
      </c>
      <c r="D364" s="240" t="s">
        <v>5533</v>
      </c>
      <c r="E364" s="231" t="s">
        <v>1716</v>
      </c>
      <c r="F364" s="231" t="s">
        <v>407</v>
      </c>
      <c r="G364" s="223">
        <v>205</v>
      </c>
      <c r="H364" s="341">
        <v>0.4</v>
      </c>
      <c r="I364" s="219"/>
    </row>
    <row r="365" spans="1:9" s="230" customFormat="1">
      <c r="A365" s="542">
        <f t="shared" si="6"/>
        <v>357</v>
      </c>
      <c r="B365" s="220" t="s">
        <v>1899</v>
      </c>
      <c r="C365" s="221" t="s">
        <v>5592</v>
      </c>
      <c r="D365" s="240" t="s">
        <v>5533</v>
      </c>
      <c r="E365" s="231" t="s">
        <v>1716</v>
      </c>
      <c r="F365" s="231" t="s">
        <v>407</v>
      </c>
      <c r="G365" s="223">
        <v>200</v>
      </c>
      <c r="H365" s="341">
        <v>0.4</v>
      </c>
      <c r="I365" s="219"/>
    </row>
    <row r="366" spans="1:9" s="230" customFormat="1">
      <c r="A366" s="542">
        <f t="shared" si="6"/>
        <v>358</v>
      </c>
      <c r="B366" s="220" t="s">
        <v>1900</v>
      </c>
      <c r="C366" s="221" t="s">
        <v>5592</v>
      </c>
      <c r="D366" s="240" t="s">
        <v>5533</v>
      </c>
      <c r="E366" s="231" t="s">
        <v>1716</v>
      </c>
      <c r="F366" s="231" t="s">
        <v>407</v>
      </c>
      <c r="G366" s="223">
        <v>300</v>
      </c>
      <c r="H366" s="341">
        <v>0.4</v>
      </c>
      <c r="I366" s="219"/>
    </row>
    <row r="367" spans="1:9" s="230" customFormat="1">
      <c r="A367" s="542">
        <f t="shared" si="6"/>
        <v>359</v>
      </c>
      <c r="B367" s="220" t="s">
        <v>1901</v>
      </c>
      <c r="C367" s="221" t="s">
        <v>5592</v>
      </c>
      <c r="D367" s="240" t="s">
        <v>5533</v>
      </c>
      <c r="E367" s="231" t="s">
        <v>1716</v>
      </c>
      <c r="F367" s="231" t="s">
        <v>407</v>
      </c>
      <c r="G367" s="223">
        <v>748</v>
      </c>
      <c r="H367" s="341">
        <v>0.4</v>
      </c>
      <c r="I367" s="219"/>
    </row>
    <row r="368" spans="1:9" s="230" customFormat="1">
      <c r="A368" s="542">
        <f t="shared" si="6"/>
        <v>360</v>
      </c>
      <c r="B368" s="220" t="s">
        <v>1902</v>
      </c>
      <c r="C368" s="221" t="s">
        <v>5592</v>
      </c>
      <c r="D368" s="240" t="s">
        <v>5533</v>
      </c>
      <c r="E368" s="231" t="s">
        <v>1716</v>
      </c>
      <c r="F368" s="231" t="s">
        <v>407</v>
      </c>
      <c r="G368" s="223">
        <v>560</v>
      </c>
      <c r="H368" s="341">
        <v>0.4</v>
      </c>
      <c r="I368" s="219"/>
    </row>
    <row r="369" spans="1:9" s="230" customFormat="1">
      <c r="A369" s="542">
        <f t="shared" si="6"/>
        <v>361</v>
      </c>
      <c r="B369" s="220" t="s">
        <v>1903</v>
      </c>
      <c r="C369" s="221" t="s">
        <v>5592</v>
      </c>
      <c r="D369" s="240" t="s">
        <v>5533</v>
      </c>
      <c r="E369" s="231" t="s">
        <v>1716</v>
      </c>
      <c r="F369" s="231" t="s">
        <v>407</v>
      </c>
      <c r="G369" s="223">
        <v>439</v>
      </c>
      <c r="H369" s="341">
        <v>0.45</v>
      </c>
      <c r="I369" s="219"/>
    </row>
    <row r="370" spans="1:9" s="230" customFormat="1">
      <c r="A370" s="542">
        <f t="shared" si="6"/>
        <v>362</v>
      </c>
      <c r="B370" s="220" t="s">
        <v>1904</v>
      </c>
      <c r="C370" s="221" t="s">
        <v>5592</v>
      </c>
      <c r="D370" s="240" t="s">
        <v>5533</v>
      </c>
      <c r="E370" s="231" t="s">
        <v>1716</v>
      </c>
      <c r="F370" s="231" t="s">
        <v>407</v>
      </c>
      <c r="G370" s="223">
        <v>437</v>
      </c>
      <c r="H370" s="341">
        <v>0.45</v>
      </c>
      <c r="I370" s="219"/>
    </row>
    <row r="371" spans="1:9" s="230" customFormat="1">
      <c r="A371" s="542">
        <f t="shared" si="6"/>
        <v>363</v>
      </c>
      <c r="B371" s="220" t="s">
        <v>1905</v>
      </c>
      <c r="C371" s="221" t="s">
        <v>5592</v>
      </c>
      <c r="D371" s="240" t="s">
        <v>5533</v>
      </c>
      <c r="E371" s="231" t="s">
        <v>1716</v>
      </c>
      <c r="F371" s="231" t="s">
        <v>407</v>
      </c>
      <c r="G371" s="223">
        <v>444</v>
      </c>
      <c r="H371" s="341">
        <v>0.4</v>
      </c>
      <c r="I371" s="219"/>
    </row>
    <row r="372" spans="1:9" s="230" customFormat="1">
      <c r="A372" s="542">
        <f t="shared" si="6"/>
        <v>364</v>
      </c>
      <c r="B372" s="220" t="s">
        <v>1906</v>
      </c>
      <c r="C372" s="221" t="s">
        <v>5592</v>
      </c>
      <c r="D372" s="240" t="s">
        <v>5533</v>
      </c>
      <c r="E372" s="231" t="s">
        <v>1716</v>
      </c>
      <c r="F372" s="231" t="s">
        <v>407</v>
      </c>
      <c r="G372" s="223">
        <v>453</v>
      </c>
      <c r="H372" s="341">
        <v>0.45</v>
      </c>
      <c r="I372" s="219"/>
    </row>
    <row r="373" spans="1:9" s="230" customFormat="1">
      <c r="A373" s="542">
        <f t="shared" si="6"/>
        <v>365</v>
      </c>
      <c r="B373" s="220" t="s">
        <v>1907</v>
      </c>
      <c r="C373" s="221" t="s">
        <v>5592</v>
      </c>
      <c r="D373" s="240" t="s">
        <v>5533</v>
      </c>
      <c r="E373" s="231" t="s">
        <v>1716</v>
      </c>
      <c r="F373" s="231" t="s">
        <v>407</v>
      </c>
      <c r="G373" s="223">
        <v>445</v>
      </c>
      <c r="H373" s="341">
        <v>0.45</v>
      </c>
      <c r="I373" s="219"/>
    </row>
    <row r="374" spans="1:9" s="230" customFormat="1">
      <c r="A374" s="542">
        <f t="shared" si="6"/>
        <v>366</v>
      </c>
      <c r="B374" s="220" t="s">
        <v>5638</v>
      </c>
      <c r="C374" s="221" t="s">
        <v>5592</v>
      </c>
      <c r="D374" s="240" t="s">
        <v>5533</v>
      </c>
      <c r="E374" s="231" t="s">
        <v>1716</v>
      </c>
      <c r="F374" s="231" t="s">
        <v>407</v>
      </c>
      <c r="G374" s="223">
        <v>580</v>
      </c>
      <c r="H374" s="341">
        <v>0.45</v>
      </c>
      <c r="I374" s="219"/>
    </row>
    <row r="375" spans="1:9" s="230" customFormat="1">
      <c r="A375" s="542">
        <f t="shared" si="6"/>
        <v>367</v>
      </c>
      <c r="B375" s="220" t="s">
        <v>1908</v>
      </c>
      <c r="C375" s="221" t="s">
        <v>5592</v>
      </c>
      <c r="D375" s="240" t="s">
        <v>5533</v>
      </c>
      <c r="E375" s="231" t="s">
        <v>1717</v>
      </c>
      <c r="F375" s="231" t="s">
        <v>407</v>
      </c>
      <c r="G375" s="223">
        <v>1466</v>
      </c>
      <c r="H375" s="341">
        <v>0.65</v>
      </c>
      <c r="I375" s="219"/>
    </row>
    <row r="376" spans="1:9" s="230" customFormat="1">
      <c r="A376" s="542">
        <f t="shared" si="6"/>
        <v>368</v>
      </c>
      <c r="B376" s="220" t="s">
        <v>1909</v>
      </c>
      <c r="C376" s="221" t="s">
        <v>5592</v>
      </c>
      <c r="D376" s="240" t="s">
        <v>5533</v>
      </c>
      <c r="E376" s="231" t="s">
        <v>1717</v>
      </c>
      <c r="F376" s="231" t="s">
        <v>407</v>
      </c>
      <c r="G376" s="223">
        <v>285</v>
      </c>
      <c r="H376" s="341">
        <v>0.45</v>
      </c>
      <c r="I376" s="219"/>
    </row>
    <row r="377" spans="1:9" s="230" customFormat="1">
      <c r="A377" s="542">
        <f t="shared" si="6"/>
        <v>369</v>
      </c>
      <c r="B377" s="220" t="s">
        <v>1910</v>
      </c>
      <c r="C377" s="221" t="s">
        <v>5592</v>
      </c>
      <c r="D377" s="240" t="s">
        <v>5533</v>
      </c>
      <c r="E377" s="231" t="s">
        <v>1717</v>
      </c>
      <c r="F377" s="231" t="s">
        <v>407</v>
      </c>
      <c r="G377" s="223">
        <v>271</v>
      </c>
      <c r="H377" s="341">
        <v>0.5</v>
      </c>
      <c r="I377" s="219"/>
    </row>
    <row r="378" spans="1:9" s="230" customFormat="1">
      <c r="A378" s="542">
        <f t="shared" si="6"/>
        <v>370</v>
      </c>
      <c r="B378" s="220" t="s">
        <v>1911</v>
      </c>
      <c r="C378" s="221" t="s">
        <v>5592</v>
      </c>
      <c r="D378" s="240" t="s">
        <v>5533</v>
      </c>
      <c r="E378" s="231" t="s">
        <v>1717</v>
      </c>
      <c r="F378" s="231" t="s">
        <v>407</v>
      </c>
      <c r="G378" s="223">
        <v>300</v>
      </c>
      <c r="H378" s="341">
        <v>0.4</v>
      </c>
      <c r="I378" s="219"/>
    </row>
    <row r="379" spans="1:9" s="230" customFormat="1">
      <c r="A379" s="542">
        <f t="shared" si="6"/>
        <v>371</v>
      </c>
      <c r="B379" s="220" t="s">
        <v>1912</v>
      </c>
      <c r="C379" s="221" t="s">
        <v>5592</v>
      </c>
      <c r="D379" s="240" t="s">
        <v>5533</v>
      </c>
      <c r="E379" s="231" t="s">
        <v>1717</v>
      </c>
      <c r="F379" s="231" t="s">
        <v>407</v>
      </c>
      <c r="G379" s="223">
        <v>343</v>
      </c>
      <c r="H379" s="341">
        <v>0.5</v>
      </c>
      <c r="I379" s="219"/>
    </row>
    <row r="380" spans="1:9" s="230" customFormat="1">
      <c r="A380" s="542">
        <f t="shared" si="6"/>
        <v>372</v>
      </c>
      <c r="B380" s="220" t="s">
        <v>5639</v>
      </c>
      <c r="C380" s="221" t="s">
        <v>5592</v>
      </c>
      <c r="D380" s="240" t="s">
        <v>5533</v>
      </c>
      <c r="E380" s="231" t="s">
        <v>1912</v>
      </c>
      <c r="F380" s="231" t="s">
        <v>407</v>
      </c>
      <c r="G380" s="223">
        <v>250</v>
      </c>
      <c r="H380" s="341">
        <v>0.4</v>
      </c>
      <c r="I380" s="219"/>
    </row>
    <row r="381" spans="1:9" s="230" customFormat="1">
      <c r="A381" s="542">
        <f t="shared" si="6"/>
        <v>373</v>
      </c>
      <c r="B381" s="220" t="s">
        <v>1913</v>
      </c>
      <c r="C381" s="221" t="s">
        <v>5592</v>
      </c>
      <c r="D381" s="240" t="s">
        <v>5533</v>
      </c>
      <c r="E381" s="231" t="s">
        <v>1717</v>
      </c>
      <c r="F381" s="231" t="s">
        <v>407</v>
      </c>
      <c r="G381" s="223">
        <v>310</v>
      </c>
      <c r="H381" s="341">
        <v>0.5</v>
      </c>
      <c r="I381" s="219"/>
    </row>
    <row r="382" spans="1:9" s="230" customFormat="1">
      <c r="A382" s="542">
        <f t="shared" si="6"/>
        <v>374</v>
      </c>
      <c r="B382" s="220" t="s">
        <v>1914</v>
      </c>
      <c r="C382" s="221" t="s">
        <v>5592</v>
      </c>
      <c r="D382" s="240" t="s">
        <v>5533</v>
      </c>
      <c r="E382" s="231" t="s">
        <v>1707</v>
      </c>
      <c r="F382" s="231" t="s">
        <v>407</v>
      </c>
      <c r="G382" s="223">
        <v>335</v>
      </c>
      <c r="H382" s="341">
        <v>0.4</v>
      </c>
      <c r="I382" s="219"/>
    </row>
    <row r="383" spans="1:9" s="230" customFormat="1">
      <c r="A383" s="542">
        <f t="shared" si="6"/>
        <v>375</v>
      </c>
      <c r="B383" s="220" t="s">
        <v>1915</v>
      </c>
      <c r="C383" s="221" t="s">
        <v>5592</v>
      </c>
      <c r="D383" s="240" t="s">
        <v>5533</v>
      </c>
      <c r="E383" s="231" t="s">
        <v>1707</v>
      </c>
      <c r="F383" s="231" t="s">
        <v>407</v>
      </c>
      <c r="G383" s="223">
        <v>310</v>
      </c>
      <c r="H383" s="341">
        <v>0.4</v>
      </c>
      <c r="I383" s="219"/>
    </row>
    <row r="384" spans="1:9" s="230" customFormat="1">
      <c r="A384" s="542">
        <f t="shared" si="6"/>
        <v>376</v>
      </c>
      <c r="B384" s="220" t="s">
        <v>1916</v>
      </c>
      <c r="C384" s="221" t="s">
        <v>5592</v>
      </c>
      <c r="D384" s="240" t="s">
        <v>5533</v>
      </c>
      <c r="E384" s="231" t="s">
        <v>1707</v>
      </c>
      <c r="F384" s="231" t="s">
        <v>407</v>
      </c>
      <c r="G384" s="223">
        <v>580</v>
      </c>
      <c r="H384" s="341">
        <v>0.4</v>
      </c>
      <c r="I384" s="219"/>
    </row>
    <row r="385" spans="1:9" s="230" customFormat="1">
      <c r="A385" s="542">
        <f t="shared" si="6"/>
        <v>377</v>
      </c>
      <c r="B385" s="220" t="s">
        <v>1917</v>
      </c>
      <c r="C385" s="221" t="s">
        <v>5592</v>
      </c>
      <c r="D385" s="240" t="s">
        <v>5533</v>
      </c>
      <c r="E385" s="231" t="s">
        <v>1707</v>
      </c>
      <c r="F385" s="231" t="s">
        <v>407</v>
      </c>
      <c r="G385" s="223">
        <v>214</v>
      </c>
      <c r="H385" s="341">
        <v>0.4</v>
      </c>
      <c r="I385" s="219"/>
    </row>
    <row r="386" spans="1:9" s="230" customFormat="1">
      <c r="A386" s="542">
        <f t="shared" si="6"/>
        <v>378</v>
      </c>
      <c r="B386" s="220" t="s">
        <v>1918</v>
      </c>
      <c r="C386" s="221" t="s">
        <v>5592</v>
      </c>
      <c r="D386" s="240" t="s">
        <v>5533</v>
      </c>
      <c r="E386" s="231" t="s">
        <v>1708</v>
      </c>
      <c r="F386" s="231" t="s">
        <v>407</v>
      </c>
      <c r="G386" s="223">
        <v>205</v>
      </c>
      <c r="H386" s="341">
        <v>0.4</v>
      </c>
      <c r="I386" s="219"/>
    </row>
    <row r="387" spans="1:9" s="230" customFormat="1">
      <c r="A387" s="542">
        <f t="shared" si="6"/>
        <v>379</v>
      </c>
      <c r="B387" s="220" t="s">
        <v>1919</v>
      </c>
      <c r="C387" s="221" t="s">
        <v>5592</v>
      </c>
      <c r="D387" s="240" t="s">
        <v>5533</v>
      </c>
      <c r="E387" s="231" t="s">
        <v>1709</v>
      </c>
      <c r="F387" s="231" t="s">
        <v>407</v>
      </c>
      <c r="G387" s="223">
        <v>490</v>
      </c>
      <c r="H387" s="341">
        <v>0.45</v>
      </c>
      <c r="I387" s="219"/>
    </row>
    <row r="388" spans="1:9" s="230" customFormat="1">
      <c r="A388" s="542">
        <f t="shared" si="6"/>
        <v>380</v>
      </c>
      <c r="B388" s="220" t="s">
        <v>1920</v>
      </c>
      <c r="C388" s="221" t="s">
        <v>5592</v>
      </c>
      <c r="D388" s="240" t="s">
        <v>5533</v>
      </c>
      <c r="E388" s="231" t="s">
        <v>1709</v>
      </c>
      <c r="F388" s="231" t="s">
        <v>407</v>
      </c>
      <c r="G388" s="223">
        <v>260</v>
      </c>
      <c r="H388" s="341">
        <v>0.45</v>
      </c>
      <c r="I388" s="219"/>
    </row>
    <row r="389" spans="1:9" s="230" customFormat="1">
      <c r="A389" s="542">
        <f t="shared" si="6"/>
        <v>381</v>
      </c>
      <c r="B389" s="220" t="s">
        <v>1921</v>
      </c>
      <c r="C389" s="221" t="s">
        <v>5592</v>
      </c>
      <c r="D389" s="240" t="s">
        <v>5533</v>
      </c>
      <c r="E389" s="231" t="s">
        <v>1709</v>
      </c>
      <c r="F389" s="231" t="s">
        <v>407</v>
      </c>
      <c r="G389" s="223">
        <v>725</v>
      </c>
      <c r="H389" s="341">
        <v>0.45</v>
      </c>
      <c r="I389" s="219"/>
    </row>
    <row r="390" spans="1:9" s="230" customFormat="1">
      <c r="A390" s="542">
        <f t="shared" si="6"/>
        <v>382</v>
      </c>
      <c r="B390" s="220" t="s">
        <v>1922</v>
      </c>
      <c r="C390" s="221" t="s">
        <v>5592</v>
      </c>
      <c r="D390" s="240" t="s">
        <v>5533</v>
      </c>
      <c r="E390" s="231" t="s">
        <v>1709</v>
      </c>
      <c r="F390" s="231" t="s">
        <v>407</v>
      </c>
      <c r="G390" s="223">
        <v>512</v>
      </c>
      <c r="H390" s="341">
        <v>0.45</v>
      </c>
      <c r="I390" s="219"/>
    </row>
    <row r="391" spans="1:9" s="230" customFormat="1">
      <c r="A391" s="542">
        <f t="shared" si="6"/>
        <v>383</v>
      </c>
      <c r="B391" s="220" t="s">
        <v>1923</v>
      </c>
      <c r="C391" s="221" t="s">
        <v>5592</v>
      </c>
      <c r="D391" s="240" t="s">
        <v>5533</v>
      </c>
      <c r="E391" s="231" t="s">
        <v>1709</v>
      </c>
      <c r="F391" s="231" t="s">
        <v>407</v>
      </c>
      <c r="G391" s="223">
        <v>675</v>
      </c>
      <c r="H391" s="341">
        <v>0.4</v>
      </c>
      <c r="I391" s="219"/>
    </row>
    <row r="392" spans="1:9" s="230" customFormat="1">
      <c r="A392" s="542">
        <f t="shared" si="6"/>
        <v>384</v>
      </c>
      <c r="B392" s="220" t="s">
        <v>1924</v>
      </c>
      <c r="C392" s="221" t="s">
        <v>5592</v>
      </c>
      <c r="D392" s="240" t="s">
        <v>5533</v>
      </c>
      <c r="E392" s="231" t="s">
        <v>1709</v>
      </c>
      <c r="F392" s="231" t="s">
        <v>407</v>
      </c>
      <c r="G392" s="223">
        <v>860</v>
      </c>
      <c r="H392" s="341">
        <v>0.45</v>
      </c>
      <c r="I392" s="219"/>
    </row>
    <row r="393" spans="1:9" s="230" customFormat="1">
      <c r="A393" s="542">
        <f t="shared" ref="A393:A456" si="7">A392+1</f>
        <v>385</v>
      </c>
      <c r="B393" s="220" t="s">
        <v>1925</v>
      </c>
      <c r="C393" s="221" t="s">
        <v>5594</v>
      </c>
      <c r="D393" s="240" t="s">
        <v>5533</v>
      </c>
      <c r="E393" s="231" t="s">
        <v>1724</v>
      </c>
      <c r="F393" s="231" t="s">
        <v>407</v>
      </c>
      <c r="G393" s="223">
        <v>388</v>
      </c>
      <c r="H393" s="341">
        <v>0.45</v>
      </c>
      <c r="I393" s="219"/>
    </row>
    <row r="394" spans="1:9" s="230" customFormat="1">
      <c r="A394" s="542">
        <f t="shared" si="7"/>
        <v>386</v>
      </c>
      <c r="B394" s="220" t="s">
        <v>1928</v>
      </c>
      <c r="C394" s="221" t="s">
        <v>5594</v>
      </c>
      <c r="D394" s="240" t="s">
        <v>5533</v>
      </c>
      <c r="E394" s="231" t="s">
        <v>1729</v>
      </c>
      <c r="F394" s="231" t="s">
        <v>407</v>
      </c>
      <c r="G394" s="223">
        <v>50</v>
      </c>
      <c r="H394" s="341">
        <v>0.5</v>
      </c>
      <c r="I394" s="219"/>
    </row>
    <row r="395" spans="1:9" s="230" customFormat="1">
      <c r="A395" s="542">
        <f t="shared" si="7"/>
        <v>387</v>
      </c>
      <c r="B395" s="220" t="s">
        <v>1930</v>
      </c>
      <c r="C395" s="221" t="s">
        <v>5594</v>
      </c>
      <c r="D395" s="240" t="s">
        <v>5533</v>
      </c>
      <c r="E395" s="231" t="s">
        <v>1729</v>
      </c>
      <c r="F395" s="231" t="s">
        <v>407</v>
      </c>
      <c r="G395" s="223">
        <v>50</v>
      </c>
      <c r="H395" s="341">
        <v>0.4</v>
      </c>
      <c r="I395" s="219"/>
    </row>
    <row r="396" spans="1:9" s="230" customFormat="1">
      <c r="A396" s="542">
        <f t="shared" si="7"/>
        <v>388</v>
      </c>
      <c r="B396" s="220" t="s">
        <v>1931</v>
      </c>
      <c r="C396" s="221" t="s">
        <v>5594</v>
      </c>
      <c r="D396" s="240" t="s">
        <v>5533</v>
      </c>
      <c r="E396" s="231" t="s">
        <v>1729</v>
      </c>
      <c r="F396" s="231" t="s">
        <v>407</v>
      </c>
      <c r="G396" s="223">
        <v>124</v>
      </c>
      <c r="H396" s="341">
        <v>0.4</v>
      </c>
      <c r="I396" s="219"/>
    </row>
    <row r="397" spans="1:9" s="230" customFormat="1">
      <c r="A397" s="542">
        <f t="shared" si="7"/>
        <v>389</v>
      </c>
      <c r="B397" s="220" t="s">
        <v>1932</v>
      </c>
      <c r="C397" s="221" t="s">
        <v>5594</v>
      </c>
      <c r="D397" s="240" t="s">
        <v>5533</v>
      </c>
      <c r="E397" s="231" t="s">
        <v>1729</v>
      </c>
      <c r="F397" s="231" t="s">
        <v>407</v>
      </c>
      <c r="G397" s="223">
        <v>100</v>
      </c>
      <c r="H397" s="341">
        <v>0.4</v>
      </c>
      <c r="I397" s="219"/>
    </row>
    <row r="398" spans="1:9" s="230" customFormat="1">
      <c r="A398" s="542">
        <f t="shared" si="7"/>
        <v>390</v>
      </c>
      <c r="B398" s="220" t="s">
        <v>1933</v>
      </c>
      <c r="C398" s="221" t="s">
        <v>5594</v>
      </c>
      <c r="D398" s="240" t="s">
        <v>5533</v>
      </c>
      <c r="E398" s="231" t="s">
        <v>1729</v>
      </c>
      <c r="F398" s="231" t="s">
        <v>407</v>
      </c>
      <c r="G398" s="223">
        <v>346</v>
      </c>
      <c r="H398" s="341">
        <v>0.4</v>
      </c>
      <c r="I398" s="219"/>
    </row>
    <row r="399" spans="1:9" s="230" customFormat="1">
      <c r="A399" s="542">
        <f t="shared" si="7"/>
        <v>391</v>
      </c>
      <c r="B399" s="220" t="s">
        <v>1934</v>
      </c>
      <c r="C399" s="221" t="s">
        <v>5594</v>
      </c>
      <c r="D399" s="240" t="s">
        <v>5533</v>
      </c>
      <c r="E399" s="231" t="s">
        <v>1729</v>
      </c>
      <c r="F399" s="231" t="s">
        <v>407</v>
      </c>
      <c r="G399" s="223">
        <v>340</v>
      </c>
      <c r="H399" s="341">
        <v>0.5</v>
      </c>
      <c r="I399" s="219"/>
    </row>
    <row r="400" spans="1:9" s="230" customFormat="1">
      <c r="A400" s="542">
        <f t="shared" si="7"/>
        <v>392</v>
      </c>
      <c r="B400" s="220" t="s">
        <v>1935</v>
      </c>
      <c r="C400" s="221" t="s">
        <v>5594</v>
      </c>
      <c r="D400" s="240" t="s">
        <v>5533</v>
      </c>
      <c r="E400" s="231" t="s">
        <v>1729</v>
      </c>
      <c r="F400" s="231" t="s">
        <v>407</v>
      </c>
      <c r="G400" s="223">
        <v>380</v>
      </c>
      <c r="H400" s="341">
        <v>0.4</v>
      </c>
      <c r="I400" s="219"/>
    </row>
    <row r="401" spans="1:9" s="230" customFormat="1">
      <c r="A401" s="542">
        <f t="shared" si="7"/>
        <v>393</v>
      </c>
      <c r="B401" s="220" t="s">
        <v>5640</v>
      </c>
      <c r="C401" s="221" t="s">
        <v>5598</v>
      </c>
      <c r="D401" s="240" t="s">
        <v>5533</v>
      </c>
      <c r="E401" s="231" t="s">
        <v>1759</v>
      </c>
      <c r="F401" s="231" t="s">
        <v>407</v>
      </c>
      <c r="G401" s="223">
        <v>650</v>
      </c>
      <c r="H401" s="341">
        <v>0.5</v>
      </c>
      <c r="I401" s="219"/>
    </row>
    <row r="402" spans="1:9" s="230" customFormat="1">
      <c r="A402" s="542">
        <f t="shared" si="7"/>
        <v>394</v>
      </c>
      <c r="B402" s="220" t="s">
        <v>5641</v>
      </c>
      <c r="C402" s="221" t="s">
        <v>5592</v>
      </c>
      <c r="D402" s="240" t="s">
        <v>5533</v>
      </c>
      <c r="E402" s="231" t="s">
        <v>1756</v>
      </c>
      <c r="F402" s="231" t="s">
        <v>407</v>
      </c>
      <c r="G402" s="223">
        <v>270</v>
      </c>
      <c r="H402" s="341">
        <v>0.5</v>
      </c>
      <c r="I402" s="219"/>
    </row>
    <row r="403" spans="1:9" s="230" customFormat="1">
      <c r="A403" s="542">
        <f t="shared" si="7"/>
        <v>395</v>
      </c>
      <c r="B403" s="220" t="s">
        <v>5642</v>
      </c>
      <c r="C403" s="221" t="s">
        <v>5592</v>
      </c>
      <c r="D403" s="240" t="s">
        <v>5533</v>
      </c>
      <c r="E403" s="231" t="s">
        <v>1756</v>
      </c>
      <c r="F403" s="231" t="s">
        <v>407</v>
      </c>
      <c r="G403" s="223">
        <v>303</v>
      </c>
      <c r="H403" s="341">
        <v>0.5</v>
      </c>
      <c r="I403" s="219"/>
    </row>
    <row r="404" spans="1:9" s="230" customFormat="1">
      <c r="A404" s="542">
        <f t="shared" si="7"/>
        <v>396</v>
      </c>
      <c r="B404" s="220" t="s">
        <v>1956</v>
      </c>
      <c r="C404" s="221" t="s">
        <v>5592</v>
      </c>
      <c r="D404" s="240" t="s">
        <v>5533</v>
      </c>
      <c r="E404" s="231" t="s">
        <v>1758</v>
      </c>
      <c r="F404" s="231" t="s">
        <v>407</v>
      </c>
      <c r="G404" s="223">
        <v>80</v>
      </c>
      <c r="H404" s="341">
        <v>0.4</v>
      </c>
      <c r="I404" s="219"/>
    </row>
    <row r="405" spans="1:9" s="230" customFormat="1">
      <c r="A405" s="542">
        <f t="shared" si="7"/>
        <v>397</v>
      </c>
      <c r="B405" s="220" t="s">
        <v>5643</v>
      </c>
      <c r="C405" s="221" t="s">
        <v>5594</v>
      </c>
      <c r="D405" s="240" t="s">
        <v>5533</v>
      </c>
      <c r="E405" s="231" t="s">
        <v>1987</v>
      </c>
      <c r="F405" s="231" t="s">
        <v>407</v>
      </c>
      <c r="G405" s="223">
        <v>170</v>
      </c>
      <c r="H405" s="341">
        <v>0.5</v>
      </c>
      <c r="I405" s="219"/>
    </row>
    <row r="406" spans="1:9" s="230" customFormat="1">
      <c r="A406" s="542">
        <f t="shared" si="7"/>
        <v>398</v>
      </c>
      <c r="B406" s="220" t="s">
        <v>5644</v>
      </c>
      <c r="C406" s="221" t="s">
        <v>5592</v>
      </c>
      <c r="D406" s="240" t="s">
        <v>5533</v>
      </c>
      <c r="E406" s="231" t="s">
        <v>5645</v>
      </c>
      <c r="F406" s="231" t="s">
        <v>407</v>
      </c>
      <c r="G406" s="223">
        <v>550</v>
      </c>
      <c r="H406" s="341">
        <v>0.4</v>
      </c>
      <c r="I406" s="219"/>
    </row>
    <row r="407" spans="1:9" s="230" customFormat="1">
      <c r="A407" s="542">
        <f t="shared" si="7"/>
        <v>399</v>
      </c>
      <c r="B407" s="220" t="s">
        <v>5646</v>
      </c>
      <c r="C407" s="221" t="s">
        <v>5592</v>
      </c>
      <c r="D407" s="240" t="s">
        <v>5533</v>
      </c>
      <c r="E407" s="231" t="s">
        <v>1758</v>
      </c>
      <c r="F407" s="231" t="s">
        <v>407</v>
      </c>
      <c r="G407" s="223">
        <v>150</v>
      </c>
      <c r="H407" s="341">
        <v>0.4</v>
      </c>
      <c r="I407" s="219"/>
    </row>
    <row r="408" spans="1:9" s="230" customFormat="1">
      <c r="A408" s="542">
        <f t="shared" si="7"/>
        <v>400</v>
      </c>
      <c r="B408" s="220" t="s">
        <v>5647</v>
      </c>
      <c r="C408" s="221" t="s">
        <v>5592</v>
      </c>
      <c r="D408" s="240" t="s">
        <v>5533</v>
      </c>
      <c r="E408" s="231" t="s">
        <v>1758</v>
      </c>
      <c r="F408" s="231" t="s">
        <v>407</v>
      </c>
      <c r="G408" s="223">
        <v>150</v>
      </c>
      <c r="H408" s="341">
        <v>0.4</v>
      </c>
      <c r="I408" s="219"/>
    </row>
    <row r="409" spans="1:9" s="230" customFormat="1">
      <c r="A409" s="542">
        <f t="shared" si="7"/>
        <v>401</v>
      </c>
      <c r="B409" s="220" t="s">
        <v>1936</v>
      </c>
      <c r="C409" s="221" t="s">
        <v>5592</v>
      </c>
      <c r="D409" s="240" t="s">
        <v>5533</v>
      </c>
      <c r="E409" s="231" t="s">
        <v>1742</v>
      </c>
      <c r="F409" s="231" t="s">
        <v>407</v>
      </c>
      <c r="G409" s="223">
        <v>460</v>
      </c>
      <c r="H409" s="341">
        <v>0.45</v>
      </c>
      <c r="I409" s="219"/>
    </row>
    <row r="410" spans="1:9" s="230" customFormat="1">
      <c r="A410" s="542">
        <f t="shared" si="7"/>
        <v>402</v>
      </c>
      <c r="B410" s="220" t="s">
        <v>5645</v>
      </c>
      <c r="C410" s="221" t="s">
        <v>5592</v>
      </c>
      <c r="D410" s="240" t="s">
        <v>5533</v>
      </c>
      <c r="E410" s="231" t="s">
        <v>1744</v>
      </c>
      <c r="F410" s="231" t="s">
        <v>407</v>
      </c>
      <c r="G410" s="223">
        <v>400</v>
      </c>
      <c r="H410" s="341">
        <v>0.4</v>
      </c>
      <c r="I410" s="219"/>
    </row>
    <row r="411" spans="1:9" s="230" customFormat="1">
      <c r="A411" s="542">
        <f t="shared" si="7"/>
        <v>403</v>
      </c>
      <c r="B411" s="220" t="s">
        <v>1937</v>
      </c>
      <c r="C411" s="221" t="s">
        <v>5592</v>
      </c>
      <c r="D411" s="240" t="s">
        <v>5533</v>
      </c>
      <c r="E411" s="231" t="s">
        <v>1743</v>
      </c>
      <c r="F411" s="231" t="s">
        <v>407</v>
      </c>
      <c r="G411" s="223">
        <v>893</v>
      </c>
      <c r="H411" s="341">
        <v>0.4</v>
      </c>
      <c r="I411" s="219"/>
    </row>
    <row r="412" spans="1:9" s="230" customFormat="1">
      <c r="A412" s="542">
        <f t="shared" si="7"/>
        <v>404</v>
      </c>
      <c r="B412" s="220" t="s">
        <v>1938</v>
      </c>
      <c r="C412" s="221" t="s">
        <v>5592</v>
      </c>
      <c r="D412" s="240" t="s">
        <v>5533</v>
      </c>
      <c r="E412" s="231" t="s">
        <v>1745</v>
      </c>
      <c r="F412" s="231" t="s">
        <v>407</v>
      </c>
      <c r="G412" s="223">
        <v>475</v>
      </c>
      <c r="H412" s="341">
        <v>0.4</v>
      </c>
      <c r="I412" s="219"/>
    </row>
    <row r="413" spans="1:9" s="230" customFormat="1">
      <c r="A413" s="542">
        <f t="shared" si="7"/>
        <v>405</v>
      </c>
      <c r="B413" s="220" t="s">
        <v>1939</v>
      </c>
      <c r="C413" s="221" t="s">
        <v>5592</v>
      </c>
      <c r="D413" s="240" t="s">
        <v>5533</v>
      </c>
      <c r="E413" s="231" t="s">
        <v>1748</v>
      </c>
      <c r="F413" s="231" t="s">
        <v>407</v>
      </c>
      <c r="G413" s="223">
        <v>1377</v>
      </c>
      <c r="H413" s="341">
        <v>1.9</v>
      </c>
      <c r="I413" s="219"/>
    </row>
    <row r="414" spans="1:9" s="230" customFormat="1">
      <c r="A414" s="542">
        <f t="shared" si="7"/>
        <v>406</v>
      </c>
      <c r="B414" s="220" t="s">
        <v>1945</v>
      </c>
      <c r="C414" s="221" t="s">
        <v>641</v>
      </c>
      <c r="D414" s="240" t="s">
        <v>5533</v>
      </c>
      <c r="E414" s="231" t="s">
        <v>1751</v>
      </c>
      <c r="F414" s="231" t="s">
        <v>407</v>
      </c>
      <c r="G414" s="223">
        <v>250</v>
      </c>
      <c r="H414" s="341">
        <v>0.7</v>
      </c>
      <c r="I414" s="219"/>
    </row>
    <row r="415" spans="1:9" s="230" customFormat="1">
      <c r="A415" s="542">
        <f t="shared" si="7"/>
        <v>407</v>
      </c>
      <c r="B415" s="220" t="s">
        <v>1946</v>
      </c>
      <c r="C415" s="221" t="s">
        <v>641</v>
      </c>
      <c r="D415" s="240" t="s">
        <v>5533</v>
      </c>
      <c r="E415" s="231" t="s">
        <v>1751</v>
      </c>
      <c r="F415" s="231" t="s">
        <v>407</v>
      </c>
      <c r="G415" s="223">
        <v>260</v>
      </c>
      <c r="H415" s="341">
        <v>0.7</v>
      </c>
      <c r="I415" s="219"/>
    </row>
    <row r="416" spans="1:9" s="230" customFormat="1">
      <c r="A416" s="542">
        <f t="shared" si="7"/>
        <v>408</v>
      </c>
      <c r="B416" s="220" t="s">
        <v>1947</v>
      </c>
      <c r="C416" s="221" t="s">
        <v>641</v>
      </c>
      <c r="D416" s="240" t="s">
        <v>5533</v>
      </c>
      <c r="E416" s="231" t="s">
        <v>1751</v>
      </c>
      <c r="F416" s="231" t="s">
        <v>407</v>
      </c>
      <c r="G416" s="223">
        <v>375</v>
      </c>
      <c r="H416" s="341">
        <v>0.7</v>
      </c>
      <c r="I416" s="219"/>
    </row>
    <row r="417" spans="1:9" s="230" customFormat="1">
      <c r="A417" s="542">
        <f t="shared" si="7"/>
        <v>409</v>
      </c>
      <c r="B417" s="220" t="s">
        <v>1948</v>
      </c>
      <c r="C417" s="221" t="s">
        <v>641</v>
      </c>
      <c r="D417" s="240" t="s">
        <v>5533</v>
      </c>
      <c r="E417" s="231" t="s">
        <v>1751</v>
      </c>
      <c r="F417" s="231" t="s">
        <v>407</v>
      </c>
      <c r="G417" s="223">
        <v>4050</v>
      </c>
      <c r="H417" s="341">
        <v>1.2</v>
      </c>
      <c r="I417" s="219"/>
    </row>
    <row r="418" spans="1:9" s="230" customFormat="1">
      <c r="A418" s="542">
        <f t="shared" si="7"/>
        <v>410</v>
      </c>
      <c r="B418" s="220" t="s">
        <v>1949</v>
      </c>
      <c r="C418" s="221" t="s">
        <v>641</v>
      </c>
      <c r="D418" s="240" t="s">
        <v>5533</v>
      </c>
      <c r="E418" s="231" t="s">
        <v>1751</v>
      </c>
      <c r="F418" s="231" t="s">
        <v>407</v>
      </c>
      <c r="G418" s="223">
        <v>1850</v>
      </c>
      <c r="H418" s="341">
        <v>0.8</v>
      </c>
      <c r="I418" s="219"/>
    </row>
    <row r="419" spans="1:9" s="230" customFormat="1">
      <c r="A419" s="542">
        <f t="shared" si="7"/>
        <v>411</v>
      </c>
      <c r="B419" s="220" t="s">
        <v>1950</v>
      </c>
      <c r="C419" s="221" t="s">
        <v>641</v>
      </c>
      <c r="D419" s="240" t="s">
        <v>5533</v>
      </c>
      <c r="E419" s="231" t="s">
        <v>1751</v>
      </c>
      <c r="F419" s="231" t="s">
        <v>407</v>
      </c>
      <c r="G419" s="223">
        <v>1300</v>
      </c>
      <c r="H419" s="341">
        <v>0.7</v>
      </c>
      <c r="I419" s="219"/>
    </row>
    <row r="420" spans="1:9" s="230" customFormat="1">
      <c r="A420" s="542">
        <f t="shared" si="7"/>
        <v>412</v>
      </c>
      <c r="B420" s="220" t="s">
        <v>1951</v>
      </c>
      <c r="C420" s="221" t="s">
        <v>641</v>
      </c>
      <c r="D420" s="240" t="s">
        <v>5533</v>
      </c>
      <c r="E420" s="231" t="s">
        <v>1751</v>
      </c>
      <c r="F420" s="231" t="s">
        <v>407</v>
      </c>
      <c r="G420" s="223">
        <v>1300</v>
      </c>
      <c r="H420" s="341">
        <v>0.8</v>
      </c>
      <c r="I420" s="219"/>
    </row>
    <row r="421" spans="1:9" s="230" customFormat="1">
      <c r="A421" s="542">
        <f t="shared" si="7"/>
        <v>413</v>
      </c>
      <c r="B421" s="220" t="s">
        <v>1952</v>
      </c>
      <c r="C421" s="221" t="s">
        <v>641</v>
      </c>
      <c r="D421" s="240" t="s">
        <v>5533</v>
      </c>
      <c r="E421" s="231" t="s">
        <v>1751</v>
      </c>
      <c r="F421" s="231" t="s">
        <v>407</v>
      </c>
      <c r="G421" s="223">
        <v>715</v>
      </c>
      <c r="H421" s="341">
        <v>0.8</v>
      </c>
      <c r="I421" s="219"/>
    </row>
    <row r="422" spans="1:9" s="230" customFormat="1">
      <c r="A422" s="542">
        <f t="shared" si="7"/>
        <v>414</v>
      </c>
      <c r="B422" s="220" t="s">
        <v>1953</v>
      </c>
      <c r="C422" s="221" t="s">
        <v>5592</v>
      </c>
      <c r="D422" s="240" t="s">
        <v>5533</v>
      </c>
      <c r="E422" s="231" t="s">
        <v>1755</v>
      </c>
      <c r="F422" s="231" t="s">
        <v>407</v>
      </c>
      <c r="G422" s="223">
        <v>650</v>
      </c>
      <c r="H422" s="341">
        <v>0.5</v>
      </c>
      <c r="I422" s="219"/>
    </row>
    <row r="423" spans="1:9" s="230" customFormat="1">
      <c r="A423" s="542">
        <f t="shared" si="7"/>
        <v>415</v>
      </c>
      <c r="B423" s="220" t="s">
        <v>1954</v>
      </c>
      <c r="C423" s="221" t="s">
        <v>5592</v>
      </c>
      <c r="D423" s="240" t="s">
        <v>5533</v>
      </c>
      <c r="E423" s="231" t="s">
        <v>1755</v>
      </c>
      <c r="F423" s="231" t="s">
        <v>407</v>
      </c>
      <c r="G423" s="223">
        <v>187</v>
      </c>
      <c r="H423" s="341">
        <v>0.45</v>
      </c>
      <c r="I423" s="219"/>
    </row>
    <row r="424" spans="1:9" s="230" customFormat="1">
      <c r="A424" s="542">
        <f t="shared" si="7"/>
        <v>416</v>
      </c>
      <c r="B424" s="220" t="s">
        <v>1955</v>
      </c>
      <c r="C424" s="221" t="s">
        <v>5592</v>
      </c>
      <c r="D424" s="240" t="s">
        <v>5533</v>
      </c>
      <c r="E424" s="231" t="s">
        <v>1758</v>
      </c>
      <c r="F424" s="231" t="s">
        <v>407</v>
      </c>
      <c r="G424" s="223">
        <v>90</v>
      </c>
      <c r="H424" s="341">
        <v>0.4</v>
      </c>
      <c r="I424" s="219"/>
    </row>
    <row r="425" spans="1:9" s="230" customFormat="1">
      <c r="A425" s="542">
        <f t="shared" si="7"/>
        <v>417</v>
      </c>
      <c r="B425" s="220" t="s">
        <v>1959</v>
      </c>
      <c r="C425" s="221" t="s">
        <v>5594</v>
      </c>
      <c r="D425" s="240" t="s">
        <v>5533</v>
      </c>
      <c r="E425" s="231" t="s">
        <v>1763</v>
      </c>
      <c r="F425" s="231" t="s">
        <v>407</v>
      </c>
      <c r="G425" s="223">
        <v>395</v>
      </c>
      <c r="H425" s="341">
        <v>0.45</v>
      </c>
      <c r="I425" s="219"/>
    </row>
    <row r="426" spans="1:9" s="230" customFormat="1">
      <c r="A426" s="542">
        <f t="shared" si="7"/>
        <v>418</v>
      </c>
      <c r="B426" s="220" t="s">
        <v>1960</v>
      </c>
      <c r="C426" s="221" t="s">
        <v>5594</v>
      </c>
      <c r="D426" s="240" t="s">
        <v>5533</v>
      </c>
      <c r="E426" s="231" t="s">
        <v>1763</v>
      </c>
      <c r="F426" s="231" t="s">
        <v>407</v>
      </c>
      <c r="G426" s="223">
        <v>260</v>
      </c>
      <c r="H426" s="341">
        <v>0.4</v>
      </c>
      <c r="I426" s="219"/>
    </row>
    <row r="427" spans="1:9" s="230" customFormat="1">
      <c r="A427" s="542">
        <f t="shared" si="7"/>
        <v>419</v>
      </c>
      <c r="B427" s="220" t="s">
        <v>1961</v>
      </c>
      <c r="C427" s="221" t="s">
        <v>5594</v>
      </c>
      <c r="D427" s="240" t="s">
        <v>5533</v>
      </c>
      <c r="E427" s="231" t="s">
        <v>1763</v>
      </c>
      <c r="F427" s="231" t="s">
        <v>407</v>
      </c>
      <c r="G427" s="223">
        <v>259</v>
      </c>
      <c r="H427" s="341">
        <v>0.4</v>
      </c>
      <c r="I427" s="219"/>
    </row>
    <row r="428" spans="1:9" s="230" customFormat="1">
      <c r="A428" s="542">
        <f t="shared" si="7"/>
        <v>420</v>
      </c>
      <c r="B428" s="220" t="s">
        <v>1962</v>
      </c>
      <c r="C428" s="221" t="s">
        <v>5594</v>
      </c>
      <c r="D428" s="240" t="s">
        <v>5533</v>
      </c>
      <c r="E428" s="231" t="s">
        <v>1763</v>
      </c>
      <c r="F428" s="231" t="s">
        <v>407</v>
      </c>
      <c r="G428" s="223">
        <v>325</v>
      </c>
      <c r="H428" s="341">
        <v>0.4</v>
      </c>
      <c r="I428" s="219"/>
    </row>
    <row r="429" spans="1:9" s="230" customFormat="1">
      <c r="A429" s="542">
        <f t="shared" si="7"/>
        <v>421</v>
      </c>
      <c r="B429" s="220" t="s">
        <v>1963</v>
      </c>
      <c r="C429" s="221" t="s">
        <v>5594</v>
      </c>
      <c r="D429" s="240" t="s">
        <v>5533</v>
      </c>
      <c r="E429" s="231" t="s">
        <v>1763</v>
      </c>
      <c r="F429" s="231" t="s">
        <v>407</v>
      </c>
      <c r="G429" s="223">
        <v>240</v>
      </c>
      <c r="H429" s="341">
        <v>0.4</v>
      </c>
      <c r="I429" s="219"/>
    </row>
    <row r="430" spans="1:9" s="230" customFormat="1">
      <c r="A430" s="542">
        <f t="shared" si="7"/>
        <v>422</v>
      </c>
      <c r="B430" s="220" t="s">
        <v>1964</v>
      </c>
      <c r="C430" s="221" t="s">
        <v>5594</v>
      </c>
      <c r="D430" s="240" t="s">
        <v>5533</v>
      </c>
      <c r="E430" s="231" t="s">
        <v>1763</v>
      </c>
      <c r="F430" s="231" t="s">
        <v>407</v>
      </c>
      <c r="G430" s="223">
        <v>170</v>
      </c>
      <c r="H430" s="341">
        <v>0.4</v>
      </c>
      <c r="I430" s="219"/>
    </row>
    <row r="431" spans="1:9" s="230" customFormat="1">
      <c r="A431" s="542">
        <f t="shared" si="7"/>
        <v>423</v>
      </c>
      <c r="B431" s="220" t="s">
        <v>1965</v>
      </c>
      <c r="C431" s="221" t="s">
        <v>5594</v>
      </c>
      <c r="D431" s="240" t="s">
        <v>5533</v>
      </c>
      <c r="E431" s="231" t="s">
        <v>1763</v>
      </c>
      <c r="F431" s="231" t="s">
        <v>407</v>
      </c>
      <c r="G431" s="223">
        <v>235</v>
      </c>
      <c r="H431" s="341">
        <v>0.4</v>
      </c>
      <c r="I431" s="219"/>
    </row>
    <row r="432" spans="1:9" s="230" customFormat="1">
      <c r="A432" s="542">
        <f t="shared" si="7"/>
        <v>424</v>
      </c>
      <c r="B432" s="220" t="s">
        <v>1966</v>
      </c>
      <c r="C432" s="221" t="s">
        <v>5594</v>
      </c>
      <c r="D432" s="240" t="s">
        <v>5533</v>
      </c>
      <c r="E432" s="231" t="s">
        <v>1778</v>
      </c>
      <c r="F432" s="231" t="s">
        <v>407</v>
      </c>
      <c r="G432" s="223">
        <v>334</v>
      </c>
      <c r="H432" s="341">
        <v>0.4</v>
      </c>
      <c r="I432" s="219"/>
    </row>
    <row r="433" spans="1:9" s="230" customFormat="1">
      <c r="A433" s="542">
        <f t="shared" si="7"/>
        <v>425</v>
      </c>
      <c r="B433" s="220" t="s">
        <v>1967</v>
      </c>
      <c r="C433" s="221" t="s">
        <v>5594</v>
      </c>
      <c r="D433" s="240" t="s">
        <v>5533</v>
      </c>
      <c r="E433" s="231" t="s">
        <v>1778</v>
      </c>
      <c r="F433" s="231" t="s">
        <v>407</v>
      </c>
      <c r="G433" s="223">
        <v>280</v>
      </c>
      <c r="H433" s="341">
        <v>0.3</v>
      </c>
      <c r="I433" s="219"/>
    </row>
    <row r="434" spans="1:9" s="230" customFormat="1">
      <c r="A434" s="542">
        <f t="shared" si="7"/>
        <v>426</v>
      </c>
      <c r="B434" s="220" t="s">
        <v>1968</v>
      </c>
      <c r="C434" s="221" t="s">
        <v>5594</v>
      </c>
      <c r="D434" s="240" t="s">
        <v>5533</v>
      </c>
      <c r="E434" s="231" t="s">
        <v>1790</v>
      </c>
      <c r="F434" s="231" t="s">
        <v>407</v>
      </c>
      <c r="G434" s="223">
        <v>70</v>
      </c>
      <c r="H434" s="341">
        <v>0.4</v>
      </c>
      <c r="I434" s="219"/>
    </row>
    <row r="435" spans="1:9" s="230" customFormat="1">
      <c r="A435" s="542">
        <f t="shared" si="7"/>
        <v>427</v>
      </c>
      <c r="B435" s="220" t="s">
        <v>1969</v>
      </c>
      <c r="C435" s="221" t="s">
        <v>5594</v>
      </c>
      <c r="D435" s="240" t="s">
        <v>5533</v>
      </c>
      <c r="E435" s="231" t="s">
        <v>1790</v>
      </c>
      <c r="F435" s="231" t="s">
        <v>407</v>
      </c>
      <c r="G435" s="223">
        <v>390</v>
      </c>
      <c r="H435" s="341">
        <v>0.5</v>
      </c>
      <c r="I435" s="219"/>
    </row>
    <row r="436" spans="1:9" s="230" customFormat="1">
      <c r="A436" s="542">
        <f t="shared" si="7"/>
        <v>428</v>
      </c>
      <c r="B436" s="220" t="s">
        <v>1970</v>
      </c>
      <c r="C436" s="221" t="s">
        <v>5594</v>
      </c>
      <c r="D436" s="240" t="s">
        <v>5533</v>
      </c>
      <c r="E436" s="231" t="s">
        <v>1790</v>
      </c>
      <c r="F436" s="231" t="s">
        <v>407</v>
      </c>
      <c r="G436" s="223">
        <v>161</v>
      </c>
      <c r="H436" s="341">
        <v>0.4</v>
      </c>
      <c r="I436" s="219"/>
    </row>
    <row r="437" spans="1:9" s="230" customFormat="1">
      <c r="A437" s="542">
        <f t="shared" si="7"/>
        <v>429</v>
      </c>
      <c r="B437" s="220" t="s">
        <v>1971</v>
      </c>
      <c r="C437" s="221" t="s">
        <v>5594</v>
      </c>
      <c r="D437" s="240" t="s">
        <v>5533</v>
      </c>
      <c r="E437" s="231" t="s">
        <v>1790</v>
      </c>
      <c r="F437" s="231" t="s">
        <v>407</v>
      </c>
      <c r="G437" s="223">
        <v>421</v>
      </c>
      <c r="H437" s="341">
        <v>0.45</v>
      </c>
      <c r="I437" s="219"/>
    </row>
    <row r="438" spans="1:9" s="230" customFormat="1">
      <c r="A438" s="542">
        <f t="shared" si="7"/>
        <v>430</v>
      </c>
      <c r="B438" s="220" t="s">
        <v>1972</v>
      </c>
      <c r="C438" s="221" t="s">
        <v>5594</v>
      </c>
      <c r="D438" s="240" t="s">
        <v>5533</v>
      </c>
      <c r="E438" s="231" t="s">
        <v>1790</v>
      </c>
      <c r="F438" s="231" t="s">
        <v>407</v>
      </c>
      <c r="G438" s="223">
        <v>791</v>
      </c>
      <c r="H438" s="341">
        <v>0.45</v>
      </c>
      <c r="I438" s="219"/>
    </row>
    <row r="439" spans="1:9" s="230" customFormat="1">
      <c r="A439" s="542">
        <f t="shared" si="7"/>
        <v>431</v>
      </c>
      <c r="B439" s="220" t="s">
        <v>1973</v>
      </c>
      <c r="C439" s="221" t="s">
        <v>5594</v>
      </c>
      <c r="D439" s="240" t="s">
        <v>5533</v>
      </c>
      <c r="E439" s="231" t="s">
        <v>1790</v>
      </c>
      <c r="F439" s="231" t="s">
        <v>407</v>
      </c>
      <c r="G439" s="223">
        <v>327</v>
      </c>
      <c r="H439" s="341">
        <v>0.45</v>
      </c>
      <c r="I439" s="219"/>
    </row>
    <row r="440" spans="1:9" s="230" customFormat="1">
      <c r="A440" s="542">
        <f t="shared" si="7"/>
        <v>432</v>
      </c>
      <c r="B440" s="220" t="s">
        <v>1974</v>
      </c>
      <c r="C440" s="221" t="s">
        <v>5594</v>
      </c>
      <c r="D440" s="240" t="s">
        <v>5533</v>
      </c>
      <c r="E440" s="231" t="s">
        <v>1799</v>
      </c>
      <c r="F440" s="231" t="s">
        <v>407</v>
      </c>
      <c r="G440" s="223">
        <v>135</v>
      </c>
      <c r="H440" s="341">
        <v>0.4</v>
      </c>
      <c r="I440" s="219"/>
    </row>
    <row r="441" spans="1:9" s="230" customFormat="1">
      <c r="A441" s="542">
        <f t="shared" si="7"/>
        <v>433</v>
      </c>
      <c r="B441" s="220" t="s">
        <v>1975</v>
      </c>
      <c r="C441" s="221" t="s">
        <v>5594</v>
      </c>
      <c r="D441" s="240" t="s">
        <v>5533</v>
      </c>
      <c r="E441" s="231" t="s">
        <v>1799</v>
      </c>
      <c r="F441" s="231" t="s">
        <v>407</v>
      </c>
      <c r="G441" s="223">
        <v>425</v>
      </c>
      <c r="H441" s="341">
        <v>0.4</v>
      </c>
      <c r="I441" s="219"/>
    </row>
    <row r="442" spans="1:9" s="230" customFormat="1">
      <c r="A442" s="542">
        <f t="shared" si="7"/>
        <v>434</v>
      </c>
      <c r="B442" s="220" t="s">
        <v>1976</v>
      </c>
      <c r="C442" s="221" t="s">
        <v>5594</v>
      </c>
      <c r="D442" s="240" t="s">
        <v>5533</v>
      </c>
      <c r="E442" s="231" t="s">
        <v>1799</v>
      </c>
      <c r="F442" s="231" t="s">
        <v>407</v>
      </c>
      <c r="G442" s="223">
        <v>306</v>
      </c>
      <c r="H442" s="341">
        <v>0.4</v>
      </c>
      <c r="I442" s="219"/>
    </row>
    <row r="443" spans="1:9" s="230" customFormat="1">
      <c r="A443" s="542">
        <f t="shared" si="7"/>
        <v>435</v>
      </c>
      <c r="B443" s="220" t="s">
        <v>1977</v>
      </c>
      <c r="C443" s="221" t="s">
        <v>5594</v>
      </c>
      <c r="D443" s="240" t="s">
        <v>5533</v>
      </c>
      <c r="E443" s="231" t="s">
        <v>1799</v>
      </c>
      <c r="F443" s="231" t="s">
        <v>407</v>
      </c>
      <c r="G443" s="223">
        <v>565</v>
      </c>
      <c r="H443" s="341">
        <v>0.4</v>
      </c>
      <c r="I443" s="219"/>
    </row>
    <row r="444" spans="1:9" s="230" customFormat="1">
      <c r="A444" s="542">
        <f t="shared" si="7"/>
        <v>436</v>
      </c>
      <c r="B444" s="220" t="s">
        <v>1980</v>
      </c>
      <c r="C444" s="221" t="s">
        <v>5594</v>
      </c>
      <c r="D444" s="240" t="s">
        <v>5533</v>
      </c>
      <c r="E444" s="231" t="s">
        <v>1803</v>
      </c>
      <c r="F444" s="231" t="s">
        <v>407</v>
      </c>
      <c r="G444" s="223">
        <v>341</v>
      </c>
      <c r="H444" s="341">
        <v>0.4</v>
      </c>
      <c r="I444" s="219"/>
    </row>
    <row r="445" spans="1:9" s="230" customFormat="1">
      <c r="A445" s="542">
        <f t="shared" si="7"/>
        <v>437</v>
      </c>
      <c r="B445" s="220" t="s">
        <v>1981</v>
      </c>
      <c r="C445" s="221" t="s">
        <v>5594</v>
      </c>
      <c r="D445" s="240" t="s">
        <v>5533</v>
      </c>
      <c r="E445" s="231" t="s">
        <v>1803</v>
      </c>
      <c r="F445" s="231" t="s">
        <v>407</v>
      </c>
      <c r="G445" s="223">
        <v>502</v>
      </c>
      <c r="H445" s="341">
        <v>0.4</v>
      </c>
      <c r="I445" s="219"/>
    </row>
    <row r="446" spans="1:9" s="230" customFormat="1">
      <c r="A446" s="542">
        <f t="shared" si="7"/>
        <v>438</v>
      </c>
      <c r="B446" s="220" t="s">
        <v>1982</v>
      </c>
      <c r="C446" s="221" t="s">
        <v>5594</v>
      </c>
      <c r="D446" s="240" t="s">
        <v>5533</v>
      </c>
      <c r="E446" s="231" t="s">
        <v>1803</v>
      </c>
      <c r="F446" s="231" t="s">
        <v>407</v>
      </c>
      <c r="G446" s="223">
        <v>378</v>
      </c>
      <c r="H446" s="341">
        <v>0.3</v>
      </c>
      <c r="I446" s="219"/>
    </row>
    <row r="447" spans="1:9" s="230" customFormat="1">
      <c r="A447" s="542">
        <f t="shared" si="7"/>
        <v>439</v>
      </c>
      <c r="B447" s="220" t="s">
        <v>1983</v>
      </c>
      <c r="C447" s="221" t="s">
        <v>5594</v>
      </c>
      <c r="D447" s="240" t="s">
        <v>5533</v>
      </c>
      <c r="E447" s="231" t="s">
        <v>1803</v>
      </c>
      <c r="F447" s="231" t="s">
        <v>407</v>
      </c>
      <c r="G447" s="223">
        <v>464</v>
      </c>
      <c r="H447" s="341">
        <v>0.3</v>
      </c>
      <c r="I447" s="219"/>
    </row>
    <row r="448" spans="1:9" s="230" customFormat="1">
      <c r="A448" s="542">
        <f t="shared" si="7"/>
        <v>440</v>
      </c>
      <c r="B448" s="220" t="s">
        <v>1984</v>
      </c>
      <c r="C448" s="221" t="s">
        <v>5594</v>
      </c>
      <c r="D448" s="240" t="s">
        <v>5533</v>
      </c>
      <c r="E448" s="231" t="s">
        <v>1803</v>
      </c>
      <c r="F448" s="231" t="s">
        <v>407</v>
      </c>
      <c r="G448" s="223">
        <v>475</v>
      </c>
      <c r="H448" s="341">
        <v>0.4</v>
      </c>
      <c r="I448" s="219"/>
    </row>
    <row r="449" spans="1:9" s="230" customFormat="1">
      <c r="A449" s="542">
        <f t="shared" si="7"/>
        <v>441</v>
      </c>
      <c r="B449" s="220" t="s">
        <v>5648</v>
      </c>
      <c r="C449" s="221" t="s">
        <v>5594</v>
      </c>
      <c r="D449" s="240" t="s">
        <v>5533</v>
      </c>
      <c r="E449" s="231" t="s">
        <v>1912</v>
      </c>
      <c r="F449" s="231" t="s">
        <v>407</v>
      </c>
      <c r="G449" s="223">
        <v>410</v>
      </c>
      <c r="H449" s="341">
        <v>0.5</v>
      </c>
      <c r="I449" s="219"/>
    </row>
    <row r="450" spans="1:9" s="230" customFormat="1">
      <c r="A450" s="542">
        <f t="shared" si="7"/>
        <v>442</v>
      </c>
      <c r="B450" s="220" t="s">
        <v>1985</v>
      </c>
      <c r="C450" s="221" t="s">
        <v>5594</v>
      </c>
      <c r="D450" s="240" t="s">
        <v>5533</v>
      </c>
      <c r="E450" s="231" t="s">
        <v>1807</v>
      </c>
      <c r="F450" s="231" t="s">
        <v>407</v>
      </c>
      <c r="G450" s="223">
        <v>559</v>
      </c>
      <c r="H450" s="341">
        <v>0.4</v>
      </c>
      <c r="I450" s="219"/>
    </row>
    <row r="451" spans="1:9" s="230" customFormat="1">
      <c r="A451" s="542">
        <f t="shared" si="7"/>
        <v>443</v>
      </c>
      <c r="B451" s="220" t="s">
        <v>1986</v>
      </c>
      <c r="C451" s="221" t="s">
        <v>5594</v>
      </c>
      <c r="D451" s="240" t="s">
        <v>5533</v>
      </c>
      <c r="E451" s="231" t="s">
        <v>1807</v>
      </c>
      <c r="F451" s="231" t="s">
        <v>407</v>
      </c>
      <c r="G451" s="223">
        <v>370</v>
      </c>
      <c r="H451" s="341">
        <v>0.4</v>
      </c>
      <c r="I451" s="219"/>
    </row>
    <row r="452" spans="1:9" s="230" customFormat="1">
      <c r="A452" s="542">
        <f t="shared" si="7"/>
        <v>444</v>
      </c>
      <c r="B452" s="220" t="s">
        <v>1987</v>
      </c>
      <c r="C452" s="221" t="s">
        <v>5594</v>
      </c>
      <c r="D452" s="240" t="s">
        <v>5533</v>
      </c>
      <c r="E452" s="231" t="s">
        <v>1807</v>
      </c>
      <c r="F452" s="231" t="s">
        <v>407</v>
      </c>
      <c r="G452" s="223">
        <v>463</v>
      </c>
      <c r="H452" s="341">
        <v>0.4</v>
      </c>
      <c r="I452" s="219"/>
    </row>
    <row r="453" spans="1:9" s="230" customFormat="1">
      <c r="A453" s="542">
        <f t="shared" si="7"/>
        <v>445</v>
      </c>
      <c r="B453" s="220" t="s">
        <v>1988</v>
      </c>
      <c r="C453" s="221" t="s">
        <v>5594</v>
      </c>
      <c r="D453" s="240" t="s">
        <v>5533</v>
      </c>
      <c r="E453" s="231" t="s">
        <v>1807</v>
      </c>
      <c r="F453" s="231" t="s">
        <v>407</v>
      </c>
      <c r="G453" s="223">
        <v>355</v>
      </c>
      <c r="H453" s="341">
        <v>0.4</v>
      </c>
      <c r="I453" s="219"/>
    </row>
    <row r="454" spans="1:9" s="230" customFormat="1">
      <c r="A454" s="542">
        <f t="shared" si="7"/>
        <v>446</v>
      </c>
      <c r="B454" s="220" t="s">
        <v>1989</v>
      </c>
      <c r="C454" s="221" t="s">
        <v>5594</v>
      </c>
      <c r="D454" s="240" t="s">
        <v>5533</v>
      </c>
      <c r="E454" s="231" t="s">
        <v>1791</v>
      </c>
      <c r="F454" s="231" t="s">
        <v>407</v>
      </c>
      <c r="G454" s="223">
        <v>430</v>
      </c>
      <c r="H454" s="341">
        <v>0.4</v>
      </c>
      <c r="I454" s="219"/>
    </row>
    <row r="455" spans="1:9" s="230" customFormat="1">
      <c r="A455" s="542">
        <f t="shared" si="7"/>
        <v>447</v>
      </c>
      <c r="B455" s="220" t="s">
        <v>1990</v>
      </c>
      <c r="C455" s="221" t="s">
        <v>5594</v>
      </c>
      <c r="D455" s="240" t="s">
        <v>5533</v>
      </c>
      <c r="E455" s="231" t="s">
        <v>1791</v>
      </c>
      <c r="F455" s="231" t="s">
        <v>407</v>
      </c>
      <c r="G455" s="223">
        <v>427</v>
      </c>
      <c r="H455" s="341">
        <v>0.5</v>
      </c>
      <c r="I455" s="219"/>
    </row>
    <row r="456" spans="1:9" s="230" customFormat="1">
      <c r="A456" s="542">
        <f t="shared" si="7"/>
        <v>448</v>
      </c>
      <c r="B456" s="220" t="s">
        <v>1991</v>
      </c>
      <c r="C456" s="221" t="s">
        <v>5594</v>
      </c>
      <c r="D456" s="240" t="s">
        <v>5533</v>
      </c>
      <c r="E456" s="231" t="s">
        <v>1793</v>
      </c>
      <c r="F456" s="231" t="s">
        <v>407</v>
      </c>
      <c r="G456" s="223">
        <v>68</v>
      </c>
      <c r="H456" s="341">
        <v>0.5</v>
      </c>
      <c r="I456" s="219"/>
    </row>
    <row r="457" spans="1:9" s="230" customFormat="1">
      <c r="A457" s="542">
        <f t="shared" ref="A457:A520" si="8">A456+1</f>
        <v>449</v>
      </c>
      <c r="B457" s="220" t="s">
        <v>1992</v>
      </c>
      <c r="C457" s="221" t="s">
        <v>5594</v>
      </c>
      <c r="D457" s="240" t="s">
        <v>5533</v>
      </c>
      <c r="E457" s="231" t="s">
        <v>1793</v>
      </c>
      <c r="F457" s="231" t="s">
        <v>407</v>
      </c>
      <c r="G457" s="223">
        <v>140</v>
      </c>
      <c r="H457" s="341">
        <v>0.5</v>
      </c>
      <c r="I457" s="219"/>
    </row>
    <row r="458" spans="1:9" s="230" customFormat="1">
      <c r="A458" s="542">
        <f t="shared" si="8"/>
        <v>450</v>
      </c>
      <c r="B458" s="220" t="s">
        <v>1993</v>
      </c>
      <c r="C458" s="221" t="s">
        <v>5594</v>
      </c>
      <c r="D458" s="240" t="s">
        <v>5533</v>
      </c>
      <c r="E458" s="231" t="s">
        <v>1793</v>
      </c>
      <c r="F458" s="231" t="s">
        <v>407</v>
      </c>
      <c r="G458" s="223">
        <v>1195</v>
      </c>
      <c r="H458" s="341">
        <v>0.5</v>
      </c>
      <c r="I458" s="219"/>
    </row>
    <row r="459" spans="1:9" s="230" customFormat="1">
      <c r="A459" s="542">
        <f t="shared" si="8"/>
        <v>451</v>
      </c>
      <c r="B459" s="220" t="s">
        <v>1994</v>
      </c>
      <c r="C459" s="221" t="s">
        <v>5594</v>
      </c>
      <c r="D459" s="240" t="s">
        <v>5533</v>
      </c>
      <c r="E459" s="231" t="s">
        <v>1793</v>
      </c>
      <c r="F459" s="231" t="s">
        <v>407</v>
      </c>
      <c r="G459" s="223">
        <v>1080</v>
      </c>
      <c r="H459" s="341">
        <v>1.75</v>
      </c>
      <c r="I459" s="219"/>
    </row>
    <row r="460" spans="1:9" s="230" customFormat="1">
      <c r="A460" s="542">
        <f t="shared" si="8"/>
        <v>452</v>
      </c>
      <c r="B460" s="220" t="s">
        <v>1798</v>
      </c>
      <c r="C460" s="221" t="s">
        <v>5594</v>
      </c>
      <c r="D460" s="240" t="s">
        <v>5533</v>
      </c>
      <c r="E460" s="231" t="s">
        <v>1793</v>
      </c>
      <c r="F460" s="231" t="s">
        <v>407</v>
      </c>
      <c r="G460" s="223">
        <v>1405</v>
      </c>
      <c r="H460" s="341">
        <v>1.8</v>
      </c>
      <c r="I460" s="219"/>
    </row>
    <row r="461" spans="1:9" s="230" customFormat="1">
      <c r="A461" s="542">
        <f t="shared" si="8"/>
        <v>453</v>
      </c>
      <c r="B461" s="220" t="s">
        <v>1996</v>
      </c>
      <c r="C461" s="221" t="s">
        <v>5594</v>
      </c>
      <c r="D461" s="240" t="s">
        <v>5533</v>
      </c>
      <c r="E461" s="231" t="s">
        <v>1994</v>
      </c>
      <c r="F461" s="231" t="s">
        <v>407</v>
      </c>
      <c r="G461" s="223">
        <v>238</v>
      </c>
      <c r="H461" s="341">
        <v>0.4</v>
      </c>
      <c r="I461" s="219"/>
    </row>
    <row r="462" spans="1:9" s="230" customFormat="1">
      <c r="A462" s="542">
        <f t="shared" si="8"/>
        <v>454</v>
      </c>
      <c r="B462" s="220" t="s">
        <v>1997</v>
      </c>
      <c r="C462" s="221" t="s">
        <v>5594</v>
      </c>
      <c r="D462" s="240" t="s">
        <v>5533</v>
      </c>
      <c r="E462" s="231" t="s">
        <v>1994</v>
      </c>
      <c r="F462" s="231" t="s">
        <v>407</v>
      </c>
      <c r="G462" s="223">
        <v>910</v>
      </c>
      <c r="H462" s="341">
        <v>1.2</v>
      </c>
      <c r="I462" s="219"/>
    </row>
    <row r="463" spans="1:9" s="230" customFormat="1">
      <c r="A463" s="542">
        <f t="shared" si="8"/>
        <v>455</v>
      </c>
      <c r="B463" s="220" t="s">
        <v>1998</v>
      </c>
      <c r="C463" s="221" t="s">
        <v>5594</v>
      </c>
      <c r="D463" s="240" t="s">
        <v>5533</v>
      </c>
      <c r="E463" s="231" t="s">
        <v>1994</v>
      </c>
      <c r="F463" s="231" t="s">
        <v>407</v>
      </c>
      <c r="G463" s="223">
        <v>1180</v>
      </c>
      <c r="H463" s="341">
        <v>1.2</v>
      </c>
      <c r="I463" s="219"/>
    </row>
    <row r="464" spans="1:9" s="230" customFormat="1">
      <c r="A464" s="542">
        <f t="shared" si="8"/>
        <v>456</v>
      </c>
      <c r="B464" s="220" t="s">
        <v>5649</v>
      </c>
      <c r="C464" s="221" t="s">
        <v>5594</v>
      </c>
      <c r="D464" s="240" t="s">
        <v>5533</v>
      </c>
      <c r="E464" s="231" t="s">
        <v>1798</v>
      </c>
      <c r="F464" s="231" t="s">
        <v>407</v>
      </c>
      <c r="G464" s="223">
        <v>551</v>
      </c>
      <c r="H464" s="341">
        <v>0.4</v>
      </c>
      <c r="I464" s="219"/>
    </row>
    <row r="465" spans="1:9" s="230" customFormat="1">
      <c r="A465" s="542">
        <f t="shared" si="8"/>
        <v>457</v>
      </c>
      <c r="B465" s="220" t="s">
        <v>1999</v>
      </c>
      <c r="C465" s="221" t="s">
        <v>5594</v>
      </c>
      <c r="D465" s="240" t="s">
        <v>5533</v>
      </c>
      <c r="E465" s="231" t="s">
        <v>1796</v>
      </c>
      <c r="F465" s="231" t="s">
        <v>407</v>
      </c>
      <c r="G465" s="223">
        <v>455</v>
      </c>
      <c r="H465" s="341">
        <v>0.3</v>
      </c>
      <c r="I465" s="219"/>
    </row>
    <row r="466" spans="1:9" s="230" customFormat="1">
      <c r="A466" s="542">
        <f t="shared" si="8"/>
        <v>458</v>
      </c>
      <c r="B466" s="220" t="s">
        <v>5650</v>
      </c>
      <c r="C466" s="221" t="s">
        <v>5594</v>
      </c>
      <c r="D466" s="240" t="s">
        <v>5533</v>
      </c>
      <c r="E466" s="231" t="s">
        <v>1796</v>
      </c>
      <c r="F466" s="231" t="s">
        <v>407</v>
      </c>
      <c r="G466" s="223">
        <v>140</v>
      </c>
      <c r="H466" s="341">
        <v>0.4</v>
      </c>
      <c r="I466" s="219"/>
    </row>
    <row r="467" spans="1:9" s="230" customFormat="1">
      <c r="A467" s="542">
        <f t="shared" si="8"/>
        <v>459</v>
      </c>
      <c r="B467" s="220" t="s">
        <v>2001</v>
      </c>
      <c r="C467" s="221" t="s">
        <v>5594</v>
      </c>
      <c r="D467" s="240" t="s">
        <v>5533</v>
      </c>
      <c r="E467" s="231" t="s">
        <v>1797</v>
      </c>
      <c r="F467" s="231" t="s">
        <v>407</v>
      </c>
      <c r="G467" s="223">
        <v>325</v>
      </c>
      <c r="H467" s="341">
        <v>0.4</v>
      </c>
      <c r="I467" s="219"/>
    </row>
    <row r="468" spans="1:9" s="230" customFormat="1">
      <c r="A468" s="542">
        <f t="shared" si="8"/>
        <v>460</v>
      </c>
      <c r="B468" s="220" t="s">
        <v>2002</v>
      </c>
      <c r="C468" s="221" t="s">
        <v>5594</v>
      </c>
      <c r="D468" s="240" t="s">
        <v>5533</v>
      </c>
      <c r="E468" s="231" t="s">
        <v>1797</v>
      </c>
      <c r="F468" s="231" t="s">
        <v>407</v>
      </c>
      <c r="G468" s="223">
        <v>210</v>
      </c>
      <c r="H468" s="341">
        <v>0.8</v>
      </c>
      <c r="I468" s="219"/>
    </row>
    <row r="469" spans="1:9" s="230" customFormat="1">
      <c r="A469" s="542">
        <f t="shared" si="8"/>
        <v>461</v>
      </c>
      <c r="B469" s="220" t="s">
        <v>2003</v>
      </c>
      <c r="C469" s="221" t="s">
        <v>5594</v>
      </c>
      <c r="D469" s="240" t="s">
        <v>5533</v>
      </c>
      <c r="E469" s="231" t="s">
        <v>1797</v>
      </c>
      <c r="F469" s="231" t="s">
        <v>407</v>
      </c>
      <c r="G469" s="223">
        <v>600</v>
      </c>
      <c r="H469" s="341">
        <v>0.7</v>
      </c>
      <c r="I469" s="219"/>
    </row>
    <row r="470" spans="1:9" s="230" customFormat="1">
      <c r="A470" s="542">
        <f t="shared" si="8"/>
        <v>462</v>
      </c>
      <c r="B470" s="220" t="s">
        <v>2004</v>
      </c>
      <c r="C470" s="221" t="s">
        <v>5594</v>
      </c>
      <c r="D470" s="240" t="s">
        <v>5533</v>
      </c>
      <c r="E470" s="231" t="s">
        <v>1797</v>
      </c>
      <c r="F470" s="231" t="s">
        <v>407</v>
      </c>
      <c r="G470" s="223">
        <v>461</v>
      </c>
      <c r="H470" s="341">
        <v>0.5</v>
      </c>
      <c r="I470" s="219"/>
    </row>
    <row r="471" spans="1:9" s="230" customFormat="1">
      <c r="A471" s="542">
        <f t="shared" si="8"/>
        <v>463</v>
      </c>
      <c r="B471" s="220" t="s">
        <v>2005</v>
      </c>
      <c r="C471" s="221" t="s">
        <v>5594</v>
      </c>
      <c r="D471" s="240" t="s">
        <v>5533</v>
      </c>
      <c r="E471" s="231" t="s">
        <v>1797</v>
      </c>
      <c r="F471" s="231" t="s">
        <v>407</v>
      </c>
      <c r="G471" s="223">
        <v>1420</v>
      </c>
      <c r="H471" s="341">
        <v>0.8</v>
      </c>
      <c r="I471" s="219"/>
    </row>
    <row r="472" spans="1:9" s="230" customFormat="1">
      <c r="A472" s="542">
        <f t="shared" si="8"/>
        <v>464</v>
      </c>
      <c r="B472" s="220" t="s">
        <v>2006</v>
      </c>
      <c r="C472" s="221" t="s">
        <v>5594</v>
      </c>
      <c r="D472" s="240" t="s">
        <v>5533</v>
      </c>
      <c r="E472" s="231" t="s">
        <v>1797</v>
      </c>
      <c r="F472" s="231" t="s">
        <v>407</v>
      </c>
      <c r="G472" s="223">
        <v>845</v>
      </c>
      <c r="H472" s="341">
        <v>0.5</v>
      </c>
      <c r="I472" s="219"/>
    </row>
    <row r="473" spans="1:9" s="230" customFormat="1">
      <c r="A473" s="542">
        <f t="shared" si="8"/>
        <v>465</v>
      </c>
      <c r="B473" s="220" t="s">
        <v>2007</v>
      </c>
      <c r="C473" s="221" t="s">
        <v>5594</v>
      </c>
      <c r="D473" s="240" t="s">
        <v>5533</v>
      </c>
      <c r="E473" s="231" t="s">
        <v>1797</v>
      </c>
      <c r="F473" s="231" t="s">
        <v>407</v>
      </c>
      <c r="G473" s="223">
        <v>410</v>
      </c>
      <c r="H473" s="341">
        <v>0.8</v>
      </c>
      <c r="I473" s="219"/>
    </row>
    <row r="474" spans="1:9" s="230" customFormat="1">
      <c r="A474" s="542">
        <f t="shared" si="8"/>
        <v>466</v>
      </c>
      <c r="B474" s="220" t="s">
        <v>2008</v>
      </c>
      <c r="C474" s="221" t="s">
        <v>5594</v>
      </c>
      <c r="D474" s="240" t="s">
        <v>5533</v>
      </c>
      <c r="E474" s="231" t="s">
        <v>1806</v>
      </c>
      <c r="F474" s="231" t="s">
        <v>407</v>
      </c>
      <c r="G474" s="223">
        <v>358</v>
      </c>
      <c r="H474" s="341">
        <v>0.4</v>
      </c>
      <c r="I474" s="219"/>
    </row>
    <row r="475" spans="1:9" s="230" customFormat="1">
      <c r="A475" s="542">
        <f t="shared" si="8"/>
        <v>467</v>
      </c>
      <c r="B475" s="220" t="s">
        <v>2009</v>
      </c>
      <c r="C475" s="221" t="s">
        <v>5594</v>
      </c>
      <c r="D475" s="240" t="s">
        <v>5533</v>
      </c>
      <c r="E475" s="231" t="s">
        <v>1806</v>
      </c>
      <c r="F475" s="231" t="s">
        <v>407</v>
      </c>
      <c r="G475" s="223">
        <v>183</v>
      </c>
      <c r="H475" s="341">
        <v>0.4</v>
      </c>
      <c r="I475" s="219"/>
    </row>
    <row r="476" spans="1:9" s="230" customFormat="1">
      <c r="A476" s="542">
        <f t="shared" si="8"/>
        <v>468</v>
      </c>
      <c r="B476" s="220" t="s">
        <v>2010</v>
      </c>
      <c r="C476" s="221" t="s">
        <v>5594</v>
      </c>
      <c r="D476" s="240" t="s">
        <v>5533</v>
      </c>
      <c r="E476" s="231" t="s">
        <v>1806</v>
      </c>
      <c r="F476" s="231" t="s">
        <v>407</v>
      </c>
      <c r="G476" s="223">
        <v>154</v>
      </c>
      <c r="H476" s="341">
        <v>0.4</v>
      </c>
      <c r="I476" s="219"/>
    </row>
    <row r="477" spans="1:9" s="230" customFormat="1">
      <c r="A477" s="542">
        <f t="shared" si="8"/>
        <v>469</v>
      </c>
      <c r="B477" s="220" t="s">
        <v>2011</v>
      </c>
      <c r="C477" s="221" t="s">
        <v>5594</v>
      </c>
      <c r="D477" s="240" t="s">
        <v>5533</v>
      </c>
      <c r="E477" s="231" t="s">
        <v>1806</v>
      </c>
      <c r="F477" s="231" t="s">
        <v>407</v>
      </c>
      <c r="G477" s="223">
        <v>207</v>
      </c>
      <c r="H477" s="341">
        <v>0.4</v>
      </c>
      <c r="I477" s="219"/>
    </row>
    <row r="478" spans="1:9" s="230" customFormat="1">
      <c r="A478" s="542">
        <f t="shared" si="8"/>
        <v>470</v>
      </c>
      <c r="B478" s="220" t="s">
        <v>2012</v>
      </c>
      <c r="C478" s="221" t="s">
        <v>5594</v>
      </c>
      <c r="D478" s="240" t="s">
        <v>5533</v>
      </c>
      <c r="E478" s="231" t="s">
        <v>1808</v>
      </c>
      <c r="F478" s="231" t="s">
        <v>407</v>
      </c>
      <c r="G478" s="223">
        <v>738</v>
      </c>
      <c r="H478" s="341">
        <v>0.4</v>
      </c>
      <c r="I478" s="219"/>
    </row>
    <row r="479" spans="1:9" s="230" customFormat="1">
      <c r="A479" s="542">
        <f t="shared" si="8"/>
        <v>471</v>
      </c>
      <c r="B479" s="220" t="s">
        <v>2013</v>
      </c>
      <c r="C479" s="221" t="s">
        <v>5594</v>
      </c>
      <c r="D479" s="240" t="s">
        <v>5533</v>
      </c>
      <c r="E479" s="231" t="s">
        <v>1808</v>
      </c>
      <c r="F479" s="231" t="s">
        <v>407</v>
      </c>
      <c r="G479" s="223">
        <v>475</v>
      </c>
      <c r="H479" s="341">
        <v>0.3</v>
      </c>
      <c r="I479" s="219"/>
    </row>
    <row r="480" spans="1:9" s="230" customFormat="1">
      <c r="A480" s="542">
        <f t="shared" si="8"/>
        <v>472</v>
      </c>
      <c r="B480" s="220" t="s">
        <v>2014</v>
      </c>
      <c r="C480" s="221" t="s">
        <v>5594</v>
      </c>
      <c r="D480" s="240" t="s">
        <v>5533</v>
      </c>
      <c r="E480" s="231" t="s">
        <v>1809</v>
      </c>
      <c r="F480" s="231" t="s">
        <v>407</v>
      </c>
      <c r="G480" s="223">
        <v>511</v>
      </c>
      <c r="H480" s="341">
        <v>0.5</v>
      </c>
      <c r="I480" s="219"/>
    </row>
    <row r="481" spans="1:9" s="230" customFormat="1">
      <c r="A481" s="542">
        <f t="shared" si="8"/>
        <v>473</v>
      </c>
      <c r="B481" s="220" t="s">
        <v>2015</v>
      </c>
      <c r="C481" s="221" t="s">
        <v>5594</v>
      </c>
      <c r="D481" s="240" t="s">
        <v>5533</v>
      </c>
      <c r="E481" s="231" t="s">
        <v>1809</v>
      </c>
      <c r="F481" s="231" t="s">
        <v>407</v>
      </c>
      <c r="G481" s="223">
        <v>498</v>
      </c>
      <c r="H481" s="341">
        <v>0.5</v>
      </c>
      <c r="I481" s="219"/>
    </row>
    <row r="482" spans="1:9" s="230" customFormat="1">
      <c r="A482" s="542">
        <f t="shared" si="8"/>
        <v>474</v>
      </c>
      <c r="B482" s="220" t="s">
        <v>2016</v>
      </c>
      <c r="C482" s="221" t="s">
        <v>5594</v>
      </c>
      <c r="D482" s="240" t="s">
        <v>5533</v>
      </c>
      <c r="E482" s="231" t="s">
        <v>1809</v>
      </c>
      <c r="F482" s="231" t="s">
        <v>407</v>
      </c>
      <c r="G482" s="223">
        <v>339</v>
      </c>
      <c r="H482" s="341">
        <v>1.2</v>
      </c>
      <c r="I482" s="219"/>
    </row>
    <row r="483" spans="1:9" s="230" customFormat="1">
      <c r="A483" s="542">
        <f t="shared" si="8"/>
        <v>475</v>
      </c>
      <c r="B483" s="220" t="s">
        <v>2017</v>
      </c>
      <c r="C483" s="221" t="s">
        <v>5594</v>
      </c>
      <c r="D483" s="240" t="s">
        <v>5533</v>
      </c>
      <c r="E483" s="231" t="s">
        <v>1809</v>
      </c>
      <c r="F483" s="231" t="s">
        <v>407</v>
      </c>
      <c r="G483" s="223">
        <v>228</v>
      </c>
      <c r="H483" s="341">
        <v>0.5</v>
      </c>
      <c r="I483" s="219"/>
    </row>
    <row r="484" spans="1:9" s="230" customFormat="1">
      <c r="A484" s="542">
        <f t="shared" si="8"/>
        <v>476</v>
      </c>
      <c r="B484" s="220" t="s">
        <v>2018</v>
      </c>
      <c r="C484" s="221" t="s">
        <v>5592</v>
      </c>
      <c r="D484" s="240" t="s">
        <v>5533</v>
      </c>
      <c r="E484" s="231" t="s">
        <v>1810</v>
      </c>
      <c r="F484" s="231" t="s">
        <v>407</v>
      </c>
      <c r="G484" s="223">
        <v>630</v>
      </c>
      <c r="H484" s="341">
        <v>0.5</v>
      </c>
      <c r="I484" s="219"/>
    </row>
    <row r="485" spans="1:9" s="230" customFormat="1">
      <c r="A485" s="542">
        <f t="shared" si="8"/>
        <v>477</v>
      </c>
      <c r="B485" s="220" t="s">
        <v>2019</v>
      </c>
      <c r="C485" s="221" t="s">
        <v>5592</v>
      </c>
      <c r="D485" s="240" t="s">
        <v>5533</v>
      </c>
      <c r="E485" s="231" t="s">
        <v>1810</v>
      </c>
      <c r="F485" s="231" t="s">
        <v>407</v>
      </c>
      <c r="G485" s="223">
        <v>439</v>
      </c>
      <c r="H485" s="341">
        <v>0.45</v>
      </c>
      <c r="I485" s="219"/>
    </row>
    <row r="486" spans="1:9" s="230" customFormat="1">
      <c r="A486" s="542">
        <f t="shared" si="8"/>
        <v>478</v>
      </c>
      <c r="B486" s="220" t="s">
        <v>2020</v>
      </c>
      <c r="C486" s="221" t="s">
        <v>5592</v>
      </c>
      <c r="D486" s="240" t="s">
        <v>5533</v>
      </c>
      <c r="E486" s="231" t="s">
        <v>1810</v>
      </c>
      <c r="F486" s="231" t="s">
        <v>407</v>
      </c>
      <c r="G486" s="223">
        <v>280</v>
      </c>
      <c r="H486" s="341">
        <v>0.45</v>
      </c>
      <c r="I486" s="219"/>
    </row>
    <row r="487" spans="1:9" s="230" customFormat="1">
      <c r="A487" s="542">
        <f t="shared" si="8"/>
        <v>479</v>
      </c>
      <c r="B487" s="220" t="s">
        <v>2021</v>
      </c>
      <c r="C487" s="221" t="s">
        <v>5594</v>
      </c>
      <c r="D487" s="240" t="s">
        <v>5533</v>
      </c>
      <c r="E487" s="231" t="s">
        <v>1812</v>
      </c>
      <c r="F487" s="231" t="s">
        <v>407</v>
      </c>
      <c r="G487" s="223">
        <v>405</v>
      </c>
      <c r="H487" s="341">
        <v>0.4</v>
      </c>
      <c r="I487" s="219"/>
    </row>
    <row r="488" spans="1:9" s="230" customFormat="1">
      <c r="A488" s="542">
        <f t="shared" si="8"/>
        <v>480</v>
      </c>
      <c r="B488" s="220" t="s">
        <v>2022</v>
      </c>
      <c r="C488" s="221" t="s">
        <v>5594</v>
      </c>
      <c r="D488" s="240" t="s">
        <v>5533</v>
      </c>
      <c r="E488" s="231" t="s">
        <v>1814</v>
      </c>
      <c r="F488" s="231" t="s">
        <v>407</v>
      </c>
      <c r="G488" s="223">
        <v>1220</v>
      </c>
      <c r="H488" s="341">
        <v>0.5</v>
      </c>
      <c r="I488" s="219"/>
    </row>
    <row r="489" spans="1:9" s="230" customFormat="1">
      <c r="A489" s="542">
        <f t="shared" si="8"/>
        <v>481</v>
      </c>
      <c r="B489" s="220" t="s">
        <v>2023</v>
      </c>
      <c r="C489" s="221" t="s">
        <v>5594</v>
      </c>
      <c r="D489" s="240" t="s">
        <v>5533</v>
      </c>
      <c r="E489" s="231" t="s">
        <v>1814</v>
      </c>
      <c r="F489" s="231" t="s">
        <v>407</v>
      </c>
      <c r="G489" s="223">
        <v>1260</v>
      </c>
      <c r="H489" s="341">
        <v>0.5</v>
      </c>
      <c r="I489" s="219"/>
    </row>
    <row r="490" spans="1:9" s="230" customFormat="1">
      <c r="A490" s="542">
        <f t="shared" si="8"/>
        <v>482</v>
      </c>
      <c r="B490" s="220" t="s">
        <v>2024</v>
      </c>
      <c r="C490" s="221" t="s">
        <v>5598</v>
      </c>
      <c r="D490" s="240" t="s">
        <v>5533</v>
      </c>
      <c r="E490" s="231" t="s">
        <v>1825</v>
      </c>
      <c r="F490" s="231" t="s">
        <v>407</v>
      </c>
      <c r="G490" s="223">
        <v>186</v>
      </c>
      <c r="H490" s="341">
        <v>0.45</v>
      </c>
      <c r="I490" s="219"/>
    </row>
    <row r="491" spans="1:9" s="230" customFormat="1">
      <c r="A491" s="542">
        <f t="shared" si="8"/>
        <v>483</v>
      </c>
      <c r="B491" s="220" t="s">
        <v>2025</v>
      </c>
      <c r="C491" s="221" t="s">
        <v>5598</v>
      </c>
      <c r="D491" s="240" t="s">
        <v>5533</v>
      </c>
      <c r="E491" s="231" t="s">
        <v>1825</v>
      </c>
      <c r="F491" s="231" t="s">
        <v>407</v>
      </c>
      <c r="G491" s="223">
        <v>188</v>
      </c>
      <c r="H491" s="341">
        <v>0.4</v>
      </c>
      <c r="I491" s="219"/>
    </row>
    <row r="492" spans="1:9" s="230" customFormat="1">
      <c r="A492" s="542">
        <f t="shared" si="8"/>
        <v>484</v>
      </c>
      <c r="B492" s="220" t="s">
        <v>2026</v>
      </c>
      <c r="C492" s="221" t="s">
        <v>5598</v>
      </c>
      <c r="D492" s="240" t="s">
        <v>5533</v>
      </c>
      <c r="E492" s="231" t="s">
        <v>1831</v>
      </c>
      <c r="F492" s="231" t="s">
        <v>407</v>
      </c>
      <c r="G492" s="223">
        <v>838</v>
      </c>
      <c r="H492" s="341">
        <v>0.45</v>
      </c>
      <c r="I492" s="219"/>
    </row>
    <row r="493" spans="1:9" s="230" customFormat="1">
      <c r="A493" s="542">
        <f t="shared" si="8"/>
        <v>485</v>
      </c>
      <c r="B493" s="220" t="s">
        <v>2027</v>
      </c>
      <c r="C493" s="221" t="s">
        <v>5598</v>
      </c>
      <c r="D493" s="240" t="s">
        <v>5533</v>
      </c>
      <c r="E493" s="231" t="s">
        <v>1831</v>
      </c>
      <c r="F493" s="231" t="s">
        <v>407</v>
      </c>
      <c r="G493" s="223">
        <v>840</v>
      </c>
      <c r="H493" s="341">
        <v>0.45</v>
      </c>
      <c r="I493" s="219"/>
    </row>
    <row r="494" spans="1:9" s="230" customFormat="1">
      <c r="A494" s="542">
        <f t="shared" si="8"/>
        <v>486</v>
      </c>
      <c r="B494" s="220" t="s">
        <v>2028</v>
      </c>
      <c r="C494" s="221" t="s">
        <v>5598</v>
      </c>
      <c r="D494" s="240" t="s">
        <v>5533</v>
      </c>
      <c r="E494" s="231" t="s">
        <v>1831</v>
      </c>
      <c r="F494" s="231" t="s">
        <v>407</v>
      </c>
      <c r="G494" s="223">
        <v>381</v>
      </c>
      <c r="H494" s="341">
        <v>0.4</v>
      </c>
      <c r="I494" s="219"/>
    </row>
    <row r="495" spans="1:9" s="230" customFormat="1">
      <c r="A495" s="542">
        <f t="shared" si="8"/>
        <v>487</v>
      </c>
      <c r="B495" s="220" t="s">
        <v>2029</v>
      </c>
      <c r="C495" s="221" t="s">
        <v>5598</v>
      </c>
      <c r="D495" s="240" t="s">
        <v>5533</v>
      </c>
      <c r="E495" s="231" t="s">
        <v>1831</v>
      </c>
      <c r="F495" s="231" t="s">
        <v>407</v>
      </c>
      <c r="G495" s="223">
        <v>590</v>
      </c>
      <c r="H495" s="341">
        <v>0.5</v>
      </c>
      <c r="I495" s="219"/>
    </row>
    <row r="496" spans="1:9" s="230" customFormat="1">
      <c r="A496" s="542">
        <f t="shared" si="8"/>
        <v>488</v>
      </c>
      <c r="B496" s="220" t="s">
        <v>2030</v>
      </c>
      <c r="C496" s="221" t="s">
        <v>5598</v>
      </c>
      <c r="D496" s="240" t="s">
        <v>5533</v>
      </c>
      <c r="E496" s="231" t="s">
        <v>1831</v>
      </c>
      <c r="F496" s="231" t="s">
        <v>407</v>
      </c>
      <c r="G496" s="223">
        <v>239</v>
      </c>
      <c r="H496" s="341">
        <v>0.4</v>
      </c>
      <c r="I496" s="219"/>
    </row>
    <row r="497" spans="1:9" s="230" customFormat="1">
      <c r="A497" s="542">
        <f t="shared" si="8"/>
        <v>489</v>
      </c>
      <c r="B497" s="220" t="s">
        <v>2031</v>
      </c>
      <c r="C497" s="221" t="s">
        <v>5598</v>
      </c>
      <c r="D497" s="240" t="s">
        <v>5533</v>
      </c>
      <c r="E497" s="231" t="s">
        <v>1831</v>
      </c>
      <c r="F497" s="231" t="s">
        <v>407</v>
      </c>
      <c r="G497" s="223">
        <v>656</v>
      </c>
      <c r="H497" s="341">
        <v>0.5</v>
      </c>
      <c r="I497" s="219"/>
    </row>
    <row r="498" spans="1:9" s="230" customFormat="1">
      <c r="A498" s="542">
        <f t="shared" si="8"/>
        <v>490</v>
      </c>
      <c r="B498" s="220" t="s">
        <v>2032</v>
      </c>
      <c r="C498" s="221" t="s">
        <v>5598</v>
      </c>
      <c r="D498" s="240" t="s">
        <v>5533</v>
      </c>
      <c r="E498" s="231" t="s">
        <v>1831</v>
      </c>
      <c r="F498" s="231" t="s">
        <v>407</v>
      </c>
      <c r="G498" s="223">
        <v>300</v>
      </c>
      <c r="H498" s="341">
        <v>0.4</v>
      </c>
      <c r="I498" s="219"/>
    </row>
    <row r="499" spans="1:9" s="230" customFormat="1">
      <c r="A499" s="542">
        <f t="shared" si="8"/>
        <v>491</v>
      </c>
      <c r="B499" s="220" t="s">
        <v>2034</v>
      </c>
      <c r="C499" s="221" t="s">
        <v>5598</v>
      </c>
      <c r="D499" s="240" t="s">
        <v>5533</v>
      </c>
      <c r="E499" s="231" t="s">
        <v>1832</v>
      </c>
      <c r="F499" s="231" t="s">
        <v>407</v>
      </c>
      <c r="G499" s="223">
        <v>413</v>
      </c>
      <c r="H499" s="341">
        <v>0.4</v>
      </c>
      <c r="I499" s="219"/>
    </row>
    <row r="500" spans="1:9" s="230" customFormat="1">
      <c r="A500" s="542">
        <f t="shared" si="8"/>
        <v>492</v>
      </c>
      <c r="B500" s="220" t="s">
        <v>2035</v>
      </c>
      <c r="C500" s="221" t="s">
        <v>5598</v>
      </c>
      <c r="D500" s="240" t="s">
        <v>5533</v>
      </c>
      <c r="E500" s="231" t="s">
        <v>1832</v>
      </c>
      <c r="F500" s="231" t="s">
        <v>407</v>
      </c>
      <c r="G500" s="223">
        <v>490</v>
      </c>
      <c r="H500" s="341">
        <v>0.45</v>
      </c>
      <c r="I500" s="219"/>
    </row>
    <row r="501" spans="1:9" s="230" customFormat="1">
      <c r="A501" s="542">
        <f t="shared" si="8"/>
        <v>493</v>
      </c>
      <c r="B501" s="220" t="s">
        <v>2036</v>
      </c>
      <c r="C501" s="221" t="s">
        <v>5598</v>
      </c>
      <c r="D501" s="240" t="s">
        <v>5533</v>
      </c>
      <c r="E501" s="231" t="s">
        <v>1832</v>
      </c>
      <c r="F501" s="231" t="s">
        <v>407</v>
      </c>
      <c r="G501" s="223">
        <v>400</v>
      </c>
      <c r="H501" s="341">
        <v>0.4</v>
      </c>
      <c r="I501" s="219"/>
    </row>
    <row r="502" spans="1:9" s="230" customFormat="1">
      <c r="A502" s="542">
        <f t="shared" si="8"/>
        <v>494</v>
      </c>
      <c r="B502" s="220" t="s">
        <v>2037</v>
      </c>
      <c r="C502" s="221" t="s">
        <v>5598</v>
      </c>
      <c r="D502" s="240" t="s">
        <v>5533</v>
      </c>
      <c r="E502" s="231" t="s">
        <v>1833</v>
      </c>
      <c r="F502" s="231" t="s">
        <v>407</v>
      </c>
      <c r="G502" s="223">
        <v>180</v>
      </c>
      <c r="H502" s="341">
        <v>0.4</v>
      </c>
      <c r="I502" s="219"/>
    </row>
    <row r="503" spans="1:9" s="230" customFormat="1">
      <c r="A503" s="542">
        <f t="shared" si="8"/>
        <v>495</v>
      </c>
      <c r="B503" s="220" t="s">
        <v>2038</v>
      </c>
      <c r="C503" s="221" t="s">
        <v>5598</v>
      </c>
      <c r="D503" s="240" t="s">
        <v>5533</v>
      </c>
      <c r="E503" s="231" t="s">
        <v>1833</v>
      </c>
      <c r="F503" s="231" t="s">
        <v>407</v>
      </c>
      <c r="G503" s="223">
        <v>510</v>
      </c>
      <c r="H503" s="341">
        <v>0.45</v>
      </c>
      <c r="I503" s="219"/>
    </row>
    <row r="504" spans="1:9" s="230" customFormat="1">
      <c r="A504" s="542">
        <f t="shared" si="8"/>
        <v>496</v>
      </c>
      <c r="B504" s="220" t="s">
        <v>2039</v>
      </c>
      <c r="C504" s="221" t="s">
        <v>5598</v>
      </c>
      <c r="D504" s="240" t="s">
        <v>5533</v>
      </c>
      <c r="E504" s="231" t="s">
        <v>1833</v>
      </c>
      <c r="F504" s="231" t="s">
        <v>407</v>
      </c>
      <c r="G504" s="223">
        <v>510</v>
      </c>
      <c r="H504" s="341">
        <v>0.4</v>
      </c>
      <c r="I504" s="219"/>
    </row>
    <row r="505" spans="1:9" s="230" customFormat="1">
      <c r="A505" s="542">
        <f t="shared" si="8"/>
        <v>497</v>
      </c>
      <c r="B505" s="220" t="s">
        <v>2040</v>
      </c>
      <c r="C505" s="221" t="s">
        <v>5598</v>
      </c>
      <c r="D505" s="240" t="s">
        <v>5533</v>
      </c>
      <c r="E505" s="231" t="s">
        <v>1833</v>
      </c>
      <c r="F505" s="231" t="s">
        <v>407</v>
      </c>
      <c r="G505" s="223">
        <v>442</v>
      </c>
      <c r="H505" s="341">
        <v>0.4</v>
      </c>
      <c r="I505" s="219"/>
    </row>
    <row r="506" spans="1:9" s="230" customFormat="1">
      <c r="A506" s="542">
        <f t="shared" si="8"/>
        <v>498</v>
      </c>
      <c r="B506" s="220" t="s">
        <v>5651</v>
      </c>
      <c r="C506" s="221" t="s">
        <v>5598</v>
      </c>
      <c r="D506" s="240" t="s">
        <v>5533</v>
      </c>
      <c r="E506" s="231" t="s">
        <v>1834</v>
      </c>
      <c r="F506" s="231" t="s">
        <v>407</v>
      </c>
      <c r="G506" s="223">
        <v>347</v>
      </c>
      <c r="H506" s="341">
        <v>0.5</v>
      </c>
      <c r="I506" s="219"/>
    </row>
    <row r="507" spans="1:9" s="230" customFormat="1">
      <c r="A507" s="542">
        <f t="shared" si="8"/>
        <v>499</v>
      </c>
      <c r="B507" s="220" t="s">
        <v>2041</v>
      </c>
      <c r="C507" s="221" t="s">
        <v>5598</v>
      </c>
      <c r="D507" s="240" t="s">
        <v>5533</v>
      </c>
      <c r="E507" s="231" t="s">
        <v>1834</v>
      </c>
      <c r="F507" s="231" t="s">
        <v>407</v>
      </c>
      <c r="G507" s="223">
        <v>220</v>
      </c>
      <c r="H507" s="341">
        <v>0.4</v>
      </c>
      <c r="I507" s="219"/>
    </row>
    <row r="508" spans="1:9" s="230" customFormat="1">
      <c r="A508" s="542">
        <f t="shared" si="8"/>
        <v>500</v>
      </c>
      <c r="B508" s="220" t="s">
        <v>2042</v>
      </c>
      <c r="C508" s="221" t="s">
        <v>5598</v>
      </c>
      <c r="D508" s="240" t="s">
        <v>5533</v>
      </c>
      <c r="E508" s="231" t="s">
        <v>1834</v>
      </c>
      <c r="F508" s="231" t="s">
        <v>407</v>
      </c>
      <c r="G508" s="223">
        <v>900</v>
      </c>
      <c r="H508" s="341">
        <v>0.3</v>
      </c>
      <c r="I508" s="219"/>
    </row>
    <row r="509" spans="1:9" s="230" customFormat="1">
      <c r="A509" s="542">
        <f t="shared" si="8"/>
        <v>501</v>
      </c>
      <c r="B509" s="220" t="s">
        <v>2043</v>
      </c>
      <c r="C509" s="221" t="s">
        <v>5598</v>
      </c>
      <c r="D509" s="240" t="s">
        <v>5533</v>
      </c>
      <c r="E509" s="231" t="s">
        <v>1834</v>
      </c>
      <c r="F509" s="231" t="s">
        <v>407</v>
      </c>
      <c r="G509" s="223">
        <v>640</v>
      </c>
      <c r="H509" s="341">
        <v>0.3</v>
      </c>
      <c r="I509" s="219"/>
    </row>
    <row r="510" spans="1:9" s="230" customFormat="1">
      <c r="A510" s="542">
        <f t="shared" si="8"/>
        <v>502</v>
      </c>
      <c r="B510" s="220" t="s">
        <v>2044</v>
      </c>
      <c r="C510" s="221" t="s">
        <v>5598</v>
      </c>
      <c r="D510" s="240" t="s">
        <v>5533</v>
      </c>
      <c r="E510" s="231" t="s">
        <v>1834</v>
      </c>
      <c r="F510" s="231" t="s">
        <v>407</v>
      </c>
      <c r="G510" s="223">
        <v>500</v>
      </c>
      <c r="H510" s="341">
        <v>0.9</v>
      </c>
      <c r="I510" s="219"/>
    </row>
    <row r="511" spans="1:9" s="230" customFormat="1">
      <c r="A511" s="542">
        <f t="shared" si="8"/>
        <v>503</v>
      </c>
      <c r="B511" s="220" t="s">
        <v>2045</v>
      </c>
      <c r="C511" s="221" t="s">
        <v>5598</v>
      </c>
      <c r="D511" s="240" t="s">
        <v>5533</v>
      </c>
      <c r="E511" s="231" t="s">
        <v>1842</v>
      </c>
      <c r="F511" s="231" t="s">
        <v>407</v>
      </c>
      <c r="G511" s="223">
        <v>2700</v>
      </c>
      <c r="H511" s="341" t="s">
        <v>8261</v>
      </c>
      <c r="I511" s="219"/>
    </row>
    <row r="512" spans="1:9" s="230" customFormat="1">
      <c r="A512" s="542">
        <f t="shared" si="8"/>
        <v>504</v>
      </c>
      <c r="B512" s="220" t="s">
        <v>2046</v>
      </c>
      <c r="C512" s="221" t="s">
        <v>5598</v>
      </c>
      <c r="D512" s="240" t="s">
        <v>5533</v>
      </c>
      <c r="E512" s="231" t="s">
        <v>1842</v>
      </c>
      <c r="F512" s="231" t="s">
        <v>407</v>
      </c>
      <c r="G512" s="223">
        <v>2200</v>
      </c>
      <c r="H512" s="341">
        <v>1</v>
      </c>
      <c r="I512" s="219"/>
    </row>
    <row r="513" spans="1:9" s="230" customFormat="1">
      <c r="A513" s="542">
        <f t="shared" si="8"/>
        <v>505</v>
      </c>
      <c r="B513" s="220" t="s">
        <v>2047</v>
      </c>
      <c r="C513" s="221" t="s">
        <v>5598</v>
      </c>
      <c r="D513" s="240" t="s">
        <v>5533</v>
      </c>
      <c r="E513" s="231" t="s">
        <v>1842</v>
      </c>
      <c r="F513" s="231" t="s">
        <v>407</v>
      </c>
      <c r="G513" s="223">
        <v>734</v>
      </c>
      <c r="H513" s="341">
        <v>0.5</v>
      </c>
      <c r="I513" s="219"/>
    </row>
    <row r="514" spans="1:9" s="230" customFormat="1">
      <c r="A514" s="542">
        <f t="shared" si="8"/>
        <v>506</v>
      </c>
      <c r="B514" s="220" t="s">
        <v>2048</v>
      </c>
      <c r="C514" s="221" t="s">
        <v>5598</v>
      </c>
      <c r="D514" s="240" t="s">
        <v>5533</v>
      </c>
      <c r="E514" s="231" t="s">
        <v>1843</v>
      </c>
      <c r="F514" s="231" t="s">
        <v>407</v>
      </c>
      <c r="G514" s="223">
        <v>410</v>
      </c>
      <c r="H514" s="341">
        <v>0.45</v>
      </c>
      <c r="I514" s="219"/>
    </row>
    <row r="515" spans="1:9" s="230" customFormat="1">
      <c r="A515" s="542">
        <f t="shared" si="8"/>
        <v>507</v>
      </c>
      <c r="B515" s="220" t="s">
        <v>2049</v>
      </c>
      <c r="C515" s="221" t="s">
        <v>5598</v>
      </c>
      <c r="D515" s="240" t="s">
        <v>5533</v>
      </c>
      <c r="E515" s="231" t="s">
        <v>1843</v>
      </c>
      <c r="F515" s="231" t="s">
        <v>407</v>
      </c>
      <c r="G515" s="223">
        <v>358</v>
      </c>
      <c r="H515" s="341">
        <v>0.4</v>
      </c>
      <c r="I515" s="219"/>
    </row>
    <row r="516" spans="1:9" s="230" customFormat="1">
      <c r="A516" s="542">
        <f t="shared" si="8"/>
        <v>508</v>
      </c>
      <c r="B516" s="220" t="s">
        <v>2050</v>
      </c>
      <c r="C516" s="221" t="s">
        <v>5598</v>
      </c>
      <c r="D516" s="240" t="s">
        <v>5533</v>
      </c>
      <c r="E516" s="231" t="s">
        <v>1843</v>
      </c>
      <c r="F516" s="231" t="s">
        <v>407</v>
      </c>
      <c r="G516" s="223">
        <v>548</v>
      </c>
      <c r="H516" s="341">
        <v>0.5</v>
      </c>
      <c r="I516" s="219"/>
    </row>
    <row r="517" spans="1:9" s="230" customFormat="1">
      <c r="A517" s="542">
        <f t="shared" si="8"/>
        <v>509</v>
      </c>
      <c r="B517" s="220" t="s">
        <v>2051</v>
      </c>
      <c r="C517" s="221" t="s">
        <v>5598</v>
      </c>
      <c r="D517" s="240" t="s">
        <v>5533</v>
      </c>
      <c r="E517" s="231" t="s">
        <v>1843</v>
      </c>
      <c r="F517" s="231" t="s">
        <v>407</v>
      </c>
      <c r="G517" s="223">
        <v>1097</v>
      </c>
      <c r="H517" s="341">
        <v>0.5</v>
      </c>
      <c r="I517" s="219"/>
    </row>
    <row r="518" spans="1:9" s="230" customFormat="1">
      <c r="A518" s="542">
        <f t="shared" si="8"/>
        <v>510</v>
      </c>
      <c r="B518" s="220" t="s">
        <v>2052</v>
      </c>
      <c r="C518" s="221" t="s">
        <v>5598</v>
      </c>
      <c r="D518" s="240" t="s">
        <v>5533</v>
      </c>
      <c r="E518" s="231" t="s">
        <v>1844</v>
      </c>
      <c r="F518" s="231" t="s">
        <v>407</v>
      </c>
      <c r="G518" s="223">
        <v>450</v>
      </c>
      <c r="H518" s="341">
        <v>0.4</v>
      </c>
      <c r="I518" s="219"/>
    </row>
    <row r="519" spans="1:9" s="230" customFormat="1">
      <c r="A519" s="542">
        <f t="shared" si="8"/>
        <v>511</v>
      </c>
      <c r="B519" s="220" t="s">
        <v>2054</v>
      </c>
      <c r="C519" s="221" t="s">
        <v>5598</v>
      </c>
      <c r="D519" s="240" t="s">
        <v>5533</v>
      </c>
      <c r="E519" s="231" t="s">
        <v>1844</v>
      </c>
      <c r="F519" s="231" t="s">
        <v>407</v>
      </c>
      <c r="G519" s="223">
        <v>514</v>
      </c>
      <c r="H519" s="341">
        <v>0.45</v>
      </c>
      <c r="I519" s="219"/>
    </row>
    <row r="520" spans="1:9" s="230" customFormat="1">
      <c r="A520" s="542">
        <f t="shared" si="8"/>
        <v>512</v>
      </c>
      <c r="B520" s="220" t="s">
        <v>2055</v>
      </c>
      <c r="C520" s="221" t="s">
        <v>5598</v>
      </c>
      <c r="D520" s="240" t="s">
        <v>5533</v>
      </c>
      <c r="E520" s="231" t="s">
        <v>1844</v>
      </c>
      <c r="F520" s="231" t="s">
        <v>407</v>
      </c>
      <c r="G520" s="223">
        <v>1100</v>
      </c>
      <c r="H520" s="341">
        <v>1.5</v>
      </c>
      <c r="I520" s="219"/>
    </row>
    <row r="521" spans="1:9" s="230" customFormat="1">
      <c r="A521" s="542">
        <f t="shared" ref="A521:A584" si="9">A520+1</f>
        <v>513</v>
      </c>
      <c r="B521" s="220" t="s">
        <v>2056</v>
      </c>
      <c r="C521" s="221" t="s">
        <v>5598</v>
      </c>
      <c r="D521" s="240" t="s">
        <v>5533</v>
      </c>
      <c r="E521" s="231" t="s">
        <v>1844</v>
      </c>
      <c r="F521" s="231" t="s">
        <v>407</v>
      </c>
      <c r="G521" s="223">
        <v>800</v>
      </c>
      <c r="H521" s="341">
        <v>0.8</v>
      </c>
      <c r="I521" s="219"/>
    </row>
    <row r="522" spans="1:9" s="230" customFormat="1">
      <c r="A522" s="542">
        <f t="shared" si="9"/>
        <v>514</v>
      </c>
      <c r="B522" s="220" t="s">
        <v>2057</v>
      </c>
      <c r="C522" s="221" t="s">
        <v>5598</v>
      </c>
      <c r="D522" s="240" t="s">
        <v>5533</v>
      </c>
      <c r="E522" s="231" t="s">
        <v>1845</v>
      </c>
      <c r="F522" s="231" t="s">
        <v>407</v>
      </c>
      <c r="G522" s="223">
        <v>528</v>
      </c>
      <c r="H522" s="341">
        <v>0.45</v>
      </c>
      <c r="I522" s="219"/>
    </row>
    <row r="523" spans="1:9" s="230" customFormat="1">
      <c r="A523" s="542">
        <f t="shared" si="9"/>
        <v>515</v>
      </c>
      <c r="B523" s="220" t="s">
        <v>2058</v>
      </c>
      <c r="C523" s="221" t="s">
        <v>5598</v>
      </c>
      <c r="D523" s="240" t="s">
        <v>5533</v>
      </c>
      <c r="E523" s="231" t="s">
        <v>1845</v>
      </c>
      <c r="F523" s="231" t="s">
        <v>407</v>
      </c>
      <c r="G523" s="223">
        <v>150</v>
      </c>
      <c r="H523" s="341">
        <v>0.4</v>
      </c>
      <c r="I523" s="219"/>
    </row>
    <row r="524" spans="1:9" s="230" customFormat="1">
      <c r="A524" s="542">
        <f t="shared" si="9"/>
        <v>516</v>
      </c>
      <c r="B524" s="220" t="s">
        <v>2059</v>
      </c>
      <c r="C524" s="221" t="s">
        <v>5598</v>
      </c>
      <c r="D524" s="240" t="s">
        <v>5533</v>
      </c>
      <c r="E524" s="231" t="s">
        <v>1845</v>
      </c>
      <c r="F524" s="231" t="s">
        <v>407</v>
      </c>
      <c r="G524" s="223">
        <v>560</v>
      </c>
      <c r="H524" s="341">
        <v>0.3</v>
      </c>
      <c r="I524" s="219"/>
    </row>
    <row r="525" spans="1:9" s="230" customFormat="1">
      <c r="A525" s="542">
        <f t="shared" si="9"/>
        <v>517</v>
      </c>
      <c r="B525" s="220" t="s">
        <v>2060</v>
      </c>
      <c r="C525" s="221" t="s">
        <v>5598</v>
      </c>
      <c r="D525" s="240" t="s">
        <v>5533</v>
      </c>
      <c r="E525" s="231" t="s">
        <v>1846</v>
      </c>
      <c r="F525" s="231" t="s">
        <v>407</v>
      </c>
      <c r="G525" s="223">
        <v>850</v>
      </c>
      <c r="H525" s="341">
        <v>0.5</v>
      </c>
      <c r="I525" s="219"/>
    </row>
    <row r="526" spans="1:9" s="230" customFormat="1">
      <c r="A526" s="542">
        <f t="shared" si="9"/>
        <v>518</v>
      </c>
      <c r="B526" s="220" t="s">
        <v>2061</v>
      </c>
      <c r="C526" s="221" t="s">
        <v>5598</v>
      </c>
      <c r="D526" s="240" t="s">
        <v>5533</v>
      </c>
      <c r="E526" s="231" t="s">
        <v>1846</v>
      </c>
      <c r="F526" s="231" t="s">
        <v>407</v>
      </c>
      <c r="G526" s="223">
        <v>880</v>
      </c>
      <c r="H526" s="341">
        <v>0.5</v>
      </c>
      <c r="I526" s="219"/>
    </row>
    <row r="527" spans="1:9" s="230" customFormat="1">
      <c r="A527" s="542">
        <f t="shared" si="9"/>
        <v>519</v>
      </c>
      <c r="B527" s="224" t="s">
        <v>2064</v>
      </c>
      <c r="C527" s="221" t="s">
        <v>641</v>
      </c>
      <c r="D527" s="240" t="s">
        <v>5533</v>
      </c>
      <c r="E527" s="231" t="s">
        <v>1850</v>
      </c>
      <c r="F527" s="231" t="s">
        <v>407</v>
      </c>
      <c r="G527" s="223">
        <v>690</v>
      </c>
      <c r="H527" s="341">
        <v>0.5</v>
      </c>
      <c r="I527" s="219"/>
    </row>
    <row r="528" spans="1:9" s="230" customFormat="1">
      <c r="A528" s="542">
        <f t="shared" si="9"/>
        <v>520</v>
      </c>
      <c r="B528" s="224" t="s">
        <v>2065</v>
      </c>
      <c r="C528" s="221" t="s">
        <v>641</v>
      </c>
      <c r="D528" s="240" t="s">
        <v>5533</v>
      </c>
      <c r="E528" s="231" t="s">
        <v>1850</v>
      </c>
      <c r="F528" s="231" t="s">
        <v>407</v>
      </c>
      <c r="G528" s="223">
        <v>500</v>
      </c>
      <c r="H528" s="341">
        <v>0.5</v>
      </c>
      <c r="I528" s="219"/>
    </row>
    <row r="529" spans="1:9" s="230" customFormat="1">
      <c r="A529" s="542">
        <f t="shared" si="9"/>
        <v>521</v>
      </c>
      <c r="B529" s="224" t="s">
        <v>2066</v>
      </c>
      <c r="C529" s="221" t="s">
        <v>641</v>
      </c>
      <c r="D529" s="240" t="s">
        <v>5533</v>
      </c>
      <c r="E529" s="231" t="s">
        <v>1851</v>
      </c>
      <c r="F529" s="231" t="s">
        <v>407</v>
      </c>
      <c r="G529" s="223">
        <v>649</v>
      </c>
      <c r="H529" s="341">
        <v>0.5</v>
      </c>
      <c r="I529" s="219"/>
    </row>
    <row r="530" spans="1:9" s="230" customFormat="1">
      <c r="A530" s="542">
        <f t="shared" si="9"/>
        <v>522</v>
      </c>
      <c r="B530" s="220" t="s">
        <v>2067</v>
      </c>
      <c r="C530" s="221" t="s">
        <v>641</v>
      </c>
      <c r="D530" s="240" t="s">
        <v>5533</v>
      </c>
      <c r="E530" s="231" t="s">
        <v>1852</v>
      </c>
      <c r="F530" s="231" t="s">
        <v>407</v>
      </c>
      <c r="G530" s="223">
        <v>720</v>
      </c>
      <c r="H530" s="341">
        <v>0.5</v>
      </c>
      <c r="I530" s="219"/>
    </row>
    <row r="531" spans="1:9" s="230" customFormat="1">
      <c r="A531" s="542">
        <f t="shared" si="9"/>
        <v>523</v>
      </c>
      <c r="B531" s="220" t="s">
        <v>2068</v>
      </c>
      <c r="C531" s="221" t="s">
        <v>641</v>
      </c>
      <c r="D531" s="240" t="s">
        <v>5533</v>
      </c>
      <c r="E531" s="231" t="s">
        <v>1852</v>
      </c>
      <c r="F531" s="231" t="s">
        <v>407</v>
      </c>
      <c r="G531" s="223">
        <v>720</v>
      </c>
      <c r="H531" s="341">
        <v>0.5</v>
      </c>
      <c r="I531" s="219"/>
    </row>
    <row r="532" spans="1:9" s="230" customFormat="1">
      <c r="A532" s="542">
        <f t="shared" si="9"/>
        <v>524</v>
      </c>
      <c r="B532" s="220" t="s">
        <v>2069</v>
      </c>
      <c r="C532" s="221" t="s">
        <v>641</v>
      </c>
      <c r="D532" s="240" t="s">
        <v>5533</v>
      </c>
      <c r="E532" s="231" t="s">
        <v>1852</v>
      </c>
      <c r="F532" s="231" t="s">
        <v>407</v>
      </c>
      <c r="G532" s="223">
        <v>938</v>
      </c>
      <c r="H532" s="341">
        <v>0.5</v>
      </c>
      <c r="I532" s="219"/>
    </row>
    <row r="533" spans="1:9" s="230" customFormat="1">
      <c r="A533" s="542">
        <f t="shared" si="9"/>
        <v>525</v>
      </c>
      <c r="B533" s="220" t="s">
        <v>2070</v>
      </c>
      <c r="C533" s="221" t="s">
        <v>5594</v>
      </c>
      <c r="D533" s="240" t="s">
        <v>5533</v>
      </c>
      <c r="E533" s="231" t="s">
        <v>1859</v>
      </c>
      <c r="F533" s="231" t="s">
        <v>407</v>
      </c>
      <c r="G533" s="223">
        <v>286</v>
      </c>
      <c r="H533" s="341">
        <v>0.3</v>
      </c>
      <c r="I533" s="219"/>
    </row>
    <row r="534" spans="1:9" s="230" customFormat="1">
      <c r="A534" s="542">
        <f t="shared" si="9"/>
        <v>526</v>
      </c>
      <c r="B534" s="220" t="s">
        <v>2071</v>
      </c>
      <c r="C534" s="221" t="s">
        <v>5594</v>
      </c>
      <c r="D534" s="240" t="s">
        <v>5533</v>
      </c>
      <c r="E534" s="231" t="s">
        <v>1859</v>
      </c>
      <c r="F534" s="231" t="s">
        <v>407</v>
      </c>
      <c r="G534" s="223">
        <v>240</v>
      </c>
      <c r="H534" s="341">
        <v>0.4</v>
      </c>
      <c r="I534" s="219"/>
    </row>
    <row r="535" spans="1:9" s="230" customFormat="1">
      <c r="A535" s="542">
        <f t="shared" si="9"/>
        <v>527</v>
      </c>
      <c r="B535" s="220" t="s">
        <v>2072</v>
      </c>
      <c r="C535" s="221" t="s">
        <v>5594</v>
      </c>
      <c r="D535" s="240" t="s">
        <v>5533</v>
      </c>
      <c r="E535" s="231" t="s">
        <v>1859</v>
      </c>
      <c r="F535" s="231" t="s">
        <v>407</v>
      </c>
      <c r="G535" s="223">
        <v>100</v>
      </c>
      <c r="H535" s="341">
        <v>0.3</v>
      </c>
      <c r="I535" s="219"/>
    </row>
    <row r="536" spans="1:9" s="230" customFormat="1">
      <c r="A536" s="542">
        <f t="shared" si="9"/>
        <v>528</v>
      </c>
      <c r="B536" s="220" t="s">
        <v>2075</v>
      </c>
      <c r="C536" s="221" t="s">
        <v>5594</v>
      </c>
      <c r="D536" s="240" t="s">
        <v>5533</v>
      </c>
      <c r="E536" s="231" t="s">
        <v>1860</v>
      </c>
      <c r="F536" s="231" t="s">
        <v>407</v>
      </c>
      <c r="G536" s="223">
        <v>267</v>
      </c>
      <c r="H536" s="341">
        <v>0.4</v>
      </c>
      <c r="I536" s="219"/>
    </row>
    <row r="537" spans="1:9" s="230" customFormat="1">
      <c r="A537" s="542">
        <f t="shared" si="9"/>
        <v>529</v>
      </c>
      <c r="B537" s="220" t="s">
        <v>2076</v>
      </c>
      <c r="C537" s="221" t="s">
        <v>5594</v>
      </c>
      <c r="D537" s="240" t="s">
        <v>5533</v>
      </c>
      <c r="E537" s="231" t="s">
        <v>1858</v>
      </c>
      <c r="F537" s="231" t="s">
        <v>407</v>
      </c>
      <c r="G537" s="223">
        <v>250</v>
      </c>
      <c r="H537" s="341">
        <v>0.3</v>
      </c>
      <c r="I537" s="219"/>
    </row>
    <row r="538" spans="1:9" s="230" customFormat="1">
      <c r="A538" s="542">
        <f t="shared" si="9"/>
        <v>530</v>
      </c>
      <c r="B538" s="220" t="s">
        <v>2077</v>
      </c>
      <c r="C538" s="221" t="s">
        <v>5594</v>
      </c>
      <c r="D538" s="240" t="s">
        <v>5533</v>
      </c>
      <c r="E538" s="231" t="s">
        <v>1858</v>
      </c>
      <c r="F538" s="231" t="s">
        <v>407</v>
      </c>
      <c r="G538" s="223">
        <v>360</v>
      </c>
      <c r="H538" s="341">
        <v>0.45</v>
      </c>
      <c r="I538" s="219"/>
    </row>
    <row r="539" spans="1:9" s="230" customFormat="1">
      <c r="A539" s="542">
        <f t="shared" si="9"/>
        <v>531</v>
      </c>
      <c r="B539" s="220" t="s">
        <v>2078</v>
      </c>
      <c r="C539" s="221" t="s">
        <v>5594</v>
      </c>
      <c r="D539" s="240" t="s">
        <v>5533</v>
      </c>
      <c r="E539" s="231" t="s">
        <v>1858</v>
      </c>
      <c r="F539" s="231" t="s">
        <v>407</v>
      </c>
      <c r="G539" s="223">
        <v>206</v>
      </c>
      <c r="H539" s="341">
        <v>0.4</v>
      </c>
      <c r="I539" s="219"/>
    </row>
    <row r="540" spans="1:9" s="230" customFormat="1">
      <c r="A540" s="542">
        <f t="shared" si="9"/>
        <v>532</v>
      </c>
      <c r="B540" s="220" t="s">
        <v>2079</v>
      </c>
      <c r="C540" s="221" t="s">
        <v>5594</v>
      </c>
      <c r="D540" s="240" t="s">
        <v>5533</v>
      </c>
      <c r="E540" s="231" t="s">
        <v>1858</v>
      </c>
      <c r="F540" s="231" t="s">
        <v>407</v>
      </c>
      <c r="G540" s="223">
        <v>347</v>
      </c>
      <c r="H540" s="341">
        <v>0.3</v>
      </c>
      <c r="I540" s="219"/>
    </row>
    <row r="541" spans="1:9" s="230" customFormat="1">
      <c r="A541" s="542">
        <f t="shared" si="9"/>
        <v>533</v>
      </c>
      <c r="B541" s="220" t="s">
        <v>2080</v>
      </c>
      <c r="C541" s="221" t="s">
        <v>5594</v>
      </c>
      <c r="D541" s="240" t="s">
        <v>5533</v>
      </c>
      <c r="E541" s="231" t="s">
        <v>1858</v>
      </c>
      <c r="F541" s="231" t="s">
        <v>407</v>
      </c>
      <c r="G541" s="223">
        <v>400</v>
      </c>
      <c r="H541" s="341">
        <v>0.3</v>
      </c>
      <c r="I541" s="219"/>
    </row>
    <row r="542" spans="1:9" s="230" customFormat="1">
      <c r="A542" s="542">
        <f t="shared" si="9"/>
        <v>534</v>
      </c>
      <c r="B542" s="220" t="s">
        <v>2081</v>
      </c>
      <c r="C542" s="221" t="s">
        <v>5594</v>
      </c>
      <c r="D542" s="240" t="s">
        <v>5533</v>
      </c>
      <c r="E542" s="231" t="s">
        <v>1858</v>
      </c>
      <c r="F542" s="231" t="s">
        <v>407</v>
      </c>
      <c r="G542" s="223">
        <v>332</v>
      </c>
      <c r="H542" s="341">
        <v>0.4</v>
      </c>
      <c r="I542" s="219"/>
    </row>
    <row r="543" spans="1:9" s="230" customFormat="1">
      <c r="A543" s="542">
        <f t="shared" si="9"/>
        <v>535</v>
      </c>
      <c r="B543" s="220" t="s">
        <v>2082</v>
      </c>
      <c r="C543" s="221" t="s">
        <v>5594</v>
      </c>
      <c r="D543" s="240" t="s">
        <v>5533</v>
      </c>
      <c r="E543" s="231" t="s">
        <v>1858</v>
      </c>
      <c r="F543" s="231" t="s">
        <v>407</v>
      </c>
      <c r="G543" s="223">
        <v>337</v>
      </c>
      <c r="H543" s="341">
        <v>0.4</v>
      </c>
      <c r="I543" s="219"/>
    </row>
    <row r="544" spans="1:9" s="230" customFormat="1">
      <c r="A544" s="542">
        <f t="shared" si="9"/>
        <v>536</v>
      </c>
      <c r="B544" s="220" t="s">
        <v>2083</v>
      </c>
      <c r="C544" s="221" t="s">
        <v>5594</v>
      </c>
      <c r="D544" s="240" t="s">
        <v>5533</v>
      </c>
      <c r="E544" s="231" t="s">
        <v>1861</v>
      </c>
      <c r="F544" s="231" t="s">
        <v>407</v>
      </c>
      <c r="G544" s="223">
        <v>321</v>
      </c>
      <c r="H544" s="341">
        <v>0.4</v>
      </c>
      <c r="I544" s="219"/>
    </row>
    <row r="545" spans="1:9" s="230" customFormat="1">
      <c r="A545" s="542">
        <f t="shared" si="9"/>
        <v>537</v>
      </c>
      <c r="B545" s="220" t="s">
        <v>2084</v>
      </c>
      <c r="C545" s="221" t="s">
        <v>5594</v>
      </c>
      <c r="D545" s="240" t="s">
        <v>5533</v>
      </c>
      <c r="E545" s="231" t="s">
        <v>1861</v>
      </c>
      <c r="F545" s="231" t="s">
        <v>407</v>
      </c>
      <c r="G545" s="223">
        <v>735</v>
      </c>
      <c r="H545" s="341">
        <v>0.45</v>
      </c>
      <c r="I545" s="219"/>
    </row>
    <row r="546" spans="1:9" s="230" customFormat="1">
      <c r="A546" s="542">
        <f t="shared" si="9"/>
        <v>538</v>
      </c>
      <c r="B546" s="220" t="s">
        <v>2085</v>
      </c>
      <c r="C546" s="221" t="s">
        <v>5594</v>
      </c>
      <c r="D546" s="240" t="s">
        <v>5533</v>
      </c>
      <c r="E546" s="231" t="s">
        <v>1861</v>
      </c>
      <c r="F546" s="231" t="s">
        <v>407</v>
      </c>
      <c r="G546" s="223">
        <v>268</v>
      </c>
      <c r="H546" s="341">
        <v>0.45</v>
      </c>
      <c r="I546" s="219"/>
    </row>
    <row r="547" spans="1:9" s="230" customFormat="1">
      <c r="A547" s="542">
        <f t="shared" si="9"/>
        <v>539</v>
      </c>
      <c r="B547" s="220" t="s">
        <v>2086</v>
      </c>
      <c r="C547" s="221" t="s">
        <v>5594</v>
      </c>
      <c r="D547" s="240" t="s">
        <v>5533</v>
      </c>
      <c r="E547" s="231" t="s">
        <v>1861</v>
      </c>
      <c r="F547" s="231" t="s">
        <v>407</v>
      </c>
      <c r="G547" s="223">
        <v>716</v>
      </c>
      <c r="H547" s="341">
        <v>0.45</v>
      </c>
      <c r="I547" s="219"/>
    </row>
    <row r="548" spans="1:9" s="230" customFormat="1">
      <c r="A548" s="542">
        <f t="shared" si="9"/>
        <v>540</v>
      </c>
      <c r="B548" s="220" t="s">
        <v>2087</v>
      </c>
      <c r="C548" s="221" t="s">
        <v>5594</v>
      </c>
      <c r="D548" s="240" t="s">
        <v>5533</v>
      </c>
      <c r="E548" s="231" t="s">
        <v>1861</v>
      </c>
      <c r="F548" s="231" t="s">
        <v>407</v>
      </c>
      <c r="G548" s="223">
        <v>424</v>
      </c>
      <c r="H548" s="341">
        <v>0.5</v>
      </c>
      <c r="I548" s="219"/>
    </row>
    <row r="549" spans="1:9" s="230" customFormat="1">
      <c r="A549" s="542">
        <f t="shared" si="9"/>
        <v>541</v>
      </c>
      <c r="B549" s="220" t="s">
        <v>2088</v>
      </c>
      <c r="C549" s="221" t="s">
        <v>5594</v>
      </c>
      <c r="D549" s="240" t="s">
        <v>5533</v>
      </c>
      <c r="E549" s="231" t="s">
        <v>1861</v>
      </c>
      <c r="F549" s="231" t="s">
        <v>407</v>
      </c>
      <c r="G549" s="223">
        <v>321</v>
      </c>
      <c r="H549" s="341">
        <v>0.4</v>
      </c>
      <c r="I549" s="219"/>
    </row>
    <row r="550" spans="1:9" s="230" customFormat="1">
      <c r="A550" s="542">
        <f t="shared" si="9"/>
        <v>542</v>
      </c>
      <c r="B550" s="220" t="s">
        <v>2089</v>
      </c>
      <c r="C550" s="221" t="s">
        <v>5594</v>
      </c>
      <c r="D550" s="240" t="s">
        <v>5533</v>
      </c>
      <c r="E550" s="231" t="s">
        <v>1862</v>
      </c>
      <c r="F550" s="231" t="s">
        <v>407</v>
      </c>
      <c r="G550" s="223">
        <v>620</v>
      </c>
      <c r="H550" s="341">
        <v>0.45</v>
      </c>
      <c r="I550" s="219"/>
    </row>
    <row r="551" spans="1:9" s="230" customFormat="1">
      <c r="A551" s="542">
        <f t="shared" si="9"/>
        <v>543</v>
      </c>
      <c r="B551" s="220" t="s">
        <v>2090</v>
      </c>
      <c r="C551" s="221" t="s">
        <v>5594</v>
      </c>
      <c r="D551" s="240" t="s">
        <v>5533</v>
      </c>
      <c r="E551" s="231" t="s">
        <v>1862</v>
      </c>
      <c r="F551" s="231" t="s">
        <v>407</v>
      </c>
      <c r="G551" s="223">
        <v>320</v>
      </c>
      <c r="H551" s="341">
        <v>0.45</v>
      </c>
      <c r="I551" s="219"/>
    </row>
    <row r="552" spans="1:9" s="230" customFormat="1">
      <c r="A552" s="542">
        <f t="shared" si="9"/>
        <v>544</v>
      </c>
      <c r="B552" s="220" t="s">
        <v>2091</v>
      </c>
      <c r="C552" s="221" t="s">
        <v>5594</v>
      </c>
      <c r="D552" s="240" t="s">
        <v>5533</v>
      </c>
      <c r="E552" s="231" t="s">
        <v>1868</v>
      </c>
      <c r="F552" s="231" t="s">
        <v>407</v>
      </c>
      <c r="G552" s="223">
        <v>50</v>
      </c>
      <c r="H552" s="341">
        <v>0.3</v>
      </c>
      <c r="I552" s="219"/>
    </row>
    <row r="553" spans="1:9" s="230" customFormat="1">
      <c r="A553" s="542">
        <f t="shared" si="9"/>
        <v>545</v>
      </c>
      <c r="B553" s="220" t="s">
        <v>2092</v>
      </c>
      <c r="C553" s="221" t="s">
        <v>5594</v>
      </c>
      <c r="D553" s="240" t="s">
        <v>5533</v>
      </c>
      <c r="E553" s="231" t="s">
        <v>1868</v>
      </c>
      <c r="F553" s="231" t="s">
        <v>407</v>
      </c>
      <c r="G553" s="223">
        <v>130</v>
      </c>
      <c r="H553" s="341">
        <v>0.3</v>
      </c>
      <c r="I553" s="219"/>
    </row>
    <row r="554" spans="1:9" s="230" customFormat="1">
      <c r="A554" s="542">
        <f t="shared" si="9"/>
        <v>546</v>
      </c>
      <c r="B554" s="220" t="s">
        <v>2093</v>
      </c>
      <c r="C554" s="221" t="s">
        <v>5594</v>
      </c>
      <c r="D554" s="240" t="s">
        <v>5533</v>
      </c>
      <c r="E554" s="231" t="s">
        <v>1868</v>
      </c>
      <c r="F554" s="231" t="s">
        <v>407</v>
      </c>
      <c r="G554" s="223">
        <v>185</v>
      </c>
      <c r="H554" s="341">
        <v>0.3</v>
      </c>
      <c r="I554" s="219"/>
    </row>
    <row r="555" spans="1:9" s="230" customFormat="1">
      <c r="A555" s="542">
        <f t="shared" si="9"/>
        <v>547</v>
      </c>
      <c r="B555" s="220" t="s">
        <v>2094</v>
      </c>
      <c r="C555" s="221" t="s">
        <v>5594</v>
      </c>
      <c r="D555" s="240" t="s">
        <v>5533</v>
      </c>
      <c r="E555" s="231" t="s">
        <v>1868</v>
      </c>
      <c r="F555" s="231" t="s">
        <v>407</v>
      </c>
      <c r="G555" s="223">
        <v>150</v>
      </c>
      <c r="H555" s="341">
        <v>0.5</v>
      </c>
      <c r="I555" s="219"/>
    </row>
    <row r="556" spans="1:9" s="230" customFormat="1">
      <c r="A556" s="542">
        <f t="shared" si="9"/>
        <v>548</v>
      </c>
      <c r="B556" s="220" t="s">
        <v>2095</v>
      </c>
      <c r="C556" s="221" t="s">
        <v>5594</v>
      </c>
      <c r="D556" s="240" t="s">
        <v>5533</v>
      </c>
      <c r="E556" s="231" t="s">
        <v>1868</v>
      </c>
      <c r="F556" s="231" t="s">
        <v>407</v>
      </c>
      <c r="G556" s="223">
        <v>268</v>
      </c>
      <c r="H556" s="341">
        <v>0.4</v>
      </c>
      <c r="I556" s="219"/>
    </row>
    <row r="557" spans="1:9" s="230" customFormat="1">
      <c r="A557" s="542">
        <f t="shared" si="9"/>
        <v>549</v>
      </c>
      <c r="B557" s="220" t="s">
        <v>2096</v>
      </c>
      <c r="C557" s="221" t="s">
        <v>5594</v>
      </c>
      <c r="D557" s="240" t="s">
        <v>5533</v>
      </c>
      <c r="E557" s="231" t="s">
        <v>1870</v>
      </c>
      <c r="F557" s="231" t="s">
        <v>407</v>
      </c>
      <c r="G557" s="223">
        <v>200</v>
      </c>
      <c r="H557" s="341">
        <v>0.5</v>
      </c>
      <c r="I557" s="219"/>
    </row>
    <row r="558" spans="1:9" s="230" customFormat="1">
      <c r="A558" s="542">
        <f t="shared" si="9"/>
        <v>550</v>
      </c>
      <c r="B558" s="220" t="s">
        <v>2097</v>
      </c>
      <c r="C558" s="221" t="s">
        <v>5594</v>
      </c>
      <c r="D558" s="240" t="s">
        <v>5533</v>
      </c>
      <c r="E558" s="231" t="s">
        <v>1870</v>
      </c>
      <c r="F558" s="231" t="s">
        <v>407</v>
      </c>
      <c r="G558" s="223">
        <v>140</v>
      </c>
      <c r="H558" s="341">
        <v>0.5</v>
      </c>
      <c r="I558" s="219"/>
    </row>
    <row r="559" spans="1:9" s="230" customFormat="1">
      <c r="A559" s="542">
        <f t="shared" si="9"/>
        <v>551</v>
      </c>
      <c r="B559" s="220" t="s">
        <v>2098</v>
      </c>
      <c r="C559" s="221" t="s">
        <v>5594</v>
      </c>
      <c r="D559" s="240" t="s">
        <v>5533</v>
      </c>
      <c r="E559" s="231" t="s">
        <v>1870</v>
      </c>
      <c r="F559" s="231" t="s">
        <v>407</v>
      </c>
      <c r="G559" s="223">
        <v>150</v>
      </c>
      <c r="H559" s="341">
        <v>0.5</v>
      </c>
      <c r="I559" s="219"/>
    </row>
    <row r="560" spans="1:9" s="230" customFormat="1">
      <c r="A560" s="542">
        <f t="shared" si="9"/>
        <v>552</v>
      </c>
      <c r="B560" s="220" t="s">
        <v>2099</v>
      </c>
      <c r="C560" s="221" t="s">
        <v>5594</v>
      </c>
      <c r="D560" s="240" t="s">
        <v>5533</v>
      </c>
      <c r="E560" s="231" t="s">
        <v>1870</v>
      </c>
      <c r="F560" s="231" t="s">
        <v>407</v>
      </c>
      <c r="G560" s="223">
        <v>100</v>
      </c>
      <c r="H560" s="341">
        <v>0.5</v>
      </c>
      <c r="I560" s="219"/>
    </row>
    <row r="561" spans="1:9" s="230" customFormat="1">
      <c r="A561" s="542">
        <f t="shared" si="9"/>
        <v>553</v>
      </c>
      <c r="B561" s="220" t="s">
        <v>2100</v>
      </c>
      <c r="C561" s="221" t="s">
        <v>5594</v>
      </c>
      <c r="D561" s="240" t="s">
        <v>5533</v>
      </c>
      <c r="E561" s="231" t="s">
        <v>1870</v>
      </c>
      <c r="F561" s="231" t="s">
        <v>407</v>
      </c>
      <c r="G561" s="223">
        <v>200</v>
      </c>
      <c r="H561" s="341">
        <v>0.5</v>
      </c>
      <c r="I561" s="219"/>
    </row>
    <row r="562" spans="1:9" s="230" customFormat="1">
      <c r="A562" s="542">
        <f t="shared" si="9"/>
        <v>554</v>
      </c>
      <c r="B562" s="220" t="s">
        <v>2101</v>
      </c>
      <c r="C562" s="221" t="s">
        <v>5594</v>
      </c>
      <c r="D562" s="240" t="s">
        <v>5533</v>
      </c>
      <c r="E562" s="231" t="s">
        <v>1863</v>
      </c>
      <c r="F562" s="231" t="s">
        <v>407</v>
      </c>
      <c r="G562" s="223">
        <v>675</v>
      </c>
      <c r="H562" s="341">
        <v>0.5</v>
      </c>
      <c r="I562" s="219"/>
    </row>
    <row r="563" spans="1:9" s="230" customFormat="1">
      <c r="A563" s="542">
        <f t="shared" si="9"/>
        <v>555</v>
      </c>
      <c r="B563" s="220" t="s">
        <v>2102</v>
      </c>
      <c r="C563" s="221" t="s">
        <v>5594</v>
      </c>
      <c r="D563" s="240" t="s">
        <v>5533</v>
      </c>
      <c r="E563" s="231" t="s">
        <v>1863</v>
      </c>
      <c r="F563" s="231" t="s">
        <v>407</v>
      </c>
      <c r="G563" s="223">
        <v>250</v>
      </c>
      <c r="H563" s="341">
        <v>0.45</v>
      </c>
      <c r="I563" s="219"/>
    </row>
    <row r="564" spans="1:9" s="230" customFormat="1">
      <c r="A564" s="542">
        <f t="shared" si="9"/>
        <v>556</v>
      </c>
      <c r="B564" s="220" t="s">
        <v>5652</v>
      </c>
      <c r="C564" s="221" t="s">
        <v>5594</v>
      </c>
      <c r="D564" s="240" t="s">
        <v>5533</v>
      </c>
      <c r="E564" s="231" t="s">
        <v>1863</v>
      </c>
      <c r="F564" s="231" t="s">
        <v>407</v>
      </c>
      <c r="G564" s="223">
        <v>62</v>
      </c>
      <c r="H564" s="341">
        <v>0.45</v>
      </c>
      <c r="I564" s="219"/>
    </row>
    <row r="565" spans="1:9" s="230" customFormat="1">
      <c r="A565" s="542">
        <f t="shared" si="9"/>
        <v>557</v>
      </c>
      <c r="B565" s="220" t="s">
        <v>2103</v>
      </c>
      <c r="C565" s="221" t="s">
        <v>5594</v>
      </c>
      <c r="D565" s="240" t="s">
        <v>5533</v>
      </c>
      <c r="E565" s="231" t="s">
        <v>1880</v>
      </c>
      <c r="F565" s="231" t="s">
        <v>407</v>
      </c>
      <c r="G565" s="223">
        <v>250</v>
      </c>
      <c r="H565" s="341">
        <v>0.3</v>
      </c>
      <c r="I565" s="219"/>
    </row>
    <row r="566" spans="1:9" s="230" customFormat="1">
      <c r="A566" s="542">
        <f t="shared" si="9"/>
        <v>558</v>
      </c>
      <c r="B566" s="220" t="s">
        <v>2104</v>
      </c>
      <c r="C566" s="221" t="s">
        <v>5594</v>
      </c>
      <c r="D566" s="240" t="s">
        <v>5533</v>
      </c>
      <c r="E566" s="231" t="s">
        <v>1865</v>
      </c>
      <c r="F566" s="231" t="s">
        <v>407</v>
      </c>
      <c r="G566" s="223">
        <v>925</v>
      </c>
      <c r="H566" s="341">
        <v>0.5</v>
      </c>
      <c r="I566" s="219"/>
    </row>
    <row r="567" spans="1:9" s="230" customFormat="1">
      <c r="A567" s="542">
        <f t="shared" si="9"/>
        <v>559</v>
      </c>
      <c r="B567" s="220" t="s">
        <v>2105</v>
      </c>
      <c r="C567" s="221" t="s">
        <v>5594</v>
      </c>
      <c r="D567" s="240" t="s">
        <v>5533</v>
      </c>
      <c r="E567" s="231" t="s">
        <v>1884</v>
      </c>
      <c r="F567" s="231" t="s">
        <v>407</v>
      </c>
      <c r="G567" s="223">
        <v>200</v>
      </c>
      <c r="H567" s="341">
        <v>0.3</v>
      </c>
      <c r="I567" s="219"/>
    </row>
    <row r="568" spans="1:9" s="230" customFormat="1">
      <c r="A568" s="542">
        <f t="shared" si="9"/>
        <v>560</v>
      </c>
      <c r="B568" s="220" t="s">
        <v>2106</v>
      </c>
      <c r="C568" s="221" t="s">
        <v>5594</v>
      </c>
      <c r="D568" s="240" t="s">
        <v>5533</v>
      </c>
      <c r="E568" s="231" t="s">
        <v>1884</v>
      </c>
      <c r="F568" s="231" t="s">
        <v>407</v>
      </c>
      <c r="G568" s="223">
        <v>100</v>
      </c>
      <c r="H568" s="341">
        <v>0.5</v>
      </c>
      <c r="I568" s="219"/>
    </row>
    <row r="569" spans="1:9" s="230" customFormat="1">
      <c r="A569" s="542">
        <f t="shared" si="9"/>
        <v>561</v>
      </c>
      <c r="B569" s="220" t="s">
        <v>2107</v>
      </c>
      <c r="C569" s="221" t="s">
        <v>5594</v>
      </c>
      <c r="D569" s="240" t="s">
        <v>5533</v>
      </c>
      <c r="E569" s="231" t="s">
        <v>1884</v>
      </c>
      <c r="F569" s="231" t="s">
        <v>407</v>
      </c>
      <c r="G569" s="223">
        <v>150</v>
      </c>
      <c r="H569" s="341">
        <v>0.3</v>
      </c>
      <c r="I569" s="219"/>
    </row>
    <row r="570" spans="1:9" s="230" customFormat="1">
      <c r="A570" s="542">
        <f t="shared" si="9"/>
        <v>562</v>
      </c>
      <c r="B570" s="220" t="s">
        <v>2109</v>
      </c>
      <c r="C570" s="221" t="s">
        <v>5594</v>
      </c>
      <c r="D570" s="240" t="s">
        <v>5533</v>
      </c>
      <c r="E570" s="231" t="s">
        <v>1865</v>
      </c>
      <c r="F570" s="231" t="s">
        <v>407</v>
      </c>
      <c r="G570" s="223">
        <v>211</v>
      </c>
      <c r="H570" s="341">
        <v>0.4</v>
      </c>
      <c r="I570" s="219"/>
    </row>
    <row r="571" spans="1:9" s="230" customFormat="1">
      <c r="A571" s="542">
        <f t="shared" si="9"/>
        <v>563</v>
      </c>
      <c r="B571" s="220" t="s">
        <v>2110</v>
      </c>
      <c r="C571" s="221" t="s">
        <v>5594</v>
      </c>
      <c r="D571" s="240" t="s">
        <v>5533</v>
      </c>
      <c r="E571" s="231" t="s">
        <v>1865</v>
      </c>
      <c r="F571" s="231" t="s">
        <v>407</v>
      </c>
      <c r="G571" s="223">
        <v>262</v>
      </c>
      <c r="H571" s="341">
        <v>0.4</v>
      </c>
      <c r="I571" s="219"/>
    </row>
    <row r="572" spans="1:9" s="230" customFormat="1">
      <c r="A572" s="542">
        <f t="shared" si="9"/>
        <v>564</v>
      </c>
      <c r="B572" s="220" t="s">
        <v>5653</v>
      </c>
      <c r="C572" s="221" t="s">
        <v>5594</v>
      </c>
      <c r="D572" s="240" t="s">
        <v>5533</v>
      </c>
      <c r="E572" s="231" t="s">
        <v>1863</v>
      </c>
      <c r="F572" s="231" t="s">
        <v>407</v>
      </c>
      <c r="G572" s="223">
        <v>300</v>
      </c>
      <c r="H572" s="341">
        <v>0.5</v>
      </c>
      <c r="I572" s="219"/>
    </row>
    <row r="573" spans="1:9" s="230" customFormat="1">
      <c r="A573" s="542">
        <f t="shared" si="9"/>
        <v>565</v>
      </c>
      <c r="B573" s="220" t="s">
        <v>5654</v>
      </c>
      <c r="C573" s="221" t="s">
        <v>5592</v>
      </c>
      <c r="D573" s="240" t="s">
        <v>5533</v>
      </c>
      <c r="E573" s="231" t="s">
        <v>1718</v>
      </c>
      <c r="F573" s="231" t="s">
        <v>407</v>
      </c>
      <c r="G573" s="223">
        <v>1005</v>
      </c>
      <c r="H573" s="341">
        <v>0.45</v>
      </c>
      <c r="I573" s="219"/>
    </row>
    <row r="574" spans="1:9" s="230" customFormat="1">
      <c r="A574" s="542">
        <f t="shared" si="9"/>
        <v>566</v>
      </c>
      <c r="B574" s="220" t="s">
        <v>5655</v>
      </c>
      <c r="C574" s="221" t="s">
        <v>5592</v>
      </c>
      <c r="D574" s="240" t="s">
        <v>5533</v>
      </c>
      <c r="E574" s="231" t="s">
        <v>1718</v>
      </c>
      <c r="F574" s="231" t="s">
        <v>407</v>
      </c>
      <c r="G574" s="223">
        <v>950</v>
      </c>
      <c r="H574" s="341">
        <v>0.5</v>
      </c>
      <c r="I574" s="219"/>
    </row>
    <row r="575" spans="1:9" s="230" customFormat="1">
      <c r="A575" s="542">
        <f t="shared" si="9"/>
        <v>567</v>
      </c>
      <c r="B575" s="220" t="s">
        <v>5656</v>
      </c>
      <c r="C575" s="221" t="s">
        <v>5594</v>
      </c>
      <c r="D575" s="240" t="s">
        <v>5533</v>
      </c>
      <c r="E575" s="231" t="s">
        <v>1884</v>
      </c>
      <c r="F575" s="231" t="s">
        <v>407</v>
      </c>
      <c r="G575" s="223">
        <v>120</v>
      </c>
      <c r="H575" s="341">
        <v>0.4</v>
      </c>
      <c r="I575" s="219"/>
    </row>
    <row r="576" spans="1:9" s="230" customFormat="1">
      <c r="A576" s="542">
        <f t="shared" si="9"/>
        <v>568</v>
      </c>
      <c r="B576" s="220" t="s">
        <v>5657</v>
      </c>
      <c r="C576" s="221" t="s">
        <v>5594</v>
      </c>
      <c r="D576" s="240" t="s">
        <v>5533</v>
      </c>
      <c r="E576" s="231" t="s">
        <v>1884</v>
      </c>
      <c r="F576" s="231" t="s">
        <v>407</v>
      </c>
      <c r="G576" s="223">
        <v>280</v>
      </c>
      <c r="H576" s="341">
        <v>0.4</v>
      </c>
      <c r="I576" s="219"/>
    </row>
    <row r="577" spans="1:9" s="230" customFormat="1">
      <c r="A577" s="542">
        <f t="shared" si="9"/>
        <v>569</v>
      </c>
      <c r="B577" s="220" t="s">
        <v>5658</v>
      </c>
      <c r="C577" s="221" t="s">
        <v>5594</v>
      </c>
      <c r="D577" s="240" t="s">
        <v>5533</v>
      </c>
      <c r="E577" s="231" t="s">
        <v>1884</v>
      </c>
      <c r="F577" s="231" t="s">
        <v>407</v>
      </c>
      <c r="G577" s="223">
        <v>50</v>
      </c>
      <c r="H577" s="341">
        <v>0.4</v>
      </c>
      <c r="I577" s="219"/>
    </row>
    <row r="578" spans="1:9" s="230" customFormat="1">
      <c r="A578" s="542">
        <f t="shared" si="9"/>
        <v>570</v>
      </c>
      <c r="B578" s="220" t="s">
        <v>5659</v>
      </c>
      <c r="C578" s="221" t="s">
        <v>5594</v>
      </c>
      <c r="D578" s="240" t="s">
        <v>5533</v>
      </c>
      <c r="E578" s="231" t="s">
        <v>1884</v>
      </c>
      <c r="F578" s="231" t="s">
        <v>407</v>
      </c>
      <c r="G578" s="223">
        <v>280</v>
      </c>
      <c r="H578" s="341">
        <v>0.4</v>
      </c>
      <c r="I578" s="219"/>
    </row>
    <row r="579" spans="1:9" s="230" customFormat="1">
      <c r="A579" s="542">
        <f t="shared" si="9"/>
        <v>571</v>
      </c>
      <c r="B579" s="220" t="s">
        <v>2111</v>
      </c>
      <c r="C579" s="221" t="s">
        <v>5603</v>
      </c>
      <c r="D579" s="240" t="s">
        <v>5533</v>
      </c>
      <c r="E579" s="231" t="s">
        <v>1885</v>
      </c>
      <c r="F579" s="231" t="s">
        <v>407</v>
      </c>
      <c r="G579" s="223">
        <v>300</v>
      </c>
      <c r="H579" s="341">
        <v>0.3</v>
      </c>
      <c r="I579" s="219"/>
    </row>
    <row r="580" spans="1:9" s="230" customFormat="1">
      <c r="A580" s="542">
        <f t="shared" si="9"/>
        <v>572</v>
      </c>
      <c r="B580" s="220" t="s">
        <v>2112</v>
      </c>
      <c r="C580" s="221" t="s">
        <v>5603</v>
      </c>
      <c r="D580" s="240" t="s">
        <v>5533</v>
      </c>
      <c r="E580" s="231" t="s">
        <v>1885</v>
      </c>
      <c r="F580" s="231" t="s">
        <v>407</v>
      </c>
      <c r="G580" s="223">
        <v>375</v>
      </c>
      <c r="H580" s="341">
        <v>0.4</v>
      </c>
      <c r="I580" s="219"/>
    </row>
    <row r="581" spans="1:9" s="230" customFormat="1">
      <c r="A581" s="542">
        <f t="shared" si="9"/>
        <v>573</v>
      </c>
      <c r="B581" s="220" t="s">
        <v>2113</v>
      </c>
      <c r="C581" s="221" t="s">
        <v>5603</v>
      </c>
      <c r="D581" s="240" t="s">
        <v>5533</v>
      </c>
      <c r="E581" s="231" t="s">
        <v>1896</v>
      </c>
      <c r="F581" s="231" t="s">
        <v>407</v>
      </c>
      <c r="G581" s="223">
        <v>550</v>
      </c>
      <c r="H581" s="341">
        <v>0.4</v>
      </c>
      <c r="I581" s="219"/>
    </row>
    <row r="582" spans="1:9" s="230" customFormat="1">
      <c r="A582" s="542">
        <f t="shared" si="9"/>
        <v>574</v>
      </c>
      <c r="B582" s="220" t="s">
        <v>5660</v>
      </c>
      <c r="C582" s="221" t="s">
        <v>5603</v>
      </c>
      <c r="D582" s="240" t="s">
        <v>5533</v>
      </c>
      <c r="E582" s="231" t="s">
        <v>1897</v>
      </c>
      <c r="F582" s="231" t="s">
        <v>407</v>
      </c>
      <c r="G582" s="223">
        <v>610</v>
      </c>
      <c r="H582" s="341">
        <v>0.45</v>
      </c>
      <c r="I582" s="219"/>
    </row>
    <row r="583" spans="1:9" s="230" customFormat="1">
      <c r="A583" s="542">
        <f t="shared" si="9"/>
        <v>575</v>
      </c>
      <c r="B583" s="220" t="s">
        <v>2115</v>
      </c>
      <c r="C583" s="221" t="s">
        <v>5592</v>
      </c>
      <c r="D583" s="240" t="s">
        <v>5533</v>
      </c>
      <c r="E583" s="231" t="s">
        <v>1914</v>
      </c>
      <c r="F583" s="231" t="s">
        <v>407</v>
      </c>
      <c r="G583" s="223">
        <v>304</v>
      </c>
      <c r="H583" s="341">
        <v>0.3</v>
      </c>
      <c r="I583" s="219"/>
    </row>
    <row r="584" spans="1:9" s="230" customFormat="1">
      <c r="A584" s="542">
        <f t="shared" si="9"/>
        <v>576</v>
      </c>
      <c r="B584" s="220" t="s">
        <v>2116</v>
      </c>
      <c r="C584" s="221" t="s">
        <v>5592</v>
      </c>
      <c r="D584" s="240" t="s">
        <v>5533</v>
      </c>
      <c r="E584" s="231" t="s">
        <v>1918</v>
      </c>
      <c r="F584" s="231" t="s">
        <v>407</v>
      </c>
      <c r="G584" s="223">
        <v>655</v>
      </c>
      <c r="H584" s="341">
        <v>0.4</v>
      </c>
      <c r="I584" s="219"/>
    </row>
    <row r="585" spans="1:9" s="230" customFormat="1">
      <c r="A585" s="542">
        <f t="shared" ref="A585:A648" si="10">A584+1</f>
        <v>577</v>
      </c>
      <c r="B585" s="220" t="s">
        <v>2117</v>
      </c>
      <c r="C585" s="221" t="s">
        <v>5592</v>
      </c>
      <c r="D585" s="240" t="s">
        <v>5533</v>
      </c>
      <c r="E585" s="231" t="s">
        <v>1920</v>
      </c>
      <c r="F585" s="231" t="s">
        <v>407</v>
      </c>
      <c r="G585" s="223">
        <v>280</v>
      </c>
      <c r="H585" s="341">
        <v>0.45</v>
      </c>
      <c r="I585" s="219"/>
    </row>
    <row r="586" spans="1:9" s="230" customFormat="1">
      <c r="A586" s="542">
        <f t="shared" si="10"/>
        <v>578</v>
      </c>
      <c r="B586" s="220" t="s">
        <v>2119</v>
      </c>
      <c r="C586" s="221" t="s">
        <v>5592</v>
      </c>
      <c r="D586" s="240" t="s">
        <v>5533</v>
      </c>
      <c r="E586" s="231" t="s">
        <v>1908</v>
      </c>
      <c r="F586" s="231" t="s">
        <v>407</v>
      </c>
      <c r="G586" s="223">
        <v>250</v>
      </c>
      <c r="H586" s="341">
        <v>0.4</v>
      </c>
      <c r="I586" s="219"/>
    </row>
    <row r="587" spans="1:9" s="230" customFormat="1">
      <c r="A587" s="542">
        <f t="shared" si="10"/>
        <v>579</v>
      </c>
      <c r="B587" s="220" t="s">
        <v>2120</v>
      </c>
      <c r="C587" s="221" t="s">
        <v>5592</v>
      </c>
      <c r="D587" s="240" t="s">
        <v>5533</v>
      </c>
      <c r="E587" s="231" t="s">
        <v>1908</v>
      </c>
      <c r="F587" s="231" t="s">
        <v>407</v>
      </c>
      <c r="G587" s="223">
        <v>285</v>
      </c>
      <c r="H587" s="341">
        <v>0.4</v>
      </c>
      <c r="I587" s="219"/>
    </row>
    <row r="588" spans="1:9" s="230" customFormat="1">
      <c r="A588" s="542">
        <f t="shared" si="10"/>
        <v>580</v>
      </c>
      <c r="B588" s="220" t="s">
        <v>2121</v>
      </c>
      <c r="C588" s="221" t="s">
        <v>5592</v>
      </c>
      <c r="D588" s="240" t="s">
        <v>5533</v>
      </c>
      <c r="E588" s="231" t="s">
        <v>1908</v>
      </c>
      <c r="F588" s="231" t="s">
        <v>407</v>
      </c>
      <c r="G588" s="223">
        <v>300</v>
      </c>
      <c r="H588" s="341">
        <v>0.4</v>
      </c>
      <c r="I588" s="219"/>
    </row>
    <row r="589" spans="1:9" s="230" customFormat="1">
      <c r="A589" s="542">
        <f t="shared" si="10"/>
        <v>581</v>
      </c>
      <c r="B589" s="220" t="s">
        <v>2122</v>
      </c>
      <c r="C589" s="221" t="s">
        <v>5592</v>
      </c>
      <c r="D589" s="240" t="s">
        <v>5533</v>
      </c>
      <c r="E589" s="231" t="s">
        <v>1908</v>
      </c>
      <c r="F589" s="231" t="s">
        <v>407</v>
      </c>
      <c r="G589" s="223">
        <v>400</v>
      </c>
      <c r="H589" s="341">
        <v>0.3</v>
      </c>
      <c r="I589" s="219"/>
    </row>
    <row r="590" spans="1:9" s="230" customFormat="1">
      <c r="A590" s="542">
        <f t="shared" si="10"/>
        <v>582</v>
      </c>
      <c r="B590" s="220" t="s">
        <v>2123</v>
      </c>
      <c r="C590" s="221" t="s">
        <v>5592</v>
      </c>
      <c r="D590" s="240" t="s">
        <v>5533</v>
      </c>
      <c r="E590" s="231" t="s">
        <v>1908</v>
      </c>
      <c r="F590" s="231" t="s">
        <v>407</v>
      </c>
      <c r="G590" s="223">
        <v>360</v>
      </c>
      <c r="H590" s="341">
        <v>0.4</v>
      </c>
      <c r="I590" s="219"/>
    </row>
    <row r="591" spans="1:9" s="230" customFormat="1">
      <c r="A591" s="542">
        <f t="shared" si="10"/>
        <v>583</v>
      </c>
      <c r="B591" s="220" t="s">
        <v>2124</v>
      </c>
      <c r="C591" s="221" t="s">
        <v>5592</v>
      </c>
      <c r="D591" s="240" t="s">
        <v>5533</v>
      </c>
      <c r="E591" s="231" t="s">
        <v>1908</v>
      </c>
      <c r="F591" s="231" t="s">
        <v>407</v>
      </c>
      <c r="G591" s="223">
        <v>289</v>
      </c>
      <c r="H591" s="341">
        <v>0.45</v>
      </c>
      <c r="I591" s="219"/>
    </row>
    <row r="592" spans="1:9" s="230" customFormat="1">
      <c r="A592" s="542">
        <f t="shared" si="10"/>
        <v>584</v>
      </c>
      <c r="B592" s="220" t="s">
        <v>2125</v>
      </c>
      <c r="C592" s="221" t="s">
        <v>5592</v>
      </c>
      <c r="D592" s="240" t="s">
        <v>5533</v>
      </c>
      <c r="E592" s="231" t="s">
        <v>1908</v>
      </c>
      <c r="F592" s="231" t="s">
        <v>407</v>
      </c>
      <c r="G592" s="223">
        <v>450</v>
      </c>
      <c r="H592" s="341">
        <v>0.45</v>
      </c>
      <c r="I592" s="219"/>
    </row>
    <row r="593" spans="1:9" s="230" customFormat="1">
      <c r="A593" s="542">
        <f t="shared" si="10"/>
        <v>585</v>
      </c>
      <c r="B593" s="220" t="s">
        <v>2126</v>
      </c>
      <c r="C593" s="221" t="s">
        <v>5592</v>
      </c>
      <c r="D593" s="240" t="s">
        <v>5533</v>
      </c>
      <c r="E593" s="231" t="s">
        <v>1908</v>
      </c>
      <c r="F593" s="231" t="s">
        <v>407</v>
      </c>
      <c r="G593" s="223">
        <v>500</v>
      </c>
      <c r="H593" s="341">
        <v>0.45</v>
      </c>
      <c r="I593" s="219"/>
    </row>
    <row r="594" spans="1:9" s="230" customFormat="1">
      <c r="A594" s="542">
        <f t="shared" si="10"/>
        <v>586</v>
      </c>
      <c r="B594" s="220" t="s">
        <v>2127</v>
      </c>
      <c r="C594" s="221" t="s">
        <v>5592</v>
      </c>
      <c r="D594" s="240" t="s">
        <v>5533</v>
      </c>
      <c r="E594" s="231" t="s">
        <v>1908</v>
      </c>
      <c r="F594" s="231" t="s">
        <v>407</v>
      </c>
      <c r="G594" s="223">
        <v>400</v>
      </c>
      <c r="H594" s="341">
        <v>0.4</v>
      </c>
      <c r="I594" s="219"/>
    </row>
    <row r="595" spans="1:9" s="230" customFormat="1">
      <c r="A595" s="542">
        <f t="shared" si="10"/>
        <v>587</v>
      </c>
      <c r="B595" s="220" t="s">
        <v>2128</v>
      </c>
      <c r="C595" s="221" t="s">
        <v>5592</v>
      </c>
      <c r="D595" s="240" t="s">
        <v>5533</v>
      </c>
      <c r="E595" s="231" t="s">
        <v>1908</v>
      </c>
      <c r="F595" s="231" t="s">
        <v>407</v>
      </c>
      <c r="G595" s="223">
        <v>500</v>
      </c>
      <c r="H595" s="341">
        <v>0.4</v>
      </c>
      <c r="I595" s="219"/>
    </row>
    <row r="596" spans="1:9" s="230" customFormat="1">
      <c r="A596" s="542">
        <f t="shared" si="10"/>
        <v>588</v>
      </c>
      <c r="B596" s="220" t="s">
        <v>2129</v>
      </c>
      <c r="C596" s="221" t="s">
        <v>5592</v>
      </c>
      <c r="D596" s="240" t="s">
        <v>5533</v>
      </c>
      <c r="E596" s="231" t="s">
        <v>1908</v>
      </c>
      <c r="F596" s="231" t="s">
        <v>407</v>
      </c>
      <c r="G596" s="223">
        <v>400</v>
      </c>
      <c r="H596" s="341">
        <v>0.45</v>
      </c>
      <c r="I596" s="219"/>
    </row>
    <row r="597" spans="1:9" s="230" customFormat="1">
      <c r="A597" s="542">
        <f t="shared" si="10"/>
        <v>589</v>
      </c>
      <c r="B597" s="220" t="s">
        <v>2130</v>
      </c>
      <c r="C597" s="221" t="s">
        <v>5592</v>
      </c>
      <c r="D597" s="240" t="s">
        <v>5533</v>
      </c>
      <c r="E597" s="231" t="s">
        <v>1908</v>
      </c>
      <c r="F597" s="231" t="s">
        <v>407</v>
      </c>
      <c r="G597" s="223">
        <v>200</v>
      </c>
      <c r="H597" s="341">
        <v>0.45</v>
      </c>
      <c r="I597" s="219"/>
    </row>
    <row r="598" spans="1:9" s="230" customFormat="1">
      <c r="A598" s="542">
        <f t="shared" si="10"/>
        <v>590</v>
      </c>
      <c r="B598" s="220" t="s">
        <v>5661</v>
      </c>
      <c r="C598" s="221" t="s">
        <v>5592</v>
      </c>
      <c r="D598" s="240" t="s">
        <v>5533</v>
      </c>
      <c r="E598" s="231" t="s">
        <v>1909</v>
      </c>
      <c r="F598" s="231" t="s">
        <v>407</v>
      </c>
      <c r="G598" s="223">
        <v>310</v>
      </c>
      <c r="H598" s="341">
        <v>0.4</v>
      </c>
      <c r="I598" s="219"/>
    </row>
    <row r="599" spans="1:9" s="230" customFormat="1">
      <c r="A599" s="542">
        <f t="shared" si="10"/>
        <v>591</v>
      </c>
      <c r="B599" s="220" t="s">
        <v>2131</v>
      </c>
      <c r="C599" s="221" t="s">
        <v>5592</v>
      </c>
      <c r="D599" s="240" t="s">
        <v>5533</v>
      </c>
      <c r="E599" s="231" t="s">
        <v>1910</v>
      </c>
      <c r="F599" s="231" t="s">
        <v>407</v>
      </c>
      <c r="G599" s="223">
        <v>275</v>
      </c>
      <c r="H599" s="341">
        <v>0.45</v>
      </c>
      <c r="I599" s="219"/>
    </row>
    <row r="600" spans="1:9" s="230" customFormat="1">
      <c r="A600" s="542">
        <f t="shared" si="10"/>
        <v>592</v>
      </c>
      <c r="B600" s="220" t="s">
        <v>5662</v>
      </c>
      <c r="C600" s="221" t="s">
        <v>5592</v>
      </c>
      <c r="D600" s="240" t="s">
        <v>5533</v>
      </c>
      <c r="E600" s="231" t="s">
        <v>1911</v>
      </c>
      <c r="F600" s="231" t="s">
        <v>407</v>
      </c>
      <c r="G600" s="223">
        <v>181</v>
      </c>
      <c r="H600" s="341">
        <v>0.3</v>
      </c>
      <c r="I600" s="219"/>
    </row>
    <row r="601" spans="1:9" s="230" customFormat="1">
      <c r="A601" s="542">
        <f t="shared" si="10"/>
        <v>593</v>
      </c>
      <c r="B601" s="220" t="s">
        <v>2132</v>
      </c>
      <c r="C601" s="221" t="s">
        <v>5592</v>
      </c>
      <c r="D601" s="240" t="s">
        <v>5533</v>
      </c>
      <c r="E601" s="231" t="s">
        <v>1910</v>
      </c>
      <c r="F601" s="231" t="s">
        <v>407</v>
      </c>
      <c r="G601" s="223">
        <v>281</v>
      </c>
      <c r="H601" s="341">
        <v>0.45</v>
      </c>
      <c r="I601" s="219"/>
    </row>
    <row r="602" spans="1:9" s="230" customFormat="1">
      <c r="A602" s="542">
        <f t="shared" si="10"/>
        <v>594</v>
      </c>
      <c r="B602" s="220" t="s">
        <v>5663</v>
      </c>
      <c r="C602" s="221" t="s">
        <v>5592</v>
      </c>
      <c r="D602" s="240" t="s">
        <v>5533</v>
      </c>
      <c r="E602" s="231" t="s">
        <v>1910</v>
      </c>
      <c r="F602" s="231" t="s">
        <v>407</v>
      </c>
      <c r="G602" s="223">
        <v>300</v>
      </c>
      <c r="H602" s="341">
        <v>0.4</v>
      </c>
      <c r="I602" s="219"/>
    </row>
    <row r="603" spans="1:9" s="230" customFormat="1">
      <c r="A603" s="542">
        <f t="shared" si="10"/>
        <v>595</v>
      </c>
      <c r="B603" s="220" t="s">
        <v>5664</v>
      </c>
      <c r="C603" s="221" t="s">
        <v>5592</v>
      </c>
      <c r="D603" s="240" t="s">
        <v>5533</v>
      </c>
      <c r="E603" s="231" t="s">
        <v>1912</v>
      </c>
      <c r="F603" s="231" t="s">
        <v>407</v>
      </c>
      <c r="G603" s="223">
        <v>234</v>
      </c>
      <c r="H603" s="341">
        <v>0.4</v>
      </c>
      <c r="I603" s="219"/>
    </row>
    <row r="604" spans="1:9" s="230" customFormat="1">
      <c r="A604" s="542">
        <f t="shared" si="10"/>
        <v>596</v>
      </c>
      <c r="B604" s="220" t="s">
        <v>5665</v>
      </c>
      <c r="C604" s="221" t="s">
        <v>5592</v>
      </c>
      <c r="D604" s="240" t="s">
        <v>5533</v>
      </c>
      <c r="E604" s="231" t="s">
        <v>1912</v>
      </c>
      <c r="F604" s="231" t="s">
        <v>407</v>
      </c>
      <c r="G604" s="223">
        <v>400</v>
      </c>
      <c r="H604" s="341">
        <v>0.4</v>
      </c>
      <c r="I604" s="219"/>
    </row>
    <row r="605" spans="1:9" s="230" customFormat="1">
      <c r="A605" s="542">
        <f t="shared" si="10"/>
        <v>597</v>
      </c>
      <c r="B605" s="220" t="s">
        <v>2133</v>
      </c>
      <c r="C605" s="221" t="s">
        <v>5594</v>
      </c>
      <c r="D605" s="240" t="s">
        <v>5533</v>
      </c>
      <c r="E605" s="231" t="s">
        <v>1973</v>
      </c>
      <c r="F605" s="231" t="s">
        <v>407</v>
      </c>
      <c r="G605" s="223">
        <v>199</v>
      </c>
      <c r="H605" s="341">
        <v>0.4</v>
      </c>
      <c r="I605" s="219"/>
    </row>
    <row r="606" spans="1:9" s="230" customFormat="1">
      <c r="A606" s="542">
        <f t="shared" si="10"/>
        <v>598</v>
      </c>
      <c r="B606" s="220" t="s">
        <v>5666</v>
      </c>
      <c r="C606" s="221" t="s">
        <v>5594</v>
      </c>
      <c r="D606" s="240" t="s">
        <v>5533</v>
      </c>
      <c r="E606" s="231" t="s">
        <v>1912</v>
      </c>
      <c r="F606" s="231" t="s">
        <v>407</v>
      </c>
      <c r="G606" s="223">
        <v>270</v>
      </c>
      <c r="H606" s="341">
        <v>0.5</v>
      </c>
      <c r="I606" s="219"/>
    </row>
    <row r="607" spans="1:9" s="230" customFormat="1">
      <c r="A607" s="542">
        <f t="shared" si="10"/>
        <v>599</v>
      </c>
      <c r="B607" s="220" t="s">
        <v>2134</v>
      </c>
      <c r="C607" s="221" t="s">
        <v>5594</v>
      </c>
      <c r="D607" s="240" t="s">
        <v>5533</v>
      </c>
      <c r="E607" s="231" t="s">
        <v>1989</v>
      </c>
      <c r="F607" s="231" t="s">
        <v>407</v>
      </c>
      <c r="G607" s="223">
        <v>970</v>
      </c>
      <c r="H607" s="341">
        <v>0.5</v>
      </c>
      <c r="I607" s="219"/>
    </row>
    <row r="608" spans="1:9" s="230" customFormat="1">
      <c r="A608" s="542">
        <f t="shared" si="10"/>
        <v>600</v>
      </c>
      <c r="B608" s="220" t="s">
        <v>2135</v>
      </c>
      <c r="C608" s="221" t="s">
        <v>5594</v>
      </c>
      <c r="D608" s="240" t="s">
        <v>5533</v>
      </c>
      <c r="E608" s="231" t="s">
        <v>1990</v>
      </c>
      <c r="F608" s="231" t="s">
        <v>407</v>
      </c>
      <c r="G608" s="223">
        <v>355</v>
      </c>
      <c r="H608" s="341">
        <v>0.45</v>
      </c>
      <c r="I608" s="219"/>
    </row>
    <row r="609" spans="1:9" s="230" customFormat="1">
      <c r="A609" s="542">
        <f t="shared" si="10"/>
        <v>601</v>
      </c>
      <c r="B609" s="220" t="s">
        <v>2136</v>
      </c>
      <c r="C609" s="221" t="s">
        <v>5594</v>
      </c>
      <c r="D609" s="240" t="s">
        <v>5533</v>
      </c>
      <c r="E609" s="231" t="s">
        <v>1991</v>
      </c>
      <c r="F609" s="231" t="s">
        <v>407</v>
      </c>
      <c r="G609" s="223">
        <v>215</v>
      </c>
      <c r="H609" s="341">
        <v>0.4</v>
      </c>
      <c r="I609" s="219"/>
    </row>
    <row r="610" spans="1:9" s="230" customFormat="1">
      <c r="A610" s="542">
        <f t="shared" si="10"/>
        <v>602</v>
      </c>
      <c r="B610" s="220" t="s">
        <v>2137</v>
      </c>
      <c r="C610" s="221" t="s">
        <v>5594</v>
      </c>
      <c r="D610" s="240" t="s">
        <v>5533</v>
      </c>
      <c r="E610" s="231" t="s">
        <v>1991</v>
      </c>
      <c r="F610" s="231" t="s">
        <v>407</v>
      </c>
      <c r="G610" s="223">
        <v>257</v>
      </c>
      <c r="H610" s="341">
        <v>0.4</v>
      </c>
      <c r="I610" s="219"/>
    </row>
    <row r="611" spans="1:9" s="230" customFormat="1">
      <c r="A611" s="542">
        <f t="shared" si="10"/>
        <v>603</v>
      </c>
      <c r="B611" s="220" t="s">
        <v>5667</v>
      </c>
      <c r="C611" s="221" t="s">
        <v>5594</v>
      </c>
      <c r="D611" s="240" t="s">
        <v>5533</v>
      </c>
      <c r="E611" s="316" t="s">
        <v>5667</v>
      </c>
      <c r="F611" s="231" t="s">
        <v>407</v>
      </c>
      <c r="G611" s="223">
        <v>110</v>
      </c>
      <c r="H611" s="341">
        <v>0.4</v>
      </c>
      <c r="I611" s="219"/>
    </row>
    <row r="612" spans="1:9" s="230" customFormat="1">
      <c r="A612" s="542">
        <f t="shared" si="10"/>
        <v>604</v>
      </c>
      <c r="B612" s="220" t="s">
        <v>5668</v>
      </c>
      <c r="C612" s="221" t="s">
        <v>5594</v>
      </c>
      <c r="D612" s="240" t="s">
        <v>5533</v>
      </c>
      <c r="E612" s="316" t="s">
        <v>5668</v>
      </c>
      <c r="F612" s="231" t="s">
        <v>407</v>
      </c>
      <c r="G612" s="223">
        <v>538</v>
      </c>
      <c r="H612" s="341">
        <v>0.4</v>
      </c>
      <c r="I612" s="219"/>
    </row>
    <row r="613" spans="1:9" s="230" customFormat="1">
      <c r="A613" s="542">
        <f t="shared" si="10"/>
        <v>605</v>
      </c>
      <c r="B613" s="220" t="s">
        <v>2138</v>
      </c>
      <c r="C613" s="221" t="s">
        <v>5594</v>
      </c>
      <c r="D613" s="240" t="s">
        <v>5533</v>
      </c>
      <c r="E613" s="231" t="s">
        <v>2014</v>
      </c>
      <c r="F613" s="231" t="s">
        <v>407</v>
      </c>
      <c r="G613" s="223">
        <v>381</v>
      </c>
      <c r="H613" s="341">
        <v>0.45</v>
      </c>
      <c r="I613" s="219"/>
    </row>
    <row r="614" spans="1:9" s="230" customFormat="1">
      <c r="A614" s="542">
        <f t="shared" si="10"/>
        <v>606</v>
      </c>
      <c r="B614" s="220" t="s">
        <v>2139</v>
      </c>
      <c r="C614" s="221" t="s">
        <v>5594</v>
      </c>
      <c r="D614" s="240" t="s">
        <v>5533</v>
      </c>
      <c r="E614" s="231" t="s">
        <v>2014</v>
      </c>
      <c r="F614" s="231" t="s">
        <v>407</v>
      </c>
      <c r="G614" s="223">
        <v>366</v>
      </c>
      <c r="H614" s="341">
        <v>0.4</v>
      </c>
      <c r="I614" s="219"/>
    </row>
    <row r="615" spans="1:9" s="230" customFormat="1">
      <c r="A615" s="542">
        <f t="shared" si="10"/>
        <v>607</v>
      </c>
      <c r="B615" s="220" t="s">
        <v>2140</v>
      </c>
      <c r="C615" s="221" t="s">
        <v>5594</v>
      </c>
      <c r="D615" s="240" t="s">
        <v>5533</v>
      </c>
      <c r="E615" s="231" t="s">
        <v>2014</v>
      </c>
      <c r="F615" s="231" t="s">
        <v>407</v>
      </c>
      <c r="G615" s="223">
        <v>321</v>
      </c>
      <c r="H615" s="341">
        <v>0.4</v>
      </c>
      <c r="I615" s="219"/>
    </row>
    <row r="616" spans="1:9" s="230" customFormat="1">
      <c r="A616" s="542">
        <f t="shared" si="10"/>
        <v>608</v>
      </c>
      <c r="B616" s="220" t="s">
        <v>2141</v>
      </c>
      <c r="C616" s="221" t="s">
        <v>5594</v>
      </c>
      <c r="D616" s="240" t="s">
        <v>5533</v>
      </c>
      <c r="E616" s="231" t="s">
        <v>2014</v>
      </c>
      <c r="F616" s="231" t="s">
        <v>407</v>
      </c>
      <c r="G616" s="223">
        <v>270</v>
      </c>
      <c r="H616" s="341">
        <v>0.4</v>
      </c>
      <c r="I616" s="219"/>
    </row>
    <row r="617" spans="1:9" s="230" customFormat="1">
      <c r="A617" s="542">
        <f t="shared" si="10"/>
        <v>609</v>
      </c>
      <c r="B617" s="220" t="s">
        <v>2142</v>
      </c>
      <c r="C617" s="221" t="s">
        <v>5594</v>
      </c>
      <c r="D617" s="240" t="s">
        <v>5533</v>
      </c>
      <c r="E617" s="231" t="s">
        <v>2015</v>
      </c>
      <c r="F617" s="231" t="s">
        <v>407</v>
      </c>
      <c r="G617" s="223">
        <v>147</v>
      </c>
      <c r="H617" s="341">
        <v>0.4</v>
      </c>
      <c r="I617" s="219"/>
    </row>
    <row r="618" spans="1:9" s="230" customFormat="1">
      <c r="A618" s="542">
        <f t="shared" si="10"/>
        <v>610</v>
      </c>
      <c r="B618" s="220" t="s">
        <v>2143</v>
      </c>
      <c r="C618" s="221" t="s">
        <v>5594</v>
      </c>
      <c r="D618" s="240" t="s">
        <v>5533</v>
      </c>
      <c r="E618" s="231" t="s">
        <v>2015</v>
      </c>
      <c r="F618" s="231" t="s">
        <v>407</v>
      </c>
      <c r="G618" s="223">
        <v>345</v>
      </c>
      <c r="H618" s="341">
        <v>0.4</v>
      </c>
      <c r="I618" s="219"/>
    </row>
    <row r="619" spans="1:9" s="230" customFormat="1">
      <c r="A619" s="542">
        <f t="shared" si="10"/>
        <v>611</v>
      </c>
      <c r="B619" s="220" t="s">
        <v>2144</v>
      </c>
      <c r="C619" s="221" t="s">
        <v>5594</v>
      </c>
      <c r="D619" s="240" t="s">
        <v>5533</v>
      </c>
      <c r="E619" s="231" t="s">
        <v>2015</v>
      </c>
      <c r="F619" s="231" t="s">
        <v>407</v>
      </c>
      <c r="G619" s="223">
        <v>356</v>
      </c>
      <c r="H619" s="341">
        <v>0.4</v>
      </c>
      <c r="I619" s="219"/>
    </row>
    <row r="620" spans="1:9" s="230" customFormat="1">
      <c r="A620" s="542">
        <f t="shared" si="10"/>
        <v>612</v>
      </c>
      <c r="B620" s="220" t="s">
        <v>2145</v>
      </c>
      <c r="C620" s="221" t="s">
        <v>5594</v>
      </c>
      <c r="D620" s="240" t="s">
        <v>5533</v>
      </c>
      <c r="E620" s="231" t="s">
        <v>2015</v>
      </c>
      <c r="F620" s="231" t="s">
        <v>407</v>
      </c>
      <c r="G620" s="223">
        <v>373</v>
      </c>
      <c r="H620" s="341">
        <v>0.45</v>
      </c>
      <c r="I620" s="219"/>
    </row>
    <row r="621" spans="1:9" s="230" customFormat="1">
      <c r="A621" s="542">
        <f t="shared" si="10"/>
        <v>613</v>
      </c>
      <c r="B621" s="220" t="s">
        <v>2146</v>
      </c>
      <c r="C621" s="221" t="s">
        <v>5594</v>
      </c>
      <c r="D621" s="240" t="s">
        <v>5533</v>
      </c>
      <c r="E621" s="231" t="s">
        <v>2016</v>
      </c>
      <c r="F621" s="231" t="s">
        <v>407</v>
      </c>
      <c r="G621" s="223">
        <v>204</v>
      </c>
      <c r="H621" s="341">
        <v>0.45</v>
      </c>
      <c r="I621" s="219"/>
    </row>
    <row r="622" spans="1:9" s="230" customFormat="1">
      <c r="A622" s="542">
        <f t="shared" si="10"/>
        <v>614</v>
      </c>
      <c r="B622" s="220" t="s">
        <v>2147</v>
      </c>
      <c r="C622" s="221" t="s">
        <v>5594</v>
      </c>
      <c r="D622" s="240" t="s">
        <v>5533</v>
      </c>
      <c r="E622" s="231" t="s">
        <v>2016</v>
      </c>
      <c r="F622" s="231" t="s">
        <v>407</v>
      </c>
      <c r="G622" s="223">
        <v>200</v>
      </c>
      <c r="H622" s="341">
        <v>0.4</v>
      </c>
      <c r="I622" s="219"/>
    </row>
    <row r="623" spans="1:9" s="230" customFormat="1">
      <c r="A623" s="542">
        <f t="shared" si="10"/>
        <v>615</v>
      </c>
      <c r="B623" s="220" t="s">
        <v>2148</v>
      </c>
      <c r="C623" s="221" t="s">
        <v>5594</v>
      </c>
      <c r="D623" s="240" t="s">
        <v>5533</v>
      </c>
      <c r="E623" s="231" t="s">
        <v>2016</v>
      </c>
      <c r="F623" s="231" t="s">
        <v>407</v>
      </c>
      <c r="G623" s="223">
        <v>227</v>
      </c>
      <c r="H623" s="341">
        <v>0.45</v>
      </c>
      <c r="I623" s="219"/>
    </row>
    <row r="624" spans="1:9" s="230" customFormat="1">
      <c r="A624" s="542">
        <f t="shared" si="10"/>
        <v>616</v>
      </c>
      <c r="B624" s="220" t="s">
        <v>2149</v>
      </c>
      <c r="C624" s="221" t="s">
        <v>5594</v>
      </c>
      <c r="D624" s="240" t="s">
        <v>5533</v>
      </c>
      <c r="E624" s="231" t="s">
        <v>2017</v>
      </c>
      <c r="F624" s="231" t="s">
        <v>407</v>
      </c>
      <c r="G624" s="223">
        <v>144</v>
      </c>
      <c r="H624" s="341">
        <v>0.4</v>
      </c>
      <c r="I624" s="219"/>
    </row>
    <row r="625" spans="1:9" s="230" customFormat="1">
      <c r="A625" s="542">
        <f t="shared" si="10"/>
        <v>617</v>
      </c>
      <c r="B625" s="220" t="s">
        <v>2150</v>
      </c>
      <c r="C625" s="221" t="s">
        <v>5594</v>
      </c>
      <c r="D625" s="240" t="s">
        <v>5533</v>
      </c>
      <c r="E625" s="231" t="s">
        <v>2017</v>
      </c>
      <c r="F625" s="231" t="s">
        <v>407</v>
      </c>
      <c r="G625" s="223">
        <v>160</v>
      </c>
      <c r="H625" s="341">
        <v>0.4</v>
      </c>
      <c r="I625" s="219"/>
    </row>
    <row r="626" spans="1:9" s="230" customFormat="1">
      <c r="A626" s="542">
        <f t="shared" si="10"/>
        <v>618</v>
      </c>
      <c r="B626" s="220" t="s">
        <v>5669</v>
      </c>
      <c r="C626" s="221" t="s">
        <v>5594</v>
      </c>
      <c r="D626" s="240" t="s">
        <v>5533</v>
      </c>
      <c r="E626" s="231" t="s">
        <v>2018</v>
      </c>
      <c r="F626" s="231" t="s">
        <v>407</v>
      </c>
      <c r="G626" s="223">
        <v>135</v>
      </c>
      <c r="H626" s="341">
        <v>0.4</v>
      </c>
      <c r="I626" s="219"/>
    </row>
    <row r="627" spans="1:9" s="230" customFormat="1">
      <c r="A627" s="542">
        <f t="shared" si="10"/>
        <v>619</v>
      </c>
      <c r="B627" s="220" t="s">
        <v>2151</v>
      </c>
      <c r="C627" s="221" t="s">
        <v>5598</v>
      </c>
      <c r="D627" s="240" t="s">
        <v>5533</v>
      </c>
      <c r="E627" s="231" t="s">
        <v>2031</v>
      </c>
      <c r="F627" s="231" t="s">
        <v>407</v>
      </c>
      <c r="G627" s="223">
        <v>500</v>
      </c>
      <c r="H627" s="341">
        <v>0.4</v>
      </c>
      <c r="I627" s="219"/>
    </row>
    <row r="628" spans="1:9" s="230" customFormat="1">
      <c r="A628" s="542">
        <f t="shared" si="10"/>
        <v>620</v>
      </c>
      <c r="B628" s="220" t="s">
        <v>2153</v>
      </c>
      <c r="C628" s="221" t="s">
        <v>5598</v>
      </c>
      <c r="D628" s="240" t="s">
        <v>5533</v>
      </c>
      <c r="E628" s="231" t="s">
        <v>2045</v>
      </c>
      <c r="F628" s="231" t="s">
        <v>407</v>
      </c>
      <c r="G628" s="223">
        <v>1200</v>
      </c>
      <c r="H628" s="341">
        <v>0.4</v>
      </c>
      <c r="I628" s="219"/>
    </row>
    <row r="629" spans="1:9" s="230" customFormat="1">
      <c r="A629" s="542">
        <f t="shared" si="10"/>
        <v>621</v>
      </c>
      <c r="B629" s="220" t="s">
        <v>2155</v>
      </c>
      <c r="C629" s="221" t="s">
        <v>5598</v>
      </c>
      <c r="D629" s="240" t="s">
        <v>5533</v>
      </c>
      <c r="E629" s="231" t="s">
        <v>2047</v>
      </c>
      <c r="F629" s="231" t="s">
        <v>407</v>
      </c>
      <c r="G629" s="223">
        <v>754</v>
      </c>
      <c r="H629" s="341">
        <v>0.4</v>
      </c>
      <c r="I629" s="219"/>
    </row>
    <row r="630" spans="1:9" s="230" customFormat="1">
      <c r="A630" s="542">
        <f t="shared" si="10"/>
        <v>622</v>
      </c>
      <c r="B630" s="220" t="s">
        <v>2156</v>
      </c>
      <c r="C630" s="221" t="s">
        <v>5598</v>
      </c>
      <c r="D630" s="240" t="s">
        <v>5533</v>
      </c>
      <c r="E630" s="231" t="s">
        <v>2047</v>
      </c>
      <c r="F630" s="231" t="s">
        <v>407</v>
      </c>
      <c r="G630" s="223">
        <v>458</v>
      </c>
      <c r="H630" s="341">
        <v>0.4</v>
      </c>
      <c r="I630" s="219"/>
    </row>
    <row r="631" spans="1:9" s="230" customFormat="1">
      <c r="A631" s="542">
        <f t="shared" si="10"/>
        <v>623</v>
      </c>
      <c r="B631" s="220" t="s">
        <v>5670</v>
      </c>
      <c r="C631" s="221" t="s">
        <v>5598</v>
      </c>
      <c r="D631" s="240" t="s">
        <v>5533</v>
      </c>
      <c r="E631" s="231" t="s">
        <v>5671</v>
      </c>
      <c r="F631" s="231" t="s">
        <v>1159</v>
      </c>
      <c r="G631" s="223">
        <v>2070</v>
      </c>
      <c r="H631" s="341">
        <v>12</v>
      </c>
      <c r="I631" s="219"/>
    </row>
    <row r="632" spans="1:9" s="230" customFormat="1">
      <c r="A632" s="542">
        <f t="shared" si="10"/>
        <v>624</v>
      </c>
      <c r="B632" s="220" t="s">
        <v>5672</v>
      </c>
      <c r="C632" s="221" t="s">
        <v>5673</v>
      </c>
      <c r="D632" s="240" t="s">
        <v>5533</v>
      </c>
      <c r="E632" s="231" t="s">
        <v>1666</v>
      </c>
      <c r="F632" s="231" t="s">
        <v>2404</v>
      </c>
      <c r="G632" s="223">
        <v>13789</v>
      </c>
      <c r="H632" s="341" t="s">
        <v>8368</v>
      </c>
      <c r="I632" s="219"/>
    </row>
    <row r="633" spans="1:9" s="230" customFormat="1">
      <c r="A633" s="542">
        <f t="shared" si="10"/>
        <v>625</v>
      </c>
      <c r="B633" s="220" t="s">
        <v>5674</v>
      </c>
      <c r="C633" s="221" t="s">
        <v>5609</v>
      </c>
      <c r="D633" s="240" t="s">
        <v>5533</v>
      </c>
      <c r="E633" s="231" t="s">
        <v>1161</v>
      </c>
      <c r="F633" s="221" t="s">
        <v>5672</v>
      </c>
      <c r="G633" s="223">
        <v>8238</v>
      </c>
      <c r="H633" s="341">
        <v>10</v>
      </c>
      <c r="I633" s="219"/>
    </row>
    <row r="634" spans="1:9" s="230" customFormat="1">
      <c r="A634" s="542">
        <f t="shared" si="10"/>
        <v>626</v>
      </c>
      <c r="B634" s="224" t="s">
        <v>2400</v>
      </c>
      <c r="C634" s="221" t="s">
        <v>5609</v>
      </c>
      <c r="D634" s="240" t="s">
        <v>5533</v>
      </c>
      <c r="E634" s="231" t="s">
        <v>5675</v>
      </c>
      <c r="F634" s="316" t="s">
        <v>5674</v>
      </c>
      <c r="G634" s="223">
        <v>5740</v>
      </c>
      <c r="H634" s="341">
        <v>6</v>
      </c>
      <c r="I634" s="219"/>
    </row>
    <row r="635" spans="1:9" s="230" customFormat="1">
      <c r="A635" s="542">
        <f t="shared" si="10"/>
        <v>627</v>
      </c>
      <c r="B635" s="224" t="s">
        <v>5676</v>
      </c>
      <c r="C635" s="221" t="s">
        <v>5592</v>
      </c>
      <c r="D635" s="240" t="s">
        <v>5533</v>
      </c>
      <c r="E635" s="231" t="s">
        <v>1865</v>
      </c>
      <c r="F635" s="221" t="s">
        <v>5672</v>
      </c>
      <c r="G635" s="223">
        <v>506</v>
      </c>
      <c r="H635" s="341" t="s">
        <v>8274</v>
      </c>
      <c r="I635" s="219"/>
    </row>
    <row r="636" spans="1:9" s="230" customFormat="1">
      <c r="A636" s="542">
        <f t="shared" si="10"/>
        <v>628</v>
      </c>
      <c r="B636" s="224" t="s">
        <v>5677</v>
      </c>
      <c r="C636" s="221" t="s">
        <v>5592</v>
      </c>
      <c r="D636" s="240" t="s">
        <v>5533</v>
      </c>
      <c r="E636" s="231" t="s">
        <v>1865</v>
      </c>
      <c r="F636" s="221" t="s">
        <v>5672</v>
      </c>
      <c r="G636" s="223">
        <v>1594</v>
      </c>
      <c r="H636" s="341" t="s">
        <v>8275</v>
      </c>
      <c r="I636" s="219"/>
    </row>
    <row r="637" spans="1:9" s="230" customFormat="1">
      <c r="A637" s="542">
        <f t="shared" si="10"/>
        <v>629</v>
      </c>
      <c r="B637" s="224" t="s">
        <v>5678</v>
      </c>
      <c r="C637" s="221" t="s">
        <v>5603</v>
      </c>
      <c r="D637" s="240" t="s">
        <v>5533</v>
      </c>
      <c r="E637" s="231" t="s">
        <v>1695</v>
      </c>
      <c r="F637" s="318" t="s">
        <v>2159</v>
      </c>
      <c r="G637" s="223">
        <v>1200</v>
      </c>
      <c r="H637" s="341">
        <v>4</v>
      </c>
      <c r="I637" s="219"/>
    </row>
    <row r="638" spans="1:9" s="230" customFormat="1">
      <c r="A638" s="542">
        <f t="shared" si="10"/>
        <v>630</v>
      </c>
      <c r="B638" s="319" t="s">
        <v>5679</v>
      </c>
      <c r="C638" s="221" t="s">
        <v>5603</v>
      </c>
      <c r="D638" s="240" t="s">
        <v>5533</v>
      </c>
      <c r="E638" s="231" t="s">
        <v>1663</v>
      </c>
      <c r="F638" s="231" t="s">
        <v>407</v>
      </c>
      <c r="G638" s="223">
        <v>900</v>
      </c>
      <c r="H638" s="341">
        <v>4</v>
      </c>
      <c r="I638" s="219"/>
    </row>
    <row r="639" spans="1:9" s="230" customFormat="1">
      <c r="A639" s="542">
        <f t="shared" si="10"/>
        <v>631</v>
      </c>
      <c r="B639" s="242" t="s">
        <v>5680</v>
      </c>
      <c r="C639" s="221" t="s">
        <v>5594</v>
      </c>
      <c r="D639" s="240" t="s">
        <v>5533</v>
      </c>
      <c r="E639" s="231" t="s">
        <v>1663</v>
      </c>
      <c r="F639" s="231" t="s">
        <v>407</v>
      </c>
      <c r="G639" s="223">
        <v>1490</v>
      </c>
      <c r="H639" s="341">
        <v>4</v>
      </c>
      <c r="I639" s="219"/>
    </row>
    <row r="640" spans="1:9" s="230" customFormat="1">
      <c r="A640" s="542">
        <f t="shared" si="10"/>
        <v>632</v>
      </c>
      <c r="B640" s="220" t="s">
        <v>5681</v>
      </c>
      <c r="C640" s="221" t="s">
        <v>5594</v>
      </c>
      <c r="D640" s="240" t="s">
        <v>5533</v>
      </c>
      <c r="E640" s="231" t="s">
        <v>1663</v>
      </c>
      <c r="F640" s="231" t="s">
        <v>5682</v>
      </c>
      <c r="G640" s="223">
        <v>1750</v>
      </c>
      <c r="H640" s="341">
        <v>3</v>
      </c>
      <c r="I640" s="219"/>
    </row>
    <row r="641" spans="1:9" s="230" customFormat="1">
      <c r="A641" s="542">
        <f t="shared" si="10"/>
        <v>633</v>
      </c>
      <c r="B641" s="242" t="s">
        <v>5683</v>
      </c>
      <c r="C641" s="221" t="s">
        <v>5673</v>
      </c>
      <c r="D641" s="240" t="s">
        <v>5533</v>
      </c>
      <c r="E641" s="231" t="s">
        <v>1112</v>
      </c>
      <c r="F641" s="221" t="s">
        <v>5672</v>
      </c>
      <c r="G641" s="223">
        <v>4500</v>
      </c>
      <c r="H641" s="341">
        <v>6</v>
      </c>
      <c r="I641" s="219"/>
    </row>
    <row r="642" spans="1:9" s="230" customFormat="1">
      <c r="A642" s="542">
        <f t="shared" si="10"/>
        <v>634</v>
      </c>
      <c r="B642" s="317" t="s">
        <v>5684</v>
      </c>
      <c r="C642" s="221" t="s">
        <v>5603</v>
      </c>
      <c r="D642" s="240" t="s">
        <v>5533</v>
      </c>
      <c r="E642" s="231" t="s">
        <v>1706</v>
      </c>
      <c r="F642" s="221" t="s">
        <v>5672</v>
      </c>
      <c r="G642" s="320">
        <v>1070</v>
      </c>
      <c r="H642" s="341">
        <v>4</v>
      </c>
      <c r="I642" s="219"/>
    </row>
    <row r="643" spans="1:9" s="230" customFormat="1">
      <c r="A643" s="542">
        <f t="shared" si="10"/>
        <v>635</v>
      </c>
      <c r="B643" s="242" t="s">
        <v>5685</v>
      </c>
      <c r="C643" s="221" t="s">
        <v>5592</v>
      </c>
      <c r="D643" s="240" t="s">
        <v>5533</v>
      </c>
      <c r="E643" s="231" t="s">
        <v>1666</v>
      </c>
      <c r="F643" s="231" t="s">
        <v>407</v>
      </c>
      <c r="G643" s="223">
        <v>10000</v>
      </c>
      <c r="H643" s="341">
        <v>6</v>
      </c>
      <c r="I643" s="219"/>
    </row>
    <row r="644" spans="1:9" s="230" customFormat="1">
      <c r="A644" s="542">
        <f t="shared" si="10"/>
        <v>636</v>
      </c>
      <c r="B644" s="242" t="s">
        <v>5686</v>
      </c>
      <c r="C644" s="221" t="s">
        <v>5603</v>
      </c>
      <c r="D644" s="240" t="s">
        <v>5533</v>
      </c>
      <c r="E644" s="231" t="s">
        <v>1666</v>
      </c>
      <c r="F644" s="231" t="s">
        <v>407</v>
      </c>
      <c r="G644" s="223">
        <v>1500</v>
      </c>
      <c r="H644" s="341" t="s">
        <v>8276</v>
      </c>
      <c r="I644" s="219"/>
    </row>
    <row r="645" spans="1:9" s="230" customFormat="1">
      <c r="A645" s="542">
        <f t="shared" si="10"/>
        <v>637</v>
      </c>
      <c r="B645" s="242" t="s">
        <v>5687</v>
      </c>
      <c r="C645" s="221" t="s">
        <v>5603</v>
      </c>
      <c r="D645" s="240" t="s">
        <v>5533</v>
      </c>
      <c r="E645" s="231" t="s">
        <v>5688</v>
      </c>
      <c r="F645" s="231" t="s">
        <v>407</v>
      </c>
      <c r="G645" s="223">
        <v>219</v>
      </c>
      <c r="H645" s="341">
        <v>1</v>
      </c>
      <c r="I645" s="219"/>
    </row>
    <row r="646" spans="1:9" s="230" customFormat="1">
      <c r="A646" s="542">
        <f t="shared" si="10"/>
        <v>638</v>
      </c>
      <c r="B646" s="242" t="s">
        <v>5689</v>
      </c>
      <c r="C646" s="221" t="s">
        <v>5603</v>
      </c>
      <c r="D646" s="240" t="s">
        <v>5533</v>
      </c>
      <c r="E646" s="231" t="s">
        <v>1666</v>
      </c>
      <c r="F646" s="231" t="s">
        <v>407</v>
      </c>
      <c r="G646" s="223">
        <v>4000</v>
      </c>
      <c r="H646" s="341" t="s">
        <v>8277</v>
      </c>
      <c r="I646" s="219"/>
    </row>
    <row r="647" spans="1:9" s="230" customFormat="1">
      <c r="A647" s="542">
        <f t="shared" si="10"/>
        <v>639</v>
      </c>
      <c r="B647" s="242" t="s">
        <v>5690</v>
      </c>
      <c r="C647" s="221" t="s">
        <v>5592</v>
      </c>
      <c r="D647" s="240" t="s">
        <v>5533</v>
      </c>
      <c r="E647" s="231" t="s">
        <v>1666</v>
      </c>
      <c r="F647" s="231" t="s">
        <v>407</v>
      </c>
      <c r="G647" s="223">
        <v>3000</v>
      </c>
      <c r="H647" s="341" t="s">
        <v>8277</v>
      </c>
      <c r="I647" s="219"/>
    </row>
    <row r="648" spans="1:9" s="230" customFormat="1">
      <c r="A648" s="542">
        <f t="shared" si="10"/>
        <v>640</v>
      </c>
      <c r="B648" s="242" t="s">
        <v>5691</v>
      </c>
      <c r="C648" s="221" t="s">
        <v>5592</v>
      </c>
      <c r="D648" s="240" t="s">
        <v>5533</v>
      </c>
      <c r="E648" s="231" t="s">
        <v>1666</v>
      </c>
      <c r="F648" s="231" t="s">
        <v>407</v>
      </c>
      <c r="G648" s="223">
        <v>2400</v>
      </c>
      <c r="H648" s="341" t="s">
        <v>8278</v>
      </c>
      <c r="I648" s="219"/>
    </row>
    <row r="649" spans="1:9" s="230" customFormat="1">
      <c r="A649" s="542">
        <f t="shared" ref="A649:A712" si="11">A648+1</f>
        <v>641</v>
      </c>
      <c r="B649" s="242" t="s">
        <v>5692</v>
      </c>
      <c r="C649" s="221" t="s">
        <v>5592</v>
      </c>
      <c r="D649" s="240" t="s">
        <v>5533</v>
      </c>
      <c r="E649" s="231" t="s">
        <v>1666</v>
      </c>
      <c r="F649" s="231" t="s">
        <v>407</v>
      </c>
      <c r="G649" s="223">
        <v>6000</v>
      </c>
      <c r="H649" s="341">
        <v>4</v>
      </c>
      <c r="I649" s="219"/>
    </row>
    <row r="650" spans="1:9" s="230" customFormat="1">
      <c r="A650" s="542">
        <f t="shared" si="11"/>
        <v>642</v>
      </c>
      <c r="B650" s="317" t="s">
        <v>5693</v>
      </c>
      <c r="C650" s="221" t="s">
        <v>5592</v>
      </c>
      <c r="D650" s="240" t="s">
        <v>5533</v>
      </c>
      <c r="E650" s="231" t="s">
        <v>1717</v>
      </c>
      <c r="F650" s="221" t="s">
        <v>5672</v>
      </c>
      <c r="G650" s="320">
        <v>1421</v>
      </c>
      <c r="H650" s="341" t="s">
        <v>8277</v>
      </c>
      <c r="I650" s="219"/>
    </row>
    <row r="651" spans="1:9" s="230" customFormat="1">
      <c r="A651" s="542">
        <f t="shared" si="11"/>
        <v>643</v>
      </c>
      <c r="B651" s="317" t="s">
        <v>5694</v>
      </c>
      <c r="C651" s="221" t="s">
        <v>5592</v>
      </c>
      <c r="D651" s="240" t="s">
        <v>5533</v>
      </c>
      <c r="E651" s="231" t="s">
        <v>1910</v>
      </c>
      <c r="F651" s="221" t="s">
        <v>5672</v>
      </c>
      <c r="G651" s="320">
        <v>600</v>
      </c>
      <c r="H651" s="341" t="s">
        <v>8275</v>
      </c>
      <c r="I651" s="219"/>
    </row>
    <row r="652" spans="1:9" s="230" customFormat="1">
      <c r="A652" s="542">
        <f t="shared" si="11"/>
        <v>644</v>
      </c>
      <c r="B652" s="317" t="s">
        <v>5695</v>
      </c>
      <c r="C652" s="221" t="s">
        <v>5592</v>
      </c>
      <c r="D652" s="240" t="s">
        <v>5533</v>
      </c>
      <c r="E652" s="231" t="s">
        <v>1911</v>
      </c>
      <c r="F652" s="221" t="s">
        <v>5672</v>
      </c>
      <c r="G652" s="320">
        <v>600</v>
      </c>
      <c r="H652" s="341" t="s">
        <v>8275</v>
      </c>
      <c r="I652" s="219"/>
    </row>
    <row r="653" spans="1:9" s="230" customFormat="1">
      <c r="A653" s="542">
        <f t="shared" si="11"/>
        <v>645</v>
      </c>
      <c r="B653" s="317" t="s">
        <v>5696</v>
      </c>
      <c r="C653" s="221" t="s">
        <v>5592</v>
      </c>
      <c r="D653" s="240" t="s">
        <v>5533</v>
      </c>
      <c r="E653" s="231" t="s">
        <v>1912</v>
      </c>
      <c r="F653" s="221" t="s">
        <v>5672</v>
      </c>
      <c r="G653" s="320">
        <v>1000</v>
      </c>
      <c r="H653" s="341" t="s">
        <v>8275</v>
      </c>
      <c r="I653" s="219"/>
    </row>
    <row r="654" spans="1:9" s="230" customFormat="1">
      <c r="A654" s="542">
        <f t="shared" si="11"/>
        <v>646</v>
      </c>
      <c r="B654" s="317" t="s">
        <v>5697</v>
      </c>
      <c r="C654" s="221" t="s">
        <v>5592</v>
      </c>
      <c r="D654" s="240" t="s">
        <v>5533</v>
      </c>
      <c r="E654" s="231" t="s">
        <v>1702</v>
      </c>
      <c r="F654" s="221" t="s">
        <v>5672</v>
      </c>
      <c r="G654" s="320">
        <v>360</v>
      </c>
      <c r="H654" s="341">
        <v>1.5</v>
      </c>
      <c r="I654" s="219"/>
    </row>
    <row r="655" spans="1:9" s="230" customFormat="1">
      <c r="A655" s="542">
        <f t="shared" si="11"/>
        <v>647</v>
      </c>
      <c r="B655" s="242" t="s">
        <v>5698</v>
      </c>
      <c r="C655" s="221" t="s">
        <v>5594</v>
      </c>
      <c r="D655" s="240" t="s">
        <v>5533</v>
      </c>
      <c r="E655" s="231" t="s">
        <v>1702</v>
      </c>
      <c r="F655" s="221" t="s">
        <v>5672</v>
      </c>
      <c r="G655" s="223">
        <v>2200</v>
      </c>
      <c r="H655" s="341" t="s">
        <v>8279</v>
      </c>
      <c r="I655" s="219"/>
    </row>
    <row r="656" spans="1:9" s="230" customFormat="1">
      <c r="A656" s="542">
        <f t="shared" si="11"/>
        <v>648</v>
      </c>
      <c r="B656" s="242" t="s">
        <v>5699</v>
      </c>
      <c r="C656" s="221" t="s">
        <v>5594</v>
      </c>
      <c r="D656" s="240" t="s">
        <v>5533</v>
      </c>
      <c r="E656" s="231" t="s">
        <v>1702</v>
      </c>
      <c r="F656" s="221" t="s">
        <v>5672</v>
      </c>
      <c r="G656" s="223">
        <v>1000</v>
      </c>
      <c r="H656" s="341" t="s">
        <v>8279</v>
      </c>
      <c r="I656" s="219"/>
    </row>
    <row r="657" spans="1:9" s="230" customFormat="1">
      <c r="A657" s="542">
        <f t="shared" si="11"/>
        <v>649</v>
      </c>
      <c r="B657" s="317" t="s">
        <v>5700</v>
      </c>
      <c r="C657" s="221" t="s">
        <v>5592</v>
      </c>
      <c r="D657" s="240" t="s">
        <v>5533</v>
      </c>
      <c r="E657" s="231" t="s">
        <v>1863</v>
      </c>
      <c r="F657" s="221" t="s">
        <v>5672</v>
      </c>
      <c r="G657" s="320">
        <v>1000</v>
      </c>
      <c r="H657" s="341">
        <v>1.2</v>
      </c>
      <c r="I657" s="219"/>
    </row>
    <row r="658" spans="1:9" s="230" customFormat="1">
      <c r="A658" s="542">
        <f t="shared" si="11"/>
        <v>650</v>
      </c>
      <c r="B658" s="242" t="s">
        <v>5701</v>
      </c>
      <c r="C658" s="221" t="s">
        <v>5594</v>
      </c>
      <c r="D658" s="240" t="s">
        <v>5533</v>
      </c>
      <c r="E658" s="231" t="s">
        <v>1702</v>
      </c>
      <c r="F658" s="221" t="s">
        <v>5674</v>
      </c>
      <c r="G658" s="223">
        <v>720</v>
      </c>
      <c r="H658" s="341" t="s">
        <v>8280</v>
      </c>
      <c r="I658" s="219"/>
    </row>
    <row r="659" spans="1:9" s="230" customFormat="1">
      <c r="A659" s="542">
        <f t="shared" si="11"/>
        <v>651</v>
      </c>
      <c r="B659" s="242" t="s">
        <v>5702</v>
      </c>
      <c r="C659" s="221" t="s">
        <v>5594</v>
      </c>
      <c r="D659" s="240" t="s">
        <v>5533</v>
      </c>
      <c r="E659" s="231" t="s">
        <v>1702</v>
      </c>
      <c r="F659" s="221" t="s">
        <v>5674</v>
      </c>
      <c r="G659" s="223">
        <v>800</v>
      </c>
      <c r="H659" s="341" t="s">
        <v>8280</v>
      </c>
      <c r="I659" s="219"/>
    </row>
    <row r="660" spans="1:9" s="230" customFormat="1">
      <c r="A660" s="542">
        <f t="shared" si="11"/>
        <v>652</v>
      </c>
      <c r="B660" s="242" t="s">
        <v>5703</v>
      </c>
      <c r="C660" s="221" t="s">
        <v>5594</v>
      </c>
      <c r="D660" s="240" t="s">
        <v>5533</v>
      </c>
      <c r="E660" s="231" t="s">
        <v>1702</v>
      </c>
      <c r="F660" s="221" t="s">
        <v>5674</v>
      </c>
      <c r="G660" s="223">
        <v>1200</v>
      </c>
      <c r="H660" s="341">
        <v>0.6</v>
      </c>
      <c r="I660" s="219"/>
    </row>
    <row r="661" spans="1:9" s="230" customFormat="1">
      <c r="A661" s="542">
        <f t="shared" si="11"/>
        <v>653</v>
      </c>
      <c r="B661" s="242" t="s">
        <v>5704</v>
      </c>
      <c r="C661" s="221" t="s">
        <v>5594</v>
      </c>
      <c r="D661" s="240" t="s">
        <v>5533</v>
      </c>
      <c r="E661" s="231" t="s">
        <v>1676</v>
      </c>
      <c r="F661" s="221" t="s">
        <v>5674</v>
      </c>
      <c r="G661" s="223">
        <v>2000</v>
      </c>
      <c r="H661" s="341" t="s">
        <v>8281</v>
      </c>
      <c r="I661" s="219"/>
    </row>
    <row r="662" spans="1:9" s="230" customFormat="1">
      <c r="A662" s="542">
        <f t="shared" si="11"/>
        <v>654</v>
      </c>
      <c r="B662" s="319" t="s">
        <v>5705</v>
      </c>
      <c r="C662" s="221" t="s">
        <v>5594</v>
      </c>
      <c r="D662" s="240" t="s">
        <v>5533</v>
      </c>
      <c r="E662" s="231" t="s">
        <v>1676</v>
      </c>
      <c r="F662" s="219" t="s">
        <v>2174</v>
      </c>
      <c r="G662" s="223">
        <v>1200</v>
      </c>
      <c r="H662" s="341" t="s">
        <v>8282</v>
      </c>
      <c r="I662" s="219"/>
    </row>
    <row r="663" spans="1:9" s="230" customFormat="1">
      <c r="A663" s="542">
        <f t="shared" si="11"/>
        <v>655</v>
      </c>
      <c r="B663" s="222" t="s">
        <v>5706</v>
      </c>
      <c r="C663" s="221" t="s">
        <v>5592</v>
      </c>
      <c r="D663" s="240" t="s">
        <v>5533</v>
      </c>
      <c r="E663" s="231" t="s">
        <v>1676</v>
      </c>
      <c r="F663" s="221" t="s">
        <v>5674</v>
      </c>
      <c r="G663" s="321">
        <v>800</v>
      </c>
      <c r="H663" s="343">
        <v>1.5</v>
      </c>
      <c r="I663" s="219"/>
    </row>
    <row r="664" spans="1:9" s="230" customFormat="1">
      <c r="A664" s="542">
        <f t="shared" si="11"/>
        <v>656</v>
      </c>
      <c r="B664" s="319" t="s">
        <v>5707</v>
      </c>
      <c r="C664" s="221" t="s">
        <v>5592</v>
      </c>
      <c r="D664" s="240" t="s">
        <v>5533</v>
      </c>
      <c r="E664" s="231" t="s">
        <v>1676</v>
      </c>
      <c r="F664" s="221" t="s">
        <v>5672</v>
      </c>
      <c r="G664" s="223">
        <v>893</v>
      </c>
      <c r="H664" s="341">
        <v>5</v>
      </c>
      <c r="I664" s="219"/>
    </row>
    <row r="665" spans="1:9" s="230" customFormat="1">
      <c r="A665" s="542">
        <f t="shared" si="11"/>
        <v>657</v>
      </c>
      <c r="B665" s="319" t="s">
        <v>5708</v>
      </c>
      <c r="C665" s="221" t="s">
        <v>5592</v>
      </c>
      <c r="D665" s="240" t="s">
        <v>5533</v>
      </c>
      <c r="E665" s="231" t="s">
        <v>1676</v>
      </c>
      <c r="F665" s="221" t="s">
        <v>5672</v>
      </c>
      <c r="G665" s="223">
        <v>1954</v>
      </c>
      <c r="H665" s="341" t="s">
        <v>8283</v>
      </c>
      <c r="I665" s="219"/>
    </row>
    <row r="666" spans="1:9" s="230" customFormat="1">
      <c r="A666" s="542">
        <f t="shared" si="11"/>
        <v>658</v>
      </c>
      <c r="B666" s="222" t="s">
        <v>5709</v>
      </c>
      <c r="C666" s="221" t="s">
        <v>5710</v>
      </c>
      <c r="D666" s="240" t="s">
        <v>5533</v>
      </c>
      <c r="E666" s="231" t="s">
        <v>1676</v>
      </c>
      <c r="F666" s="221" t="s">
        <v>5672</v>
      </c>
      <c r="G666" s="322">
        <v>1000</v>
      </c>
      <c r="H666" s="343">
        <v>3</v>
      </c>
      <c r="I666" s="219"/>
    </row>
    <row r="667" spans="1:9" s="230" customFormat="1">
      <c r="A667" s="542">
        <f t="shared" si="11"/>
        <v>659</v>
      </c>
      <c r="B667" s="317" t="s">
        <v>5711</v>
      </c>
      <c r="C667" s="221" t="s">
        <v>641</v>
      </c>
      <c r="D667" s="240" t="s">
        <v>5533</v>
      </c>
      <c r="E667" s="231" t="s">
        <v>1676</v>
      </c>
      <c r="F667" s="231" t="s">
        <v>1692</v>
      </c>
      <c r="G667" s="223">
        <v>2486</v>
      </c>
      <c r="H667" s="341" t="s">
        <v>8284</v>
      </c>
      <c r="I667" s="219"/>
    </row>
    <row r="668" spans="1:9" s="230" customFormat="1">
      <c r="A668" s="542">
        <f t="shared" si="11"/>
        <v>660</v>
      </c>
      <c r="B668" s="242" t="s">
        <v>5712</v>
      </c>
      <c r="C668" s="221" t="s">
        <v>641</v>
      </c>
      <c r="D668" s="240" t="s">
        <v>5533</v>
      </c>
      <c r="E668" s="231" t="s">
        <v>1676</v>
      </c>
      <c r="F668" s="231" t="s">
        <v>643</v>
      </c>
      <c r="G668" s="223">
        <v>3271</v>
      </c>
      <c r="H668" s="341">
        <v>2.5</v>
      </c>
      <c r="I668" s="219"/>
    </row>
    <row r="669" spans="1:9" s="230" customFormat="1">
      <c r="A669" s="542">
        <f t="shared" si="11"/>
        <v>661</v>
      </c>
      <c r="B669" s="242" t="s">
        <v>5713</v>
      </c>
      <c r="C669" s="221" t="s">
        <v>641</v>
      </c>
      <c r="D669" s="240" t="s">
        <v>5533</v>
      </c>
      <c r="E669" s="231" t="s">
        <v>1676</v>
      </c>
      <c r="F669" s="231" t="s">
        <v>407</v>
      </c>
      <c r="G669" s="223">
        <v>1846</v>
      </c>
      <c r="H669" s="341">
        <v>2.2000000000000002</v>
      </c>
      <c r="I669" s="219"/>
    </row>
    <row r="670" spans="1:9" s="230" customFormat="1">
      <c r="A670" s="542">
        <f t="shared" si="11"/>
        <v>662</v>
      </c>
      <c r="B670" s="319" t="s">
        <v>5714</v>
      </c>
      <c r="C670" s="221" t="s">
        <v>641</v>
      </c>
      <c r="D670" s="240" t="s">
        <v>5533</v>
      </c>
      <c r="E670" s="231" t="s">
        <v>1676</v>
      </c>
      <c r="F670" s="231" t="s">
        <v>407</v>
      </c>
      <c r="G670" s="223">
        <v>3126</v>
      </c>
      <c r="H670" s="341">
        <v>4</v>
      </c>
      <c r="I670" s="219"/>
    </row>
    <row r="671" spans="1:9" s="230" customFormat="1">
      <c r="A671" s="542">
        <f t="shared" si="11"/>
        <v>663</v>
      </c>
      <c r="B671" s="319" t="s">
        <v>5715</v>
      </c>
      <c r="C671" s="221" t="s">
        <v>641</v>
      </c>
      <c r="D671" s="240" t="s">
        <v>5533</v>
      </c>
      <c r="E671" s="231" t="s">
        <v>1676</v>
      </c>
      <c r="F671" s="231" t="s">
        <v>407</v>
      </c>
      <c r="G671" s="223">
        <v>2667</v>
      </c>
      <c r="H671" s="341" t="s">
        <v>8285</v>
      </c>
      <c r="I671" s="219"/>
    </row>
    <row r="672" spans="1:9" s="230" customFormat="1">
      <c r="A672" s="542">
        <f t="shared" si="11"/>
        <v>664</v>
      </c>
      <c r="B672" s="242" t="s">
        <v>5716</v>
      </c>
      <c r="C672" s="221" t="s">
        <v>5594</v>
      </c>
      <c r="D672" s="240" t="s">
        <v>5533</v>
      </c>
      <c r="E672" s="231" t="s">
        <v>1678</v>
      </c>
      <c r="F672" s="252" t="s">
        <v>2185</v>
      </c>
      <c r="G672" s="223">
        <v>1500</v>
      </c>
      <c r="H672" s="341" t="s">
        <v>8286</v>
      </c>
      <c r="I672" s="219"/>
    </row>
    <row r="673" spans="1:9" s="230" customFormat="1">
      <c r="A673" s="542">
        <f t="shared" si="11"/>
        <v>665</v>
      </c>
      <c r="B673" s="242" t="s">
        <v>5717</v>
      </c>
      <c r="C673" s="221" t="s">
        <v>5594</v>
      </c>
      <c r="D673" s="240" t="s">
        <v>5533</v>
      </c>
      <c r="E673" s="231" t="s">
        <v>1767</v>
      </c>
      <c r="F673" s="252" t="s">
        <v>5718</v>
      </c>
      <c r="G673" s="223">
        <v>1400</v>
      </c>
      <c r="H673" s="341" t="s">
        <v>8287</v>
      </c>
      <c r="I673" s="219"/>
    </row>
    <row r="674" spans="1:9" s="230" customFormat="1">
      <c r="A674" s="542">
        <f t="shared" si="11"/>
        <v>666</v>
      </c>
      <c r="B674" s="242" t="s">
        <v>5719</v>
      </c>
      <c r="C674" s="221" t="s">
        <v>5594</v>
      </c>
      <c r="D674" s="240" t="s">
        <v>5533</v>
      </c>
      <c r="E674" s="231" t="s">
        <v>1112</v>
      </c>
      <c r="F674" s="252" t="s">
        <v>5720</v>
      </c>
      <c r="G674" s="223">
        <v>1500</v>
      </c>
      <c r="H674" s="341" t="s">
        <v>8288</v>
      </c>
      <c r="I674" s="219"/>
    </row>
    <row r="675" spans="1:9" s="230" customFormat="1">
      <c r="A675" s="542">
        <f t="shared" si="11"/>
        <v>667</v>
      </c>
      <c r="B675" s="242" t="s">
        <v>5721</v>
      </c>
      <c r="C675" s="221" t="s">
        <v>5594</v>
      </c>
      <c r="D675" s="240" t="s">
        <v>5533</v>
      </c>
      <c r="E675" s="231" t="s">
        <v>1681</v>
      </c>
      <c r="F675" s="252" t="s">
        <v>5720</v>
      </c>
      <c r="G675" s="223">
        <v>3500</v>
      </c>
      <c r="H675" s="341">
        <v>1.2</v>
      </c>
      <c r="I675" s="219"/>
    </row>
    <row r="676" spans="1:9" s="230" customFormat="1">
      <c r="A676" s="542">
        <f t="shared" si="11"/>
        <v>668</v>
      </c>
      <c r="B676" s="242" t="s">
        <v>5722</v>
      </c>
      <c r="C676" s="221" t="s">
        <v>5594</v>
      </c>
      <c r="D676" s="240" t="s">
        <v>5533</v>
      </c>
      <c r="E676" s="231" t="s">
        <v>1112</v>
      </c>
      <c r="F676" s="252" t="s">
        <v>5723</v>
      </c>
      <c r="G676" s="223">
        <v>600</v>
      </c>
      <c r="H676" s="341" t="s">
        <v>8289</v>
      </c>
      <c r="I676" s="219"/>
    </row>
    <row r="677" spans="1:9" s="230" customFormat="1">
      <c r="A677" s="542">
        <f t="shared" si="11"/>
        <v>669</v>
      </c>
      <c r="B677" s="323" t="s">
        <v>2189</v>
      </c>
      <c r="C677" s="221" t="s">
        <v>5594</v>
      </c>
      <c r="D677" s="240" t="s">
        <v>5533</v>
      </c>
      <c r="E677" s="231" t="s">
        <v>1111</v>
      </c>
      <c r="F677" s="231" t="s">
        <v>407</v>
      </c>
      <c r="G677" s="324">
        <v>6510</v>
      </c>
      <c r="H677" s="344">
        <v>4</v>
      </c>
      <c r="I677" s="219"/>
    </row>
    <row r="678" spans="1:9" s="230" customFormat="1">
      <c r="A678" s="542">
        <f t="shared" si="11"/>
        <v>670</v>
      </c>
      <c r="B678" s="242" t="s">
        <v>5724</v>
      </c>
      <c r="C678" s="221" t="s">
        <v>5594</v>
      </c>
      <c r="D678" s="240" t="s">
        <v>5533</v>
      </c>
      <c r="E678" s="231" t="s">
        <v>1683</v>
      </c>
      <c r="F678" s="231" t="s">
        <v>407</v>
      </c>
      <c r="G678" s="223">
        <v>2500</v>
      </c>
      <c r="H678" s="341">
        <v>2</v>
      </c>
      <c r="I678" s="219"/>
    </row>
    <row r="679" spans="1:9" s="230" customFormat="1">
      <c r="A679" s="542">
        <f t="shared" si="11"/>
        <v>671</v>
      </c>
      <c r="B679" s="319" t="s">
        <v>5725</v>
      </c>
      <c r="C679" s="221" t="s">
        <v>5594</v>
      </c>
      <c r="D679" s="240" t="s">
        <v>5533</v>
      </c>
      <c r="E679" s="231" t="s">
        <v>2193</v>
      </c>
      <c r="F679" s="231" t="s">
        <v>407</v>
      </c>
      <c r="G679" s="223">
        <v>2500</v>
      </c>
      <c r="H679" s="341" t="s">
        <v>8290</v>
      </c>
      <c r="I679" s="219"/>
    </row>
    <row r="680" spans="1:9" s="230" customFormat="1">
      <c r="A680" s="542">
        <f t="shared" si="11"/>
        <v>672</v>
      </c>
      <c r="B680" s="242" t="s">
        <v>5726</v>
      </c>
      <c r="C680" s="221" t="s">
        <v>5727</v>
      </c>
      <c r="D680" s="240" t="s">
        <v>5533</v>
      </c>
      <c r="E680" s="231" t="s">
        <v>1112</v>
      </c>
      <c r="F680" s="231" t="s">
        <v>407</v>
      </c>
      <c r="G680" s="223">
        <v>3000</v>
      </c>
      <c r="H680" s="341">
        <v>4</v>
      </c>
      <c r="I680" s="219"/>
    </row>
    <row r="681" spans="1:9" s="230" customFormat="1">
      <c r="A681" s="542">
        <f t="shared" si="11"/>
        <v>673</v>
      </c>
      <c r="B681" s="242" t="s">
        <v>5728</v>
      </c>
      <c r="C681" s="221" t="s">
        <v>5592</v>
      </c>
      <c r="D681" s="240" t="s">
        <v>5533</v>
      </c>
      <c r="E681" s="231" t="s">
        <v>1685</v>
      </c>
      <c r="F681" s="240" t="s">
        <v>5729</v>
      </c>
      <c r="G681" s="246">
        <v>2604</v>
      </c>
      <c r="H681" s="341" t="s">
        <v>8291</v>
      </c>
      <c r="I681" s="219"/>
    </row>
    <row r="682" spans="1:9" s="230" customFormat="1">
      <c r="A682" s="542">
        <f t="shared" si="11"/>
        <v>674</v>
      </c>
      <c r="B682" s="242" t="s">
        <v>5730</v>
      </c>
      <c r="C682" s="221" t="s">
        <v>5594</v>
      </c>
      <c r="D682" s="240" t="s">
        <v>5533</v>
      </c>
      <c r="E682" s="231" t="s">
        <v>1112</v>
      </c>
      <c r="F682" s="240" t="s">
        <v>5731</v>
      </c>
      <c r="G682" s="223">
        <v>1000</v>
      </c>
      <c r="H682" s="341">
        <v>3</v>
      </c>
      <c r="I682" s="219"/>
    </row>
    <row r="683" spans="1:9" s="230" customFormat="1">
      <c r="A683" s="542">
        <f t="shared" si="11"/>
        <v>675</v>
      </c>
      <c r="B683" s="242" t="s">
        <v>5732</v>
      </c>
      <c r="C683" s="221" t="s">
        <v>5594</v>
      </c>
      <c r="D683" s="240" t="s">
        <v>5533</v>
      </c>
      <c r="E683" s="231" t="s">
        <v>1112</v>
      </c>
      <c r="F683" s="240" t="s">
        <v>5731</v>
      </c>
      <c r="G683" s="223">
        <v>900</v>
      </c>
      <c r="H683" s="341">
        <v>2</v>
      </c>
      <c r="I683" s="219"/>
    </row>
    <row r="684" spans="1:9" s="230" customFormat="1">
      <c r="A684" s="542">
        <f t="shared" si="11"/>
        <v>676</v>
      </c>
      <c r="B684" s="319" t="s">
        <v>5733</v>
      </c>
      <c r="C684" s="221" t="s">
        <v>5594</v>
      </c>
      <c r="D684" s="240" t="s">
        <v>5533</v>
      </c>
      <c r="E684" s="231" t="s">
        <v>1112</v>
      </c>
      <c r="F684" s="240" t="s">
        <v>5734</v>
      </c>
      <c r="G684" s="223">
        <v>900</v>
      </c>
      <c r="H684" s="341" t="s">
        <v>8292</v>
      </c>
      <c r="I684" s="219"/>
    </row>
    <row r="685" spans="1:9" s="230" customFormat="1">
      <c r="A685" s="542">
        <f t="shared" si="11"/>
        <v>677</v>
      </c>
      <c r="B685" s="224" t="s">
        <v>2415</v>
      </c>
      <c r="C685" s="221" t="s">
        <v>5598</v>
      </c>
      <c r="D685" s="240" t="s">
        <v>5533</v>
      </c>
      <c r="E685" s="231" t="s">
        <v>5735</v>
      </c>
      <c r="F685" s="231" t="s">
        <v>5736</v>
      </c>
      <c r="G685" s="223">
        <v>1500</v>
      </c>
      <c r="H685" s="341">
        <v>10</v>
      </c>
      <c r="I685" s="219"/>
    </row>
    <row r="686" spans="1:9" s="230" customFormat="1">
      <c r="A686" s="542">
        <f t="shared" si="11"/>
        <v>678</v>
      </c>
      <c r="B686" s="224" t="s">
        <v>5737</v>
      </c>
      <c r="C686" s="221" t="s">
        <v>5598</v>
      </c>
      <c r="D686" s="240" t="s">
        <v>5533</v>
      </c>
      <c r="E686" s="231" t="s">
        <v>1690</v>
      </c>
      <c r="F686" s="231" t="s">
        <v>1676</v>
      </c>
      <c r="G686" s="223">
        <v>1700</v>
      </c>
      <c r="H686" s="341">
        <v>2</v>
      </c>
      <c r="I686" s="219"/>
    </row>
    <row r="687" spans="1:9" s="230" customFormat="1">
      <c r="A687" s="542">
        <f t="shared" si="11"/>
        <v>679</v>
      </c>
      <c r="B687" s="317" t="s">
        <v>5738</v>
      </c>
      <c r="C687" s="221" t="s">
        <v>5598</v>
      </c>
      <c r="D687" s="240" t="s">
        <v>5533</v>
      </c>
      <c r="E687" s="231" t="s">
        <v>1690</v>
      </c>
      <c r="F687" s="252" t="s">
        <v>5739</v>
      </c>
      <c r="G687" s="223">
        <v>1400</v>
      </c>
      <c r="H687" s="341">
        <v>4</v>
      </c>
      <c r="I687" s="219"/>
    </row>
    <row r="688" spans="1:9" s="230" customFormat="1">
      <c r="A688" s="542">
        <f t="shared" si="11"/>
        <v>680</v>
      </c>
      <c r="B688" s="319" t="s">
        <v>5740</v>
      </c>
      <c r="C688" s="221" t="s">
        <v>5598</v>
      </c>
      <c r="D688" s="240" t="s">
        <v>5533</v>
      </c>
      <c r="E688" s="231" t="s">
        <v>1690</v>
      </c>
      <c r="F688" s="231" t="s">
        <v>407</v>
      </c>
      <c r="G688" s="223">
        <v>850</v>
      </c>
      <c r="H688" s="341">
        <v>1.2</v>
      </c>
      <c r="I688" s="219"/>
    </row>
    <row r="689" spans="1:9" s="230" customFormat="1">
      <c r="A689" s="542">
        <f t="shared" si="11"/>
        <v>681</v>
      </c>
      <c r="B689" s="319" t="s">
        <v>5741</v>
      </c>
      <c r="C689" s="221" t="s">
        <v>5598</v>
      </c>
      <c r="D689" s="240" t="s">
        <v>5533</v>
      </c>
      <c r="E689" s="231" t="s">
        <v>1831</v>
      </c>
      <c r="F689" s="231" t="s">
        <v>407</v>
      </c>
      <c r="G689" s="223">
        <v>2500</v>
      </c>
      <c r="H689" s="341">
        <v>2</v>
      </c>
      <c r="I689" s="219"/>
    </row>
    <row r="690" spans="1:9" s="230" customFormat="1">
      <c r="A690" s="542">
        <f t="shared" si="11"/>
        <v>682</v>
      </c>
      <c r="B690" s="242" t="s">
        <v>2202</v>
      </c>
      <c r="C690" s="221" t="s">
        <v>5609</v>
      </c>
      <c r="D690" s="240" t="s">
        <v>5533</v>
      </c>
      <c r="E690" s="231" t="s">
        <v>1701</v>
      </c>
      <c r="F690" s="231" t="s">
        <v>2203</v>
      </c>
      <c r="G690" s="223">
        <v>700</v>
      </c>
      <c r="H690" s="341">
        <v>6</v>
      </c>
      <c r="I690" s="219"/>
    </row>
    <row r="691" spans="1:9" s="230" customFormat="1">
      <c r="A691" s="542">
        <f t="shared" si="11"/>
        <v>683</v>
      </c>
      <c r="B691" s="319" t="s">
        <v>2207</v>
      </c>
      <c r="C691" s="221" t="s">
        <v>5598</v>
      </c>
      <c r="D691" s="240" t="s">
        <v>5533</v>
      </c>
      <c r="E691" s="231" t="s">
        <v>1692</v>
      </c>
      <c r="F691" s="231" t="s">
        <v>407</v>
      </c>
      <c r="G691" s="223">
        <v>1200</v>
      </c>
      <c r="H691" s="341" t="s">
        <v>8293</v>
      </c>
      <c r="I691" s="219"/>
    </row>
    <row r="692" spans="1:9" s="230" customFormat="1">
      <c r="A692" s="542">
        <f t="shared" si="11"/>
        <v>684</v>
      </c>
      <c r="B692" s="319" t="s">
        <v>2208</v>
      </c>
      <c r="C692" s="221" t="s">
        <v>5594</v>
      </c>
      <c r="D692" s="240" t="s">
        <v>5533</v>
      </c>
      <c r="E692" s="231" t="s">
        <v>2209</v>
      </c>
      <c r="F692" s="231" t="s">
        <v>407</v>
      </c>
      <c r="G692" s="223">
        <v>1500</v>
      </c>
      <c r="H692" s="341" t="s">
        <v>8294</v>
      </c>
      <c r="I692" s="219"/>
    </row>
    <row r="693" spans="1:9" s="230" customFormat="1">
      <c r="A693" s="542">
        <f t="shared" si="11"/>
        <v>685</v>
      </c>
      <c r="B693" s="319" t="s">
        <v>2210</v>
      </c>
      <c r="C693" s="221" t="s">
        <v>5598</v>
      </c>
      <c r="D693" s="240" t="s">
        <v>5533</v>
      </c>
      <c r="E693" s="231" t="s">
        <v>2209</v>
      </c>
      <c r="F693" s="231" t="s">
        <v>407</v>
      </c>
      <c r="G693" s="223">
        <v>1800</v>
      </c>
      <c r="H693" s="341">
        <v>3</v>
      </c>
      <c r="I693" s="219"/>
    </row>
    <row r="694" spans="1:9" s="230" customFormat="1">
      <c r="A694" s="542">
        <f t="shared" si="11"/>
        <v>686</v>
      </c>
      <c r="B694" s="319" t="s">
        <v>2211</v>
      </c>
      <c r="C694" s="221" t="s">
        <v>5598</v>
      </c>
      <c r="D694" s="240" t="s">
        <v>5533</v>
      </c>
      <c r="E694" s="231" t="s">
        <v>5742</v>
      </c>
      <c r="F694" s="231" t="s">
        <v>2213</v>
      </c>
      <c r="G694" s="223">
        <v>3000</v>
      </c>
      <c r="H694" s="341">
        <v>1.5</v>
      </c>
      <c r="I694" s="252"/>
    </row>
    <row r="695" spans="1:9" s="230" customFormat="1">
      <c r="A695" s="542">
        <f t="shared" si="11"/>
        <v>687</v>
      </c>
      <c r="B695" s="319" t="s">
        <v>2214</v>
      </c>
      <c r="C695" s="221" t="s">
        <v>5598</v>
      </c>
      <c r="D695" s="240" t="s">
        <v>5533</v>
      </c>
      <c r="E695" s="231" t="s">
        <v>2209</v>
      </c>
      <c r="F695" s="231" t="s">
        <v>407</v>
      </c>
      <c r="G695" s="223">
        <v>4600</v>
      </c>
      <c r="H695" s="341" t="s">
        <v>8295</v>
      </c>
      <c r="I695" s="219"/>
    </row>
    <row r="696" spans="1:9" s="230" customFormat="1">
      <c r="A696" s="542">
        <f t="shared" si="11"/>
        <v>688</v>
      </c>
      <c r="B696" s="319" t="s">
        <v>2215</v>
      </c>
      <c r="C696" s="221" t="s">
        <v>5598</v>
      </c>
      <c r="D696" s="240" t="s">
        <v>5533</v>
      </c>
      <c r="E696" s="231" t="s">
        <v>5743</v>
      </c>
      <c r="F696" s="231" t="s">
        <v>5744</v>
      </c>
      <c r="G696" s="223">
        <v>3000</v>
      </c>
      <c r="H696" s="341" t="s">
        <v>8287</v>
      </c>
      <c r="I696" s="219"/>
    </row>
    <row r="697" spans="1:9" s="230" customFormat="1">
      <c r="A697" s="542">
        <f t="shared" si="11"/>
        <v>689</v>
      </c>
      <c r="B697" s="224" t="s">
        <v>2409</v>
      </c>
      <c r="C697" s="221" t="s">
        <v>5594</v>
      </c>
      <c r="D697" s="240" t="s">
        <v>5533</v>
      </c>
      <c r="E697" s="231" t="s">
        <v>2410</v>
      </c>
      <c r="F697" s="252" t="s">
        <v>5745</v>
      </c>
      <c r="G697" s="223">
        <v>822</v>
      </c>
      <c r="H697" s="341">
        <v>1.2</v>
      </c>
      <c r="I697" s="219"/>
    </row>
    <row r="698" spans="1:9" s="230" customFormat="1" ht="31.5">
      <c r="A698" s="542">
        <f t="shared" si="11"/>
        <v>690</v>
      </c>
      <c r="B698" s="294" t="s">
        <v>5746</v>
      </c>
      <c r="C698" s="221" t="s">
        <v>5594</v>
      </c>
      <c r="D698" s="240" t="s">
        <v>5533</v>
      </c>
      <c r="E698" s="286" t="s">
        <v>5747</v>
      </c>
      <c r="F698" s="252" t="s">
        <v>1797</v>
      </c>
      <c r="G698" s="223">
        <v>810</v>
      </c>
      <c r="H698" s="341" t="s">
        <v>8296</v>
      </c>
      <c r="I698" s="219"/>
    </row>
    <row r="699" spans="1:9" s="230" customFormat="1">
      <c r="A699" s="542">
        <f t="shared" si="11"/>
        <v>691</v>
      </c>
      <c r="B699" s="317" t="s">
        <v>5748</v>
      </c>
      <c r="C699" s="221" t="s">
        <v>5594</v>
      </c>
      <c r="D699" s="240" t="s">
        <v>5533</v>
      </c>
      <c r="E699" s="231" t="s">
        <v>1803</v>
      </c>
      <c r="F699" s="252" t="s">
        <v>1684</v>
      </c>
      <c r="G699" s="223">
        <v>714</v>
      </c>
      <c r="H699" s="341">
        <v>0.8</v>
      </c>
      <c r="I699" s="219"/>
    </row>
    <row r="700" spans="1:9" s="230" customFormat="1">
      <c r="A700" s="542">
        <f t="shared" si="11"/>
        <v>692</v>
      </c>
      <c r="B700" s="317" t="s">
        <v>5749</v>
      </c>
      <c r="C700" s="221" t="s">
        <v>5594</v>
      </c>
      <c r="D700" s="240" t="s">
        <v>5533</v>
      </c>
      <c r="E700" s="231" t="s">
        <v>1683</v>
      </c>
      <c r="F700" s="252" t="s">
        <v>1684</v>
      </c>
      <c r="G700" s="223">
        <v>1020</v>
      </c>
      <c r="H700" s="341" t="s">
        <v>8290</v>
      </c>
      <c r="I700" s="219"/>
    </row>
    <row r="701" spans="1:9" s="230" customFormat="1">
      <c r="A701" s="542">
        <f t="shared" si="11"/>
        <v>693</v>
      </c>
      <c r="B701" s="317" t="s">
        <v>3782</v>
      </c>
      <c r="C701" s="221" t="s">
        <v>5598</v>
      </c>
      <c r="D701" s="240" t="s">
        <v>5533</v>
      </c>
      <c r="E701" s="231" t="s">
        <v>1834</v>
      </c>
      <c r="F701" s="252" t="s">
        <v>5750</v>
      </c>
      <c r="G701" s="223">
        <v>2265</v>
      </c>
      <c r="H701" s="341" t="s">
        <v>8294</v>
      </c>
      <c r="I701" s="219"/>
    </row>
    <row r="702" spans="1:9" s="230" customFormat="1">
      <c r="A702" s="542">
        <f t="shared" si="11"/>
        <v>694</v>
      </c>
      <c r="B702" s="317" t="s">
        <v>5751</v>
      </c>
      <c r="C702" s="221" t="s">
        <v>5598</v>
      </c>
      <c r="D702" s="240" t="s">
        <v>5533</v>
      </c>
      <c r="E702" s="231" t="s">
        <v>1692</v>
      </c>
      <c r="F702" s="252" t="s">
        <v>5752</v>
      </c>
      <c r="G702" s="223">
        <v>800</v>
      </c>
      <c r="H702" s="341" t="s">
        <v>8297</v>
      </c>
      <c r="I702" s="219"/>
    </row>
    <row r="703" spans="1:9" s="230" customFormat="1">
      <c r="A703" s="542">
        <f t="shared" si="11"/>
        <v>695</v>
      </c>
      <c r="B703" s="224" t="s">
        <v>5753</v>
      </c>
      <c r="C703" s="221" t="s">
        <v>5594</v>
      </c>
      <c r="D703" s="240" t="s">
        <v>5533</v>
      </c>
      <c r="E703" s="231" t="s">
        <v>1683</v>
      </c>
      <c r="F703" s="231" t="s">
        <v>2189</v>
      </c>
      <c r="G703" s="223">
        <v>700</v>
      </c>
      <c r="H703" s="341" t="s">
        <v>8286</v>
      </c>
      <c r="I703" s="219"/>
    </row>
    <row r="704" spans="1:9" s="230" customFormat="1">
      <c r="A704" s="542">
        <f t="shared" si="11"/>
        <v>696</v>
      </c>
      <c r="B704" s="224" t="s">
        <v>5754</v>
      </c>
      <c r="C704" s="221" t="s">
        <v>5594</v>
      </c>
      <c r="D704" s="240" t="s">
        <v>5533</v>
      </c>
      <c r="E704" s="231" t="s">
        <v>1683</v>
      </c>
      <c r="F704" s="231" t="s">
        <v>2189</v>
      </c>
      <c r="G704" s="223">
        <v>1150</v>
      </c>
      <c r="H704" s="341">
        <v>2</v>
      </c>
      <c r="I704" s="219"/>
    </row>
    <row r="705" spans="1:9" s="230" customFormat="1">
      <c r="A705" s="542">
        <f t="shared" si="11"/>
        <v>697</v>
      </c>
      <c r="B705" s="224" t="s">
        <v>5755</v>
      </c>
      <c r="C705" s="221" t="s">
        <v>5756</v>
      </c>
      <c r="D705" s="240" t="s">
        <v>5533</v>
      </c>
      <c r="E705" s="231" t="s">
        <v>2428</v>
      </c>
      <c r="F705" s="231" t="s">
        <v>5757</v>
      </c>
      <c r="G705" s="223">
        <v>7742</v>
      </c>
      <c r="H705" s="341" t="s">
        <v>8298</v>
      </c>
      <c r="I705" s="219"/>
    </row>
    <row r="706" spans="1:9" s="230" customFormat="1">
      <c r="A706" s="542">
        <f t="shared" si="11"/>
        <v>698</v>
      </c>
      <c r="B706" s="220" t="s">
        <v>5758</v>
      </c>
      <c r="C706" s="221" t="s">
        <v>5603</v>
      </c>
      <c r="D706" s="240" t="s">
        <v>5533</v>
      </c>
      <c r="E706" s="231" t="s">
        <v>5759</v>
      </c>
      <c r="F706" s="231" t="s">
        <v>407</v>
      </c>
      <c r="G706" s="223">
        <v>850</v>
      </c>
      <c r="H706" s="341">
        <v>0.5</v>
      </c>
      <c r="I706" s="219"/>
    </row>
    <row r="707" spans="1:9" s="230" customFormat="1">
      <c r="A707" s="542">
        <f t="shared" si="11"/>
        <v>699</v>
      </c>
      <c r="B707" s="220" t="s">
        <v>5760</v>
      </c>
      <c r="C707" s="221" t="s">
        <v>5594</v>
      </c>
      <c r="D707" s="240" t="s">
        <v>5533</v>
      </c>
      <c r="E707" s="231" t="s">
        <v>1668</v>
      </c>
      <c r="F707" s="231" t="s">
        <v>5761</v>
      </c>
      <c r="G707" s="223">
        <v>1600</v>
      </c>
      <c r="H707" s="341" t="s">
        <v>8292</v>
      </c>
      <c r="I707" s="219"/>
    </row>
    <row r="708" spans="1:9" s="230" customFormat="1">
      <c r="A708" s="542">
        <f t="shared" si="11"/>
        <v>700</v>
      </c>
      <c r="B708" s="224" t="s">
        <v>5762</v>
      </c>
      <c r="C708" s="221" t="s">
        <v>641</v>
      </c>
      <c r="D708" s="240" t="s">
        <v>5533</v>
      </c>
      <c r="E708" s="231" t="s">
        <v>2458</v>
      </c>
      <c r="F708" s="231" t="s">
        <v>2459</v>
      </c>
      <c r="G708" s="223">
        <v>1200</v>
      </c>
      <c r="H708" s="341" t="s">
        <v>8299</v>
      </c>
      <c r="I708" s="219"/>
    </row>
    <row r="709" spans="1:9" s="230" customFormat="1">
      <c r="A709" s="542">
        <f t="shared" si="11"/>
        <v>701</v>
      </c>
      <c r="B709" s="224" t="s">
        <v>5763</v>
      </c>
      <c r="C709" s="221" t="s">
        <v>641</v>
      </c>
      <c r="D709" s="240" t="s">
        <v>5533</v>
      </c>
      <c r="E709" s="231" t="s">
        <v>2458</v>
      </c>
      <c r="F709" s="231" t="s">
        <v>2459</v>
      </c>
      <c r="G709" s="223">
        <v>2000</v>
      </c>
      <c r="H709" s="341" t="s">
        <v>8300</v>
      </c>
      <c r="I709" s="219"/>
    </row>
    <row r="710" spans="1:9" s="230" customFormat="1">
      <c r="A710" s="542">
        <f t="shared" si="11"/>
        <v>702</v>
      </c>
      <c r="B710" s="224" t="s">
        <v>5764</v>
      </c>
      <c r="C710" s="221" t="s">
        <v>641</v>
      </c>
      <c r="D710" s="240" t="s">
        <v>5533</v>
      </c>
      <c r="E710" s="231" t="s">
        <v>2458</v>
      </c>
      <c r="F710" s="231" t="s">
        <v>2459</v>
      </c>
      <c r="G710" s="223">
        <v>1700</v>
      </c>
      <c r="H710" s="341" t="s">
        <v>8299</v>
      </c>
      <c r="I710" s="219"/>
    </row>
    <row r="711" spans="1:9" s="230" customFormat="1">
      <c r="A711" s="542">
        <f t="shared" si="11"/>
        <v>703</v>
      </c>
      <c r="B711" s="224" t="s">
        <v>5765</v>
      </c>
      <c r="C711" s="221" t="s">
        <v>641</v>
      </c>
      <c r="D711" s="240" t="s">
        <v>5533</v>
      </c>
      <c r="E711" s="231" t="s">
        <v>2458</v>
      </c>
      <c r="F711" s="231" t="s">
        <v>2459</v>
      </c>
      <c r="G711" s="223">
        <v>1900</v>
      </c>
      <c r="H711" s="341" t="s">
        <v>8301</v>
      </c>
      <c r="I711" s="219"/>
    </row>
    <row r="712" spans="1:9" s="230" customFormat="1">
      <c r="A712" s="542">
        <f t="shared" si="11"/>
        <v>704</v>
      </c>
      <c r="B712" s="224" t="s">
        <v>5766</v>
      </c>
      <c r="C712" s="221" t="s">
        <v>641</v>
      </c>
      <c r="D712" s="240" t="s">
        <v>5533</v>
      </c>
      <c r="E712" s="231" t="s">
        <v>2458</v>
      </c>
      <c r="F712" s="231" t="s">
        <v>2459</v>
      </c>
      <c r="G712" s="223">
        <v>2800</v>
      </c>
      <c r="H712" s="341" t="s">
        <v>8302</v>
      </c>
      <c r="I712" s="219"/>
    </row>
    <row r="713" spans="1:9" s="230" customFormat="1">
      <c r="A713" s="542">
        <f t="shared" ref="A713:A737" si="12">A712+1</f>
        <v>705</v>
      </c>
      <c r="B713" s="220" t="s">
        <v>2375</v>
      </c>
      <c r="C713" s="221" t="s">
        <v>5594</v>
      </c>
      <c r="D713" s="240" t="s">
        <v>5533</v>
      </c>
      <c r="E713" s="231" t="s">
        <v>1111</v>
      </c>
      <c r="F713" s="231" t="s">
        <v>407</v>
      </c>
      <c r="G713" s="223">
        <v>1327</v>
      </c>
      <c r="H713" s="341">
        <v>14</v>
      </c>
      <c r="I713" s="219"/>
    </row>
    <row r="714" spans="1:9" s="230" customFormat="1">
      <c r="A714" s="542">
        <f t="shared" si="12"/>
        <v>706</v>
      </c>
      <c r="B714" s="220" t="s">
        <v>2376</v>
      </c>
      <c r="C714" s="221" t="s">
        <v>5594</v>
      </c>
      <c r="D714" s="240" t="s">
        <v>5533</v>
      </c>
      <c r="E714" s="231" t="s">
        <v>1111</v>
      </c>
      <c r="F714" s="231" t="s">
        <v>407</v>
      </c>
      <c r="G714" s="223">
        <v>1194</v>
      </c>
      <c r="H714" s="341">
        <v>14</v>
      </c>
      <c r="I714" s="219"/>
    </row>
    <row r="715" spans="1:9" s="230" customFormat="1">
      <c r="A715" s="542">
        <f t="shared" si="12"/>
        <v>707</v>
      </c>
      <c r="B715" s="220" t="s">
        <v>2377</v>
      </c>
      <c r="C715" s="221" t="s">
        <v>5594</v>
      </c>
      <c r="D715" s="240" t="s">
        <v>5533</v>
      </c>
      <c r="E715" s="231" t="s">
        <v>1111</v>
      </c>
      <c r="F715" s="231" t="s">
        <v>407</v>
      </c>
      <c r="G715" s="223">
        <v>1211</v>
      </c>
      <c r="H715" s="341">
        <v>14</v>
      </c>
      <c r="I715" s="219"/>
    </row>
    <row r="716" spans="1:9" s="230" customFormat="1">
      <c r="A716" s="542">
        <f t="shared" si="12"/>
        <v>708</v>
      </c>
      <c r="B716" s="220" t="s">
        <v>2378</v>
      </c>
      <c r="C716" s="221" t="s">
        <v>5594</v>
      </c>
      <c r="D716" s="240" t="s">
        <v>5533</v>
      </c>
      <c r="E716" s="231" t="s">
        <v>1111</v>
      </c>
      <c r="F716" s="231" t="s">
        <v>407</v>
      </c>
      <c r="G716" s="223">
        <v>1301</v>
      </c>
      <c r="H716" s="341">
        <v>14</v>
      </c>
      <c r="I716" s="219"/>
    </row>
    <row r="717" spans="1:9" s="230" customFormat="1">
      <c r="A717" s="542">
        <f t="shared" si="12"/>
        <v>709</v>
      </c>
      <c r="B717" s="220" t="s">
        <v>2379</v>
      </c>
      <c r="C717" s="221" t="s">
        <v>5594</v>
      </c>
      <c r="D717" s="240" t="s">
        <v>5533</v>
      </c>
      <c r="E717" s="231" t="s">
        <v>1111</v>
      </c>
      <c r="F717" s="231" t="s">
        <v>407</v>
      </c>
      <c r="G717" s="223">
        <v>1223</v>
      </c>
      <c r="H717" s="341">
        <v>14</v>
      </c>
      <c r="I717" s="219"/>
    </row>
    <row r="718" spans="1:9" s="230" customFormat="1">
      <c r="A718" s="542">
        <f t="shared" si="12"/>
        <v>710</v>
      </c>
      <c r="B718" s="220" t="s">
        <v>2380</v>
      </c>
      <c r="C718" s="221" t="s">
        <v>5594</v>
      </c>
      <c r="D718" s="240" t="s">
        <v>5533</v>
      </c>
      <c r="E718" s="231" t="s">
        <v>1111</v>
      </c>
      <c r="F718" s="231" t="s">
        <v>407</v>
      </c>
      <c r="G718" s="223">
        <v>987</v>
      </c>
      <c r="H718" s="341">
        <v>14</v>
      </c>
      <c r="I718" s="219"/>
    </row>
    <row r="719" spans="1:9" s="230" customFormat="1">
      <c r="A719" s="542">
        <f t="shared" si="12"/>
        <v>711</v>
      </c>
      <c r="B719" s="220" t="s">
        <v>2381</v>
      </c>
      <c r="C719" s="221" t="s">
        <v>5594</v>
      </c>
      <c r="D719" s="240" t="s">
        <v>5533</v>
      </c>
      <c r="E719" s="231" t="s">
        <v>1111</v>
      </c>
      <c r="F719" s="231" t="s">
        <v>407</v>
      </c>
      <c r="G719" s="223">
        <v>1454</v>
      </c>
      <c r="H719" s="341">
        <v>14</v>
      </c>
      <c r="I719" s="219"/>
    </row>
    <row r="720" spans="1:9" s="230" customFormat="1">
      <c r="A720" s="542">
        <f t="shared" si="12"/>
        <v>712</v>
      </c>
      <c r="B720" s="220" t="s">
        <v>2382</v>
      </c>
      <c r="C720" s="221" t="s">
        <v>5727</v>
      </c>
      <c r="D720" s="240" t="s">
        <v>5533</v>
      </c>
      <c r="E720" s="231" t="s">
        <v>1111</v>
      </c>
      <c r="F720" s="231" t="s">
        <v>407</v>
      </c>
      <c r="G720" s="223">
        <v>4292</v>
      </c>
      <c r="H720" s="341">
        <v>14</v>
      </c>
      <c r="I720" s="219"/>
    </row>
    <row r="721" spans="1:9" s="230" customFormat="1">
      <c r="A721" s="542">
        <f t="shared" si="12"/>
        <v>713</v>
      </c>
      <c r="B721" s="220" t="s">
        <v>2383</v>
      </c>
      <c r="C721" s="221" t="s">
        <v>5598</v>
      </c>
      <c r="D721" s="240" t="s">
        <v>5533</v>
      </c>
      <c r="E721" s="231" t="s">
        <v>1111</v>
      </c>
      <c r="F721" s="231" t="s">
        <v>407</v>
      </c>
      <c r="G721" s="223">
        <v>2254</v>
      </c>
      <c r="H721" s="341">
        <v>14</v>
      </c>
      <c r="I721" s="219"/>
    </row>
    <row r="722" spans="1:9" s="230" customFormat="1">
      <c r="A722" s="542">
        <f t="shared" si="12"/>
        <v>714</v>
      </c>
      <c r="B722" s="220" t="s">
        <v>2384</v>
      </c>
      <c r="C722" s="221" t="s">
        <v>5598</v>
      </c>
      <c r="D722" s="240" t="s">
        <v>5533</v>
      </c>
      <c r="E722" s="231" t="s">
        <v>1111</v>
      </c>
      <c r="F722" s="231" t="s">
        <v>407</v>
      </c>
      <c r="G722" s="223">
        <v>2948</v>
      </c>
      <c r="H722" s="341">
        <v>14</v>
      </c>
      <c r="I722" s="219"/>
    </row>
    <row r="723" spans="1:9" s="230" customFormat="1">
      <c r="A723" s="542">
        <f t="shared" si="12"/>
        <v>715</v>
      </c>
      <c r="B723" s="220" t="s">
        <v>2385</v>
      </c>
      <c r="C723" s="221" t="s">
        <v>5598</v>
      </c>
      <c r="D723" s="240" t="s">
        <v>5533</v>
      </c>
      <c r="E723" s="231" t="s">
        <v>1111</v>
      </c>
      <c r="F723" s="231" t="s">
        <v>407</v>
      </c>
      <c r="G723" s="223">
        <v>2870</v>
      </c>
      <c r="H723" s="341">
        <v>14</v>
      </c>
      <c r="I723" s="219"/>
    </row>
    <row r="724" spans="1:9" s="230" customFormat="1">
      <c r="A724" s="542">
        <f t="shared" si="12"/>
        <v>716</v>
      </c>
      <c r="B724" s="220" t="s">
        <v>2386</v>
      </c>
      <c r="C724" s="221" t="s">
        <v>5598</v>
      </c>
      <c r="D724" s="240" t="s">
        <v>5533</v>
      </c>
      <c r="E724" s="231" t="s">
        <v>1111</v>
      </c>
      <c r="F724" s="231" t="s">
        <v>407</v>
      </c>
      <c r="G724" s="223">
        <v>1986</v>
      </c>
      <c r="H724" s="341">
        <v>14</v>
      </c>
      <c r="I724" s="219"/>
    </row>
    <row r="725" spans="1:9" s="230" customFormat="1">
      <c r="A725" s="542">
        <f t="shared" si="12"/>
        <v>717</v>
      </c>
      <c r="B725" s="220" t="s">
        <v>2387</v>
      </c>
      <c r="C725" s="221" t="s">
        <v>5598</v>
      </c>
      <c r="D725" s="240" t="s">
        <v>5533</v>
      </c>
      <c r="E725" s="231" t="s">
        <v>1111</v>
      </c>
      <c r="F725" s="231" t="s">
        <v>407</v>
      </c>
      <c r="G725" s="223">
        <v>1517</v>
      </c>
      <c r="H725" s="341">
        <v>14</v>
      </c>
      <c r="I725" s="219"/>
    </row>
    <row r="726" spans="1:9" s="230" customFormat="1">
      <c r="A726" s="542">
        <f t="shared" si="12"/>
        <v>718</v>
      </c>
      <c r="B726" s="220" t="s">
        <v>2388</v>
      </c>
      <c r="C726" s="221" t="s">
        <v>5598</v>
      </c>
      <c r="D726" s="240" t="s">
        <v>5533</v>
      </c>
      <c r="E726" s="231" t="s">
        <v>1111</v>
      </c>
      <c r="F726" s="231" t="s">
        <v>407</v>
      </c>
      <c r="G726" s="223">
        <v>1339</v>
      </c>
      <c r="H726" s="341">
        <v>14</v>
      </c>
      <c r="I726" s="219"/>
    </row>
    <row r="727" spans="1:9" s="230" customFormat="1">
      <c r="A727" s="542">
        <f t="shared" si="12"/>
        <v>719</v>
      </c>
      <c r="B727" s="220" t="s">
        <v>2389</v>
      </c>
      <c r="C727" s="221" t="s">
        <v>5598</v>
      </c>
      <c r="D727" s="240" t="s">
        <v>5533</v>
      </c>
      <c r="E727" s="231" t="s">
        <v>1111</v>
      </c>
      <c r="F727" s="231" t="s">
        <v>407</v>
      </c>
      <c r="G727" s="223">
        <v>2512</v>
      </c>
      <c r="H727" s="341">
        <v>14</v>
      </c>
      <c r="I727" s="219"/>
    </row>
    <row r="728" spans="1:9" s="230" customFormat="1">
      <c r="A728" s="542">
        <f t="shared" si="12"/>
        <v>720</v>
      </c>
      <c r="B728" s="220" t="s">
        <v>2390</v>
      </c>
      <c r="C728" s="221" t="s">
        <v>5598</v>
      </c>
      <c r="D728" s="240" t="s">
        <v>5533</v>
      </c>
      <c r="E728" s="231" t="s">
        <v>1111</v>
      </c>
      <c r="F728" s="231" t="s">
        <v>407</v>
      </c>
      <c r="G728" s="223">
        <v>2660</v>
      </c>
      <c r="H728" s="341">
        <v>14</v>
      </c>
      <c r="I728" s="219"/>
    </row>
    <row r="729" spans="1:9" s="230" customFormat="1">
      <c r="A729" s="542">
        <f t="shared" si="12"/>
        <v>721</v>
      </c>
      <c r="B729" s="220" t="s">
        <v>2391</v>
      </c>
      <c r="C729" s="221" t="s">
        <v>5602</v>
      </c>
      <c r="D729" s="240" t="s">
        <v>5533</v>
      </c>
      <c r="E729" s="231" t="s">
        <v>1111</v>
      </c>
      <c r="F729" s="231" t="s">
        <v>407</v>
      </c>
      <c r="G729" s="223">
        <v>2747</v>
      </c>
      <c r="H729" s="341">
        <v>14</v>
      </c>
      <c r="I729" s="219"/>
    </row>
    <row r="730" spans="1:9" s="230" customFormat="1">
      <c r="A730" s="542">
        <f t="shared" si="12"/>
        <v>722</v>
      </c>
      <c r="B730" s="220" t="s">
        <v>2392</v>
      </c>
      <c r="C730" s="221" t="s">
        <v>641</v>
      </c>
      <c r="D730" s="240" t="s">
        <v>5533</v>
      </c>
      <c r="E730" s="231" t="s">
        <v>1111</v>
      </c>
      <c r="F730" s="231" t="s">
        <v>407</v>
      </c>
      <c r="G730" s="223">
        <v>2709</v>
      </c>
      <c r="H730" s="341">
        <v>14</v>
      </c>
      <c r="I730" s="219"/>
    </row>
    <row r="731" spans="1:9" s="230" customFormat="1">
      <c r="A731" s="542">
        <f t="shared" si="12"/>
        <v>723</v>
      </c>
      <c r="B731" s="220" t="s">
        <v>2393</v>
      </c>
      <c r="C731" s="221" t="s">
        <v>641</v>
      </c>
      <c r="D731" s="240" t="s">
        <v>5533</v>
      </c>
      <c r="E731" s="231" t="s">
        <v>5767</v>
      </c>
      <c r="F731" s="231" t="s">
        <v>407</v>
      </c>
      <c r="G731" s="223">
        <f>2300-614</f>
        <v>1686</v>
      </c>
      <c r="H731" s="341">
        <v>14</v>
      </c>
      <c r="I731" s="252"/>
    </row>
    <row r="732" spans="1:9" s="230" customFormat="1">
      <c r="A732" s="542">
        <f t="shared" si="12"/>
        <v>724</v>
      </c>
      <c r="B732" s="220" t="s">
        <v>2394</v>
      </c>
      <c r="C732" s="221" t="s">
        <v>641</v>
      </c>
      <c r="D732" s="240" t="s">
        <v>5533</v>
      </c>
      <c r="E732" s="231" t="s">
        <v>1111</v>
      </c>
      <c r="F732" s="231" t="s">
        <v>407</v>
      </c>
      <c r="G732" s="223">
        <v>1348</v>
      </c>
      <c r="H732" s="341">
        <v>14</v>
      </c>
      <c r="I732" s="219"/>
    </row>
    <row r="733" spans="1:9" s="230" customFormat="1">
      <c r="A733" s="542">
        <f t="shared" si="12"/>
        <v>725</v>
      </c>
      <c r="B733" s="220" t="s">
        <v>2395</v>
      </c>
      <c r="C733" s="221" t="s">
        <v>641</v>
      </c>
      <c r="D733" s="240" t="s">
        <v>5533</v>
      </c>
      <c r="E733" s="231" t="s">
        <v>1111</v>
      </c>
      <c r="F733" s="231" t="s">
        <v>407</v>
      </c>
      <c r="G733" s="223">
        <v>662</v>
      </c>
      <c r="H733" s="341">
        <v>14</v>
      </c>
      <c r="I733" s="219"/>
    </row>
    <row r="734" spans="1:9" s="230" customFormat="1">
      <c r="A734" s="542">
        <f t="shared" si="12"/>
        <v>726</v>
      </c>
      <c r="B734" s="220" t="s">
        <v>2396</v>
      </c>
      <c r="C734" s="221" t="s">
        <v>641</v>
      </c>
      <c r="D734" s="240" t="s">
        <v>5533</v>
      </c>
      <c r="E734" s="231" t="s">
        <v>1111</v>
      </c>
      <c r="F734" s="231" t="s">
        <v>407</v>
      </c>
      <c r="G734" s="223">
        <v>1067</v>
      </c>
      <c r="H734" s="341">
        <v>14</v>
      </c>
      <c r="I734" s="219"/>
    </row>
    <row r="735" spans="1:9" s="230" customFormat="1">
      <c r="A735" s="542">
        <f t="shared" si="12"/>
        <v>727</v>
      </c>
      <c r="B735" s="220" t="s">
        <v>2397</v>
      </c>
      <c r="C735" s="221" t="s">
        <v>641</v>
      </c>
      <c r="D735" s="240" t="s">
        <v>5533</v>
      </c>
      <c r="E735" s="231" t="s">
        <v>1111</v>
      </c>
      <c r="F735" s="231" t="s">
        <v>407</v>
      </c>
      <c r="G735" s="223">
        <v>1435</v>
      </c>
      <c r="H735" s="341">
        <v>14</v>
      </c>
      <c r="I735" s="219"/>
    </row>
    <row r="736" spans="1:9" s="230" customFormat="1">
      <c r="A736" s="542">
        <f t="shared" si="12"/>
        <v>728</v>
      </c>
      <c r="B736" s="220" t="s">
        <v>2398</v>
      </c>
      <c r="C736" s="221" t="s">
        <v>641</v>
      </c>
      <c r="D736" s="240" t="s">
        <v>5533</v>
      </c>
      <c r="E736" s="231" t="s">
        <v>1111</v>
      </c>
      <c r="F736" s="231" t="s">
        <v>407</v>
      </c>
      <c r="G736" s="223">
        <v>500</v>
      </c>
      <c r="H736" s="341">
        <v>14</v>
      </c>
      <c r="I736" s="252"/>
    </row>
    <row r="737" spans="1:9" s="230" customFormat="1">
      <c r="A737" s="542">
        <f t="shared" si="12"/>
        <v>729</v>
      </c>
      <c r="B737" s="220" t="s">
        <v>2399</v>
      </c>
      <c r="C737" s="221" t="s">
        <v>641</v>
      </c>
      <c r="D737" s="240" t="s">
        <v>5533</v>
      </c>
      <c r="E737" s="231" t="s">
        <v>1111</v>
      </c>
      <c r="F737" s="231" t="s">
        <v>407</v>
      </c>
      <c r="G737" s="223">
        <v>1400</v>
      </c>
      <c r="H737" s="341">
        <v>14</v>
      </c>
      <c r="I737" s="219"/>
    </row>
    <row r="738" spans="1:9" s="230" customFormat="1">
      <c r="A738" s="502" t="s">
        <v>1118</v>
      </c>
      <c r="B738" s="380" t="s">
        <v>5768</v>
      </c>
      <c r="C738" s="381"/>
      <c r="D738" s="382"/>
      <c r="E738" s="387"/>
      <c r="F738" s="387"/>
      <c r="G738" s="388"/>
      <c r="H738" s="385"/>
      <c r="I738" s="386"/>
    </row>
    <row r="739" spans="1:9" s="230" customFormat="1">
      <c r="A739" s="542">
        <f>A737+1</f>
        <v>730</v>
      </c>
      <c r="B739" s="224" t="s">
        <v>2350</v>
      </c>
      <c r="C739" s="221" t="s">
        <v>5769</v>
      </c>
      <c r="D739" s="240" t="s">
        <v>5533</v>
      </c>
      <c r="E739" s="231" t="s">
        <v>1115</v>
      </c>
      <c r="F739" s="231" t="s">
        <v>407</v>
      </c>
      <c r="G739" s="223">
        <v>6842</v>
      </c>
      <c r="H739" s="341" t="s">
        <v>8303</v>
      </c>
      <c r="I739" s="219"/>
    </row>
    <row r="740" spans="1:9" s="230" customFormat="1">
      <c r="A740" s="542">
        <f>A739+1</f>
        <v>731</v>
      </c>
      <c r="B740" s="224" t="s">
        <v>1246</v>
      </c>
      <c r="C740" s="221" t="s">
        <v>5769</v>
      </c>
      <c r="D740" s="240" t="s">
        <v>5533</v>
      </c>
      <c r="E740" s="231" t="s">
        <v>2350</v>
      </c>
      <c r="F740" s="231" t="s">
        <v>5770</v>
      </c>
      <c r="G740" s="223">
        <v>695</v>
      </c>
      <c r="H740" s="341">
        <v>20</v>
      </c>
      <c r="I740" s="219"/>
    </row>
    <row r="741" spans="1:9" s="230" customFormat="1">
      <c r="A741" s="542">
        <f t="shared" ref="A741:A781" si="13">A740+1</f>
        <v>732</v>
      </c>
      <c r="B741" s="224" t="s">
        <v>1255</v>
      </c>
      <c r="C741" s="221" t="s">
        <v>5769</v>
      </c>
      <c r="D741" s="240" t="s">
        <v>5533</v>
      </c>
      <c r="E741" s="231" t="s">
        <v>2350</v>
      </c>
      <c r="F741" s="231" t="s">
        <v>5770</v>
      </c>
      <c r="G741" s="223">
        <v>700</v>
      </c>
      <c r="H741" s="341">
        <v>18</v>
      </c>
      <c r="I741" s="219"/>
    </row>
    <row r="742" spans="1:9" s="230" customFormat="1">
      <c r="A742" s="542">
        <f t="shared" si="13"/>
        <v>733</v>
      </c>
      <c r="B742" s="224" t="s">
        <v>1272</v>
      </c>
      <c r="C742" s="221" t="s">
        <v>5769</v>
      </c>
      <c r="D742" s="240" t="s">
        <v>5533</v>
      </c>
      <c r="E742" s="231" t="s">
        <v>2350</v>
      </c>
      <c r="F742" s="231" t="s">
        <v>1113</v>
      </c>
      <c r="G742" s="223">
        <v>799</v>
      </c>
      <c r="H742" s="341" t="s">
        <v>8304</v>
      </c>
      <c r="I742" s="219"/>
    </row>
    <row r="743" spans="1:9" s="230" customFormat="1">
      <c r="A743" s="542">
        <f t="shared" si="13"/>
        <v>734</v>
      </c>
      <c r="B743" s="224" t="s">
        <v>1289</v>
      </c>
      <c r="C743" s="221" t="s">
        <v>5769</v>
      </c>
      <c r="D743" s="240" t="s">
        <v>5533</v>
      </c>
      <c r="E743" s="231" t="s">
        <v>2350</v>
      </c>
      <c r="F743" s="231" t="s">
        <v>1113</v>
      </c>
      <c r="G743" s="223">
        <v>702</v>
      </c>
      <c r="H743" s="341" t="s">
        <v>8305</v>
      </c>
      <c r="I743" s="219"/>
    </row>
    <row r="744" spans="1:9" s="230" customFormat="1">
      <c r="A744" s="542">
        <f t="shared" si="13"/>
        <v>735</v>
      </c>
      <c r="B744" s="224" t="s">
        <v>1306</v>
      </c>
      <c r="C744" s="221" t="s">
        <v>5769</v>
      </c>
      <c r="D744" s="240" t="s">
        <v>5533</v>
      </c>
      <c r="E744" s="231" t="s">
        <v>2350</v>
      </c>
      <c r="F744" s="231" t="s">
        <v>1113</v>
      </c>
      <c r="G744" s="223">
        <v>660</v>
      </c>
      <c r="H744" s="341" t="s">
        <v>8306</v>
      </c>
      <c r="I744" s="219"/>
    </row>
    <row r="745" spans="1:9" s="230" customFormat="1">
      <c r="A745" s="542">
        <f t="shared" si="13"/>
        <v>736</v>
      </c>
      <c r="B745" s="224" t="s">
        <v>1323</v>
      </c>
      <c r="C745" s="221" t="s">
        <v>5769</v>
      </c>
      <c r="D745" s="240" t="s">
        <v>5533</v>
      </c>
      <c r="E745" s="231" t="s">
        <v>2350</v>
      </c>
      <c r="F745" s="231" t="s">
        <v>1113</v>
      </c>
      <c r="G745" s="223">
        <v>733</v>
      </c>
      <c r="H745" s="341" t="s">
        <v>8307</v>
      </c>
      <c r="I745" s="219"/>
    </row>
    <row r="746" spans="1:9" s="230" customFormat="1">
      <c r="A746" s="542">
        <f t="shared" si="13"/>
        <v>737</v>
      </c>
      <c r="B746" s="224" t="s">
        <v>5771</v>
      </c>
      <c r="C746" s="221" t="s">
        <v>5769</v>
      </c>
      <c r="D746" s="240" t="s">
        <v>5533</v>
      </c>
      <c r="E746" s="252" t="s">
        <v>2350</v>
      </c>
      <c r="F746" s="252" t="s">
        <v>407</v>
      </c>
      <c r="G746" s="325">
        <v>1300</v>
      </c>
      <c r="H746" s="343" t="s">
        <v>8308</v>
      </c>
      <c r="I746" s="219"/>
    </row>
    <row r="747" spans="1:9" s="230" customFormat="1">
      <c r="A747" s="542">
        <f t="shared" si="13"/>
        <v>738</v>
      </c>
      <c r="B747" s="224" t="s">
        <v>5772</v>
      </c>
      <c r="C747" s="221" t="s">
        <v>5769</v>
      </c>
      <c r="D747" s="240" t="s">
        <v>5533</v>
      </c>
      <c r="E747" s="252" t="s">
        <v>2350</v>
      </c>
      <c r="F747" s="252" t="s">
        <v>407</v>
      </c>
      <c r="G747" s="325">
        <v>664</v>
      </c>
      <c r="H747" s="343" t="s">
        <v>8263</v>
      </c>
      <c r="I747" s="219"/>
    </row>
    <row r="748" spans="1:9" s="230" customFormat="1">
      <c r="A748" s="542">
        <f t="shared" si="13"/>
        <v>739</v>
      </c>
      <c r="B748" s="224" t="s">
        <v>5773</v>
      </c>
      <c r="C748" s="221" t="s">
        <v>5769</v>
      </c>
      <c r="D748" s="240" t="s">
        <v>5533</v>
      </c>
      <c r="E748" s="252" t="s">
        <v>2350</v>
      </c>
      <c r="F748" s="252" t="s">
        <v>407</v>
      </c>
      <c r="G748" s="325">
        <v>500</v>
      </c>
      <c r="H748" s="343">
        <v>6</v>
      </c>
      <c r="I748" s="219"/>
    </row>
    <row r="749" spans="1:9" s="230" customFormat="1">
      <c r="A749" s="542">
        <f t="shared" si="13"/>
        <v>740</v>
      </c>
      <c r="B749" s="224" t="s">
        <v>5774</v>
      </c>
      <c r="C749" s="221" t="s">
        <v>5769</v>
      </c>
      <c r="D749" s="240" t="s">
        <v>5533</v>
      </c>
      <c r="E749" s="252" t="s">
        <v>2350</v>
      </c>
      <c r="F749" s="252" t="s">
        <v>407</v>
      </c>
      <c r="G749" s="325">
        <v>616</v>
      </c>
      <c r="H749" s="343">
        <v>3</v>
      </c>
      <c r="I749" s="219"/>
    </row>
    <row r="750" spans="1:9" s="230" customFormat="1">
      <c r="A750" s="542">
        <f t="shared" si="13"/>
        <v>741</v>
      </c>
      <c r="B750" s="224" t="s">
        <v>5775</v>
      </c>
      <c r="C750" s="221" t="s">
        <v>5769</v>
      </c>
      <c r="D750" s="240" t="s">
        <v>5533</v>
      </c>
      <c r="E750" s="252" t="s">
        <v>2350</v>
      </c>
      <c r="F750" s="252" t="s">
        <v>407</v>
      </c>
      <c r="G750" s="325">
        <v>615</v>
      </c>
      <c r="H750" s="343">
        <v>3</v>
      </c>
      <c r="I750" s="219"/>
    </row>
    <row r="751" spans="1:9" s="230" customFormat="1">
      <c r="A751" s="542">
        <f t="shared" si="13"/>
        <v>742</v>
      </c>
      <c r="B751" s="224" t="s">
        <v>5776</v>
      </c>
      <c r="C751" s="221" t="s">
        <v>5769</v>
      </c>
      <c r="D751" s="240" t="s">
        <v>5533</v>
      </c>
      <c r="E751" s="252" t="s">
        <v>2350</v>
      </c>
      <c r="F751" s="252" t="s">
        <v>407</v>
      </c>
      <c r="G751" s="322">
        <v>1122</v>
      </c>
      <c r="H751" s="343">
        <v>3</v>
      </c>
      <c r="I751" s="219"/>
    </row>
    <row r="752" spans="1:9" s="230" customFormat="1">
      <c r="A752" s="542">
        <f t="shared" si="13"/>
        <v>743</v>
      </c>
      <c r="B752" s="224" t="s">
        <v>5777</v>
      </c>
      <c r="C752" s="221" t="s">
        <v>5769</v>
      </c>
      <c r="D752" s="240" t="s">
        <v>5533</v>
      </c>
      <c r="E752" s="252" t="s">
        <v>2350</v>
      </c>
      <c r="F752" s="252" t="s">
        <v>407</v>
      </c>
      <c r="G752" s="325">
        <v>410</v>
      </c>
      <c r="H752" s="343">
        <v>3</v>
      </c>
      <c r="I752" s="219"/>
    </row>
    <row r="753" spans="1:9" s="230" customFormat="1">
      <c r="A753" s="542">
        <f t="shared" si="13"/>
        <v>744</v>
      </c>
      <c r="B753" s="224" t="s">
        <v>5778</v>
      </c>
      <c r="C753" s="221" t="s">
        <v>5769</v>
      </c>
      <c r="D753" s="240" t="s">
        <v>5533</v>
      </c>
      <c r="E753" s="252" t="s">
        <v>2350</v>
      </c>
      <c r="F753" s="252" t="s">
        <v>407</v>
      </c>
      <c r="G753" s="325">
        <v>750</v>
      </c>
      <c r="H753" s="343">
        <v>3</v>
      </c>
      <c r="I753" s="219"/>
    </row>
    <row r="754" spans="1:9" s="230" customFormat="1">
      <c r="A754" s="542">
        <f t="shared" si="13"/>
        <v>745</v>
      </c>
      <c r="B754" s="224" t="s">
        <v>5779</v>
      </c>
      <c r="C754" s="221" t="s">
        <v>5769</v>
      </c>
      <c r="D754" s="240" t="s">
        <v>5533</v>
      </c>
      <c r="E754" s="252" t="s">
        <v>2350</v>
      </c>
      <c r="F754" s="252" t="s">
        <v>407</v>
      </c>
      <c r="G754" s="325">
        <v>940</v>
      </c>
      <c r="H754" s="343">
        <v>3</v>
      </c>
      <c r="I754" s="219"/>
    </row>
    <row r="755" spans="1:9" s="230" customFormat="1">
      <c r="A755" s="542">
        <f t="shared" si="13"/>
        <v>746</v>
      </c>
      <c r="B755" s="224" t="s">
        <v>5780</v>
      </c>
      <c r="C755" s="221" t="s">
        <v>5769</v>
      </c>
      <c r="D755" s="240" t="s">
        <v>5533</v>
      </c>
      <c r="E755" s="252" t="s">
        <v>2350</v>
      </c>
      <c r="F755" s="252" t="s">
        <v>407</v>
      </c>
      <c r="G755" s="325">
        <v>960</v>
      </c>
      <c r="H755" s="343">
        <v>10</v>
      </c>
      <c r="I755" s="219"/>
    </row>
    <row r="756" spans="1:9" s="230" customFormat="1">
      <c r="A756" s="542">
        <f t="shared" si="13"/>
        <v>747</v>
      </c>
      <c r="B756" s="224" t="s">
        <v>5781</v>
      </c>
      <c r="C756" s="221" t="s">
        <v>5769</v>
      </c>
      <c r="D756" s="240" t="s">
        <v>5533</v>
      </c>
      <c r="E756" s="252" t="s">
        <v>2350</v>
      </c>
      <c r="F756" s="252" t="s">
        <v>407</v>
      </c>
      <c r="G756" s="325">
        <v>210</v>
      </c>
      <c r="H756" s="343">
        <v>3</v>
      </c>
      <c r="I756" s="219"/>
    </row>
    <row r="757" spans="1:9" s="230" customFormat="1">
      <c r="A757" s="542">
        <f t="shared" si="13"/>
        <v>748</v>
      </c>
      <c r="B757" s="224" t="s">
        <v>5782</v>
      </c>
      <c r="C757" s="221" t="s">
        <v>5769</v>
      </c>
      <c r="D757" s="240" t="s">
        <v>5533</v>
      </c>
      <c r="E757" s="252" t="s">
        <v>2350</v>
      </c>
      <c r="F757" s="252" t="s">
        <v>407</v>
      </c>
      <c r="G757" s="325">
        <v>501</v>
      </c>
      <c r="H757" s="343">
        <v>3</v>
      </c>
      <c r="I757" s="219"/>
    </row>
    <row r="758" spans="1:9" s="230" customFormat="1">
      <c r="A758" s="542">
        <f t="shared" si="13"/>
        <v>749</v>
      </c>
      <c r="B758" s="224" t="s">
        <v>1113</v>
      </c>
      <c r="C758" s="221" t="s">
        <v>5783</v>
      </c>
      <c r="D758" s="240" t="s">
        <v>5533</v>
      </c>
      <c r="E758" s="231" t="s">
        <v>1115</v>
      </c>
      <c r="F758" s="231" t="s">
        <v>643</v>
      </c>
      <c r="G758" s="223">
        <v>11000</v>
      </c>
      <c r="H758" s="341" t="s">
        <v>8309</v>
      </c>
      <c r="I758" s="219"/>
    </row>
    <row r="759" spans="1:9" s="230" customFormat="1">
      <c r="A759" s="542">
        <f t="shared" si="13"/>
        <v>750</v>
      </c>
      <c r="B759" s="242" t="s">
        <v>2351</v>
      </c>
      <c r="C759" s="221" t="s">
        <v>5769</v>
      </c>
      <c r="D759" s="240" t="s">
        <v>5533</v>
      </c>
      <c r="E759" s="231" t="s">
        <v>2352</v>
      </c>
      <c r="F759" s="231" t="s">
        <v>407</v>
      </c>
      <c r="G759" s="223">
        <v>772</v>
      </c>
      <c r="H759" s="341">
        <v>10</v>
      </c>
      <c r="I759" s="219"/>
    </row>
    <row r="760" spans="1:9" s="230" customFormat="1">
      <c r="A760" s="542">
        <f t="shared" si="13"/>
        <v>751</v>
      </c>
      <c r="B760" s="242" t="s">
        <v>2353</v>
      </c>
      <c r="C760" s="221" t="s">
        <v>5769</v>
      </c>
      <c r="D760" s="240" t="s">
        <v>5533</v>
      </c>
      <c r="E760" s="231" t="s">
        <v>2351</v>
      </c>
      <c r="F760" s="231" t="s">
        <v>407</v>
      </c>
      <c r="G760" s="223">
        <v>1076</v>
      </c>
      <c r="H760" s="341">
        <v>10</v>
      </c>
      <c r="I760" s="219"/>
    </row>
    <row r="761" spans="1:9" s="230" customFormat="1">
      <c r="A761" s="542">
        <f t="shared" si="13"/>
        <v>752</v>
      </c>
      <c r="B761" s="242" t="s">
        <v>1255</v>
      </c>
      <c r="C761" s="221" t="s">
        <v>5769</v>
      </c>
      <c r="D761" s="240" t="s">
        <v>5533</v>
      </c>
      <c r="E761" s="231" t="s">
        <v>2352</v>
      </c>
      <c r="F761" s="231" t="s">
        <v>407</v>
      </c>
      <c r="G761" s="326">
        <v>1925</v>
      </c>
      <c r="H761" s="341">
        <v>22</v>
      </c>
      <c r="I761" s="219"/>
    </row>
    <row r="762" spans="1:9" s="230" customFormat="1">
      <c r="A762" s="542">
        <f t="shared" si="13"/>
        <v>753</v>
      </c>
      <c r="B762" s="242" t="s">
        <v>1272</v>
      </c>
      <c r="C762" s="221" t="s">
        <v>5769</v>
      </c>
      <c r="D762" s="240" t="s">
        <v>5533</v>
      </c>
      <c r="E762" s="231" t="s">
        <v>2352</v>
      </c>
      <c r="F762" s="231" t="s">
        <v>407</v>
      </c>
      <c r="G762" s="326">
        <v>2185</v>
      </c>
      <c r="H762" s="341" t="s">
        <v>8310</v>
      </c>
      <c r="I762" s="219"/>
    </row>
    <row r="763" spans="1:9" s="230" customFormat="1">
      <c r="A763" s="542">
        <f t="shared" si="13"/>
        <v>754</v>
      </c>
      <c r="B763" s="242" t="s">
        <v>1289</v>
      </c>
      <c r="C763" s="221" t="s">
        <v>5769</v>
      </c>
      <c r="D763" s="240" t="s">
        <v>5533</v>
      </c>
      <c r="E763" s="231" t="s">
        <v>2352</v>
      </c>
      <c r="F763" s="231" t="s">
        <v>407</v>
      </c>
      <c r="G763" s="326">
        <v>1350</v>
      </c>
      <c r="H763" s="341">
        <v>22</v>
      </c>
      <c r="I763" s="219"/>
    </row>
    <row r="764" spans="1:9" s="230" customFormat="1">
      <c r="A764" s="542">
        <f t="shared" si="13"/>
        <v>755</v>
      </c>
      <c r="B764" s="242" t="s">
        <v>1306</v>
      </c>
      <c r="C764" s="221" t="s">
        <v>5769</v>
      </c>
      <c r="D764" s="240" t="s">
        <v>5533</v>
      </c>
      <c r="E764" s="231" t="s">
        <v>2352</v>
      </c>
      <c r="F764" s="231" t="s">
        <v>407</v>
      </c>
      <c r="G764" s="326">
        <v>1496</v>
      </c>
      <c r="H764" s="341" t="s">
        <v>8311</v>
      </c>
      <c r="I764" s="219"/>
    </row>
    <row r="765" spans="1:9" s="230" customFormat="1">
      <c r="A765" s="542">
        <f t="shared" si="13"/>
        <v>756</v>
      </c>
      <c r="B765" s="242" t="s">
        <v>1323</v>
      </c>
      <c r="C765" s="221" t="s">
        <v>5769</v>
      </c>
      <c r="D765" s="240" t="s">
        <v>5533</v>
      </c>
      <c r="E765" s="231" t="s">
        <v>2352</v>
      </c>
      <c r="F765" s="231" t="s">
        <v>407</v>
      </c>
      <c r="G765" s="326">
        <v>561</v>
      </c>
      <c r="H765" s="341" t="s">
        <v>8312</v>
      </c>
      <c r="I765" s="219"/>
    </row>
    <row r="766" spans="1:9" s="230" customFormat="1">
      <c r="A766" s="542">
        <f t="shared" si="13"/>
        <v>757</v>
      </c>
      <c r="B766" s="242" t="s">
        <v>1254</v>
      </c>
      <c r="C766" s="221" t="s">
        <v>5769</v>
      </c>
      <c r="D766" s="240" t="s">
        <v>5533</v>
      </c>
      <c r="E766" s="231" t="s">
        <v>2351</v>
      </c>
      <c r="F766" s="231" t="s">
        <v>407</v>
      </c>
      <c r="G766" s="223">
        <v>446</v>
      </c>
      <c r="H766" s="341" t="s">
        <v>8313</v>
      </c>
      <c r="I766" s="219"/>
    </row>
    <row r="767" spans="1:9" s="230" customFormat="1">
      <c r="A767" s="542">
        <f t="shared" si="13"/>
        <v>758</v>
      </c>
      <c r="B767" s="242" t="s">
        <v>1257</v>
      </c>
      <c r="C767" s="221" t="s">
        <v>5769</v>
      </c>
      <c r="D767" s="240" t="s">
        <v>5533</v>
      </c>
      <c r="E767" s="231" t="s">
        <v>2351</v>
      </c>
      <c r="F767" s="231" t="s">
        <v>407</v>
      </c>
      <c r="G767" s="223">
        <v>684</v>
      </c>
      <c r="H767" s="341" t="s">
        <v>8314</v>
      </c>
      <c r="I767" s="219"/>
    </row>
    <row r="768" spans="1:9" s="230" customFormat="1">
      <c r="A768" s="542">
        <f t="shared" si="13"/>
        <v>759</v>
      </c>
      <c r="B768" s="242" t="s">
        <v>1258</v>
      </c>
      <c r="C768" s="221" t="s">
        <v>5769</v>
      </c>
      <c r="D768" s="240" t="s">
        <v>5533</v>
      </c>
      <c r="E768" s="231" t="s">
        <v>2351</v>
      </c>
      <c r="F768" s="231" t="s">
        <v>407</v>
      </c>
      <c r="G768" s="223">
        <v>300</v>
      </c>
      <c r="H768" s="341" t="s">
        <v>8315</v>
      </c>
      <c r="I768" s="219"/>
    </row>
    <row r="769" spans="1:9" s="230" customFormat="1">
      <c r="A769" s="542">
        <f t="shared" si="13"/>
        <v>760</v>
      </c>
      <c r="B769" s="242" t="s">
        <v>1259</v>
      </c>
      <c r="C769" s="221" t="s">
        <v>5769</v>
      </c>
      <c r="D769" s="240" t="s">
        <v>5533</v>
      </c>
      <c r="E769" s="231" t="s">
        <v>2351</v>
      </c>
      <c r="F769" s="231" t="s">
        <v>407</v>
      </c>
      <c r="G769" s="223">
        <v>753</v>
      </c>
      <c r="H769" s="341">
        <v>7.5</v>
      </c>
      <c r="I769" s="219"/>
    </row>
    <row r="770" spans="1:9" s="230" customFormat="1">
      <c r="A770" s="542">
        <f t="shared" si="13"/>
        <v>761</v>
      </c>
      <c r="B770" s="242" t="s">
        <v>1261</v>
      </c>
      <c r="C770" s="221" t="s">
        <v>5769</v>
      </c>
      <c r="D770" s="240" t="s">
        <v>5533</v>
      </c>
      <c r="E770" s="231" t="s">
        <v>2351</v>
      </c>
      <c r="F770" s="231" t="s">
        <v>407</v>
      </c>
      <c r="G770" s="223">
        <v>867</v>
      </c>
      <c r="H770" s="341" t="s">
        <v>8316</v>
      </c>
      <c r="I770" s="219"/>
    </row>
    <row r="771" spans="1:9" s="230" customFormat="1">
      <c r="A771" s="542">
        <f t="shared" si="13"/>
        <v>762</v>
      </c>
      <c r="B771" s="242" t="s">
        <v>1263</v>
      </c>
      <c r="C771" s="221" t="s">
        <v>5769</v>
      </c>
      <c r="D771" s="240" t="s">
        <v>5533</v>
      </c>
      <c r="E771" s="231" t="s">
        <v>2351</v>
      </c>
      <c r="F771" s="231" t="s">
        <v>407</v>
      </c>
      <c r="G771" s="223">
        <v>955</v>
      </c>
      <c r="H771" s="341" t="s">
        <v>8317</v>
      </c>
      <c r="I771" s="219"/>
    </row>
    <row r="772" spans="1:9" s="230" customFormat="1">
      <c r="A772" s="542">
        <f t="shared" si="13"/>
        <v>763</v>
      </c>
      <c r="B772" s="242" t="s">
        <v>1265</v>
      </c>
      <c r="C772" s="221" t="s">
        <v>5769</v>
      </c>
      <c r="D772" s="240" t="s">
        <v>5533</v>
      </c>
      <c r="E772" s="231" t="s">
        <v>2351</v>
      </c>
      <c r="F772" s="231" t="s">
        <v>407</v>
      </c>
      <c r="G772" s="223">
        <v>585</v>
      </c>
      <c r="H772" s="341" t="s">
        <v>8315</v>
      </c>
      <c r="I772" s="219"/>
    </row>
    <row r="773" spans="1:9" s="230" customFormat="1">
      <c r="A773" s="542">
        <f t="shared" si="13"/>
        <v>764</v>
      </c>
      <c r="B773" s="242" t="s">
        <v>1266</v>
      </c>
      <c r="C773" s="221" t="s">
        <v>5769</v>
      </c>
      <c r="D773" s="240" t="s">
        <v>5533</v>
      </c>
      <c r="E773" s="231" t="s">
        <v>1255</v>
      </c>
      <c r="F773" s="231" t="s">
        <v>407</v>
      </c>
      <c r="G773" s="223">
        <v>600</v>
      </c>
      <c r="H773" s="341" t="s">
        <v>8318</v>
      </c>
      <c r="I773" s="219"/>
    </row>
    <row r="774" spans="1:9" s="230" customFormat="1">
      <c r="A774" s="542">
        <f t="shared" si="13"/>
        <v>765</v>
      </c>
      <c r="B774" s="242" t="s">
        <v>1267</v>
      </c>
      <c r="C774" s="221" t="s">
        <v>5769</v>
      </c>
      <c r="D774" s="240" t="s">
        <v>5533</v>
      </c>
      <c r="E774" s="231" t="s">
        <v>1255</v>
      </c>
      <c r="F774" s="231" t="s">
        <v>407</v>
      </c>
      <c r="G774" s="223">
        <v>1144</v>
      </c>
      <c r="H774" s="341" t="s">
        <v>8319</v>
      </c>
      <c r="I774" s="219"/>
    </row>
    <row r="775" spans="1:9" s="230" customFormat="1">
      <c r="A775" s="542">
        <f t="shared" si="13"/>
        <v>766</v>
      </c>
      <c r="B775" s="242" t="s">
        <v>1269</v>
      </c>
      <c r="C775" s="221" t="s">
        <v>5769</v>
      </c>
      <c r="D775" s="240" t="s">
        <v>5533</v>
      </c>
      <c r="E775" s="231" t="s">
        <v>1255</v>
      </c>
      <c r="F775" s="231" t="s">
        <v>407</v>
      </c>
      <c r="G775" s="223">
        <v>560</v>
      </c>
      <c r="H775" s="341" t="s">
        <v>8320</v>
      </c>
      <c r="I775" s="219"/>
    </row>
    <row r="776" spans="1:9" s="230" customFormat="1">
      <c r="A776" s="542">
        <f t="shared" si="13"/>
        <v>767</v>
      </c>
      <c r="B776" s="242" t="s">
        <v>1274</v>
      </c>
      <c r="C776" s="221" t="s">
        <v>5769</v>
      </c>
      <c r="D776" s="240" t="s">
        <v>5533</v>
      </c>
      <c r="E776" s="231" t="s">
        <v>1272</v>
      </c>
      <c r="F776" s="231" t="s">
        <v>407</v>
      </c>
      <c r="G776" s="223">
        <v>265</v>
      </c>
      <c r="H776" s="341" t="s">
        <v>8321</v>
      </c>
      <c r="I776" s="219"/>
    </row>
    <row r="777" spans="1:9" s="230" customFormat="1">
      <c r="A777" s="542">
        <f t="shared" si="13"/>
        <v>768</v>
      </c>
      <c r="B777" s="242" t="s">
        <v>5784</v>
      </c>
      <c r="C777" s="221" t="s">
        <v>5769</v>
      </c>
      <c r="D777" s="240" t="s">
        <v>5533</v>
      </c>
      <c r="E777" s="231" t="s">
        <v>1272</v>
      </c>
      <c r="F777" s="231" t="s">
        <v>407</v>
      </c>
      <c r="G777" s="223">
        <v>880</v>
      </c>
      <c r="H777" s="341" t="s">
        <v>8322</v>
      </c>
      <c r="I777" s="219"/>
    </row>
    <row r="778" spans="1:9" s="230" customFormat="1">
      <c r="A778" s="542">
        <f t="shared" si="13"/>
        <v>769</v>
      </c>
      <c r="B778" s="242" t="s">
        <v>2371</v>
      </c>
      <c r="C778" s="221" t="s">
        <v>5769</v>
      </c>
      <c r="D778" s="240" t="s">
        <v>5533</v>
      </c>
      <c r="E778" s="231" t="s">
        <v>2352</v>
      </c>
      <c r="F778" s="231" t="s">
        <v>407</v>
      </c>
      <c r="G778" s="223">
        <v>300</v>
      </c>
      <c r="H778" s="341" t="s">
        <v>8323</v>
      </c>
      <c r="I778" s="219"/>
    </row>
    <row r="779" spans="1:9" s="230" customFormat="1">
      <c r="A779" s="542">
        <f t="shared" si="13"/>
        <v>770</v>
      </c>
      <c r="B779" s="242" t="s">
        <v>2372</v>
      </c>
      <c r="C779" s="221" t="s">
        <v>5769</v>
      </c>
      <c r="D779" s="240" t="s">
        <v>5533</v>
      </c>
      <c r="E779" s="231" t="s">
        <v>1272</v>
      </c>
      <c r="F779" s="231" t="s">
        <v>407</v>
      </c>
      <c r="G779" s="223">
        <v>556</v>
      </c>
      <c r="H779" s="341">
        <v>7</v>
      </c>
      <c r="I779" s="219"/>
    </row>
    <row r="780" spans="1:9" s="230" customFormat="1">
      <c r="A780" s="542">
        <f t="shared" si="13"/>
        <v>771</v>
      </c>
      <c r="B780" s="242" t="s">
        <v>1307</v>
      </c>
      <c r="C780" s="221" t="s">
        <v>5769</v>
      </c>
      <c r="D780" s="240" t="s">
        <v>5533</v>
      </c>
      <c r="E780" s="231" t="s">
        <v>1306</v>
      </c>
      <c r="F780" s="231" t="s">
        <v>407</v>
      </c>
      <c r="G780" s="223">
        <v>1020</v>
      </c>
      <c r="H780" s="341">
        <v>10</v>
      </c>
      <c r="I780" s="219"/>
    </row>
    <row r="781" spans="1:9" s="230" customFormat="1">
      <c r="A781" s="542">
        <f t="shared" si="13"/>
        <v>772</v>
      </c>
      <c r="B781" s="242" t="s">
        <v>1322</v>
      </c>
      <c r="C781" s="221" t="s">
        <v>5769</v>
      </c>
      <c r="D781" s="240" t="s">
        <v>5533</v>
      </c>
      <c r="E781" s="231" t="s">
        <v>1323</v>
      </c>
      <c r="F781" s="231" t="s">
        <v>407</v>
      </c>
      <c r="G781" s="223">
        <v>200</v>
      </c>
      <c r="H781" s="341">
        <v>6</v>
      </c>
      <c r="I781" s="219"/>
    </row>
    <row r="782" spans="1:9" s="229" customFormat="1">
      <c r="A782" s="502" t="s">
        <v>1116</v>
      </c>
      <c r="B782" s="512" t="s">
        <v>5785</v>
      </c>
      <c r="C782" s="513"/>
      <c r="D782" s="514"/>
      <c r="E782" s="389"/>
      <c r="F782" s="389"/>
      <c r="G782" s="390"/>
      <c r="H782" s="402"/>
      <c r="I782" s="502"/>
    </row>
    <row r="783" spans="1:9" s="230" customFormat="1">
      <c r="A783" s="542">
        <f>A781+1</f>
        <v>773</v>
      </c>
      <c r="B783" s="242" t="s">
        <v>2222</v>
      </c>
      <c r="C783" s="221" t="s">
        <v>5603</v>
      </c>
      <c r="D783" s="240" t="s">
        <v>5533</v>
      </c>
      <c r="E783" s="231" t="s">
        <v>2223</v>
      </c>
      <c r="F783" s="231" t="s">
        <v>2224</v>
      </c>
      <c r="G783" s="223">
        <v>1080</v>
      </c>
      <c r="H783" s="341" t="s">
        <v>8324</v>
      </c>
      <c r="I783" s="219"/>
    </row>
    <row r="784" spans="1:9" s="230" customFormat="1">
      <c r="A784" s="542">
        <f>A783+1</f>
        <v>774</v>
      </c>
      <c r="B784" s="317" t="s">
        <v>2470</v>
      </c>
      <c r="C784" s="221" t="s">
        <v>5603</v>
      </c>
      <c r="D784" s="240" t="s">
        <v>5533</v>
      </c>
      <c r="E784" s="285" t="s">
        <v>433</v>
      </c>
      <c r="F784" s="498" t="s">
        <v>2465</v>
      </c>
      <c r="G784" s="327">
        <v>1383</v>
      </c>
      <c r="H784" s="341" t="s">
        <v>8325</v>
      </c>
      <c r="I784" s="219"/>
    </row>
    <row r="785" spans="1:9" s="230" customFormat="1">
      <c r="A785" s="542">
        <f t="shared" ref="A785:A814" si="14">A784+1</f>
        <v>775</v>
      </c>
      <c r="B785" s="317" t="s">
        <v>1246</v>
      </c>
      <c r="C785" s="221" t="s">
        <v>5603</v>
      </c>
      <c r="D785" s="240" t="s">
        <v>5533</v>
      </c>
      <c r="E785" s="285" t="s">
        <v>433</v>
      </c>
      <c r="F785" s="498" t="s">
        <v>407</v>
      </c>
      <c r="G785" s="328">
        <v>295</v>
      </c>
      <c r="H785" s="341" t="s">
        <v>8306</v>
      </c>
      <c r="I785" s="219"/>
    </row>
    <row r="786" spans="1:9" s="230" customFormat="1">
      <c r="A786" s="542">
        <f t="shared" si="14"/>
        <v>776</v>
      </c>
      <c r="B786" s="224" t="s">
        <v>2469</v>
      </c>
      <c r="C786" s="221" t="s">
        <v>5603</v>
      </c>
      <c r="D786" s="240" t="s">
        <v>5533</v>
      </c>
      <c r="E786" s="231" t="s">
        <v>433</v>
      </c>
      <c r="F786" s="231" t="s">
        <v>407</v>
      </c>
      <c r="G786" s="223">
        <v>1376</v>
      </c>
      <c r="H786" s="341" t="s">
        <v>8326</v>
      </c>
      <c r="I786" s="219"/>
    </row>
    <row r="787" spans="1:9" s="230" customFormat="1">
      <c r="A787" s="542">
        <f t="shared" si="14"/>
        <v>777</v>
      </c>
      <c r="B787" s="317" t="s">
        <v>5786</v>
      </c>
      <c r="C787" s="221" t="s">
        <v>5603</v>
      </c>
      <c r="D787" s="240" t="s">
        <v>5533</v>
      </c>
      <c r="E787" s="285" t="s">
        <v>433</v>
      </c>
      <c r="F787" s="498" t="s">
        <v>2465</v>
      </c>
      <c r="G787" s="327">
        <v>1816</v>
      </c>
      <c r="H787" s="341" t="s">
        <v>8327</v>
      </c>
      <c r="I787" s="219"/>
    </row>
    <row r="788" spans="1:9" s="230" customFormat="1">
      <c r="A788" s="542">
        <f t="shared" si="14"/>
        <v>778</v>
      </c>
      <c r="B788" s="224" t="s">
        <v>5787</v>
      </c>
      <c r="C788" s="221" t="s">
        <v>5603</v>
      </c>
      <c r="D788" s="240" t="s">
        <v>5533</v>
      </c>
      <c r="E788" s="231" t="s">
        <v>5786</v>
      </c>
      <c r="F788" s="231" t="s">
        <v>407</v>
      </c>
      <c r="G788" s="223">
        <v>1135</v>
      </c>
      <c r="H788" s="341" t="s">
        <v>8328</v>
      </c>
      <c r="I788" s="219"/>
    </row>
    <row r="789" spans="1:9" s="230" customFormat="1">
      <c r="A789" s="542">
        <f t="shared" si="14"/>
        <v>779</v>
      </c>
      <c r="B789" s="224" t="s">
        <v>2466</v>
      </c>
      <c r="C789" s="221" t="s">
        <v>5603</v>
      </c>
      <c r="D789" s="240" t="s">
        <v>5533</v>
      </c>
      <c r="E789" s="231" t="s">
        <v>433</v>
      </c>
      <c r="F789" s="231" t="s">
        <v>2467</v>
      </c>
      <c r="G789" s="223">
        <v>3042</v>
      </c>
      <c r="H789" s="341" t="s">
        <v>8329</v>
      </c>
      <c r="I789" s="219"/>
    </row>
    <row r="790" spans="1:9" s="230" customFormat="1">
      <c r="A790" s="542">
        <f t="shared" si="14"/>
        <v>780</v>
      </c>
      <c r="B790" s="317" t="s">
        <v>2464</v>
      </c>
      <c r="C790" s="221" t="s">
        <v>5603</v>
      </c>
      <c r="D790" s="240" t="s">
        <v>5533</v>
      </c>
      <c r="E790" s="285" t="s">
        <v>433</v>
      </c>
      <c r="F790" s="498" t="s">
        <v>2465</v>
      </c>
      <c r="G790" s="320">
        <v>2200</v>
      </c>
      <c r="H790" s="341" t="s">
        <v>8330</v>
      </c>
      <c r="I790" s="219"/>
    </row>
    <row r="791" spans="1:9" s="230" customFormat="1">
      <c r="A791" s="542">
        <f t="shared" si="14"/>
        <v>781</v>
      </c>
      <c r="B791" s="317" t="s">
        <v>2445</v>
      </c>
      <c r="C791" s="221" t="s">
        <v>5603</v>
      </c>
      <c r="D791" s="240" t="s">
        <v>5533</v>
      </c>
      <c r="E791" s="285" t="s">
        <v>433</v>
      </c>
      <c r="F791" s="498" t="s">
        <v>407</v>
      </c>
      <c r="G791" s="320">
        <v>2100</v>
      </c>
      <c r="H791" s="341" t="s">
        <v>8331</v>
      </c>
      <c r="I791" s="219"/>
    </row>
    <row r="792" spans="1:9" s="230" customFormat="1">
      <c r="A792" s="542">
        <f t="shared" si="14"/>
        <v>782</v>
      </c>
      <c r="B792" s="224" t="s">
        <v>5788</v>
      </c>
      <c r="C792" s="221" t="s">
        <v>5603</v>
      </c>
      <c r="D792" s="240" t="s">
        <v>5533</v>
      </c>
      <c r="E792" s="231" t="s">
        <v>433</v>
      </c>
      <c r="F792" s="231" t="s">
        <v>407</v>
      </c>
      <c r="G792" s="223">
        <v>1506</v>
      </c>
      <c r="H792" s="341" t="s">
        <v>8308</v>
      </c>
      <c r="I792" s="219"/>
    </row>
    <row r="793" spans="1:9" s="230" customFormat="1">
      <c r="A793" s="542">
        <f t="shared" si="14"/>
        <v>783</v>
      </c>
      <c r="B793" s="242" t="s">
        <v>2250</v>
      </c>
      <c r="C793" s="221" t="s">
        <v>5603</v>
      </c>
      <c r="D793" s="240" t="s">
        <v>5533</v>
      </c>
      <c r="E793" s="231" t="s">
        <v>433</v>
      </c>
      <c r="F793" s="231" t="s">
        <v>407</v>
      </c>
      <c r="G793" s="223">
        <v>306</v>
      </c>
      <c r="H793" s="435" t="s">
        <v>8369</v>
      </c>
      <c r="I793" s="219"/>
    </row>
    <row r="794" spans="1:9" s="230" customFormat="1">
      <c r="A794" s="542">
        <f t="shared" si="14"/>
        <v>784</v>
      </c>
      <c r="B794" s="242" t="s">
        <v>1187</v>
      </c>
      <c r="C794" s="221" t="s">
        <v>5603</v>
      </c>
      <c r="D794" s="240" t="s">
        <v>5533</v>
      </c>
      <c r="E794" s="231" t="s">
        <v>433</v>
      </c>
      <c r="F794" s="231" t="s">
        <v>407</v>
      </c>
      <c r="G794" s="223">
        <v>263</v>
      </c>
      <c r="H794" s="435" t="s">
        <v>8370</v>
      </c>
      <c r="I794" s="219"/>
    </row>
    <row r="795" spans="1:9" s="230" customFormat="1">
      <c r="A795" s="542">
        <f t="shared" si="14"/>
        <v>785</v>
      </c>
      <c r="B795" s="242" t="s">
        <v>1188</v>
      </c>
      <c r="C795" s="221" t="s">
        <v>5603</v>
      </c>
      <c r="D795" s="240" t="s">
        <v>5533</v>
      </c>
      <c r="E795" s="231" t="s">
        <v>433</v>
      </c>
      <c r="F795" s="231" t="s">
        <v>407</v>
      </c>
      <c r="G795" s="223">
        <v>292</v>
      </c>
      <c r="H795" s="435" t="s">
        <v>195</v>
      </c>
      <c r="I795" s="219"/>
    </row>
    <row r="796" spans="1:9" s="230" customFormat="1">
      <c r="A796" s="542">
        <f t="shared" si="14"/>
        <v>786</v>
      </c>
      <c r="B796" s="242" t="s">
        <v>1189</v>
      </c>
      <c r="C796" s="221" t="s">
        <v>5603</v>
      </c>
      <c r="D796" s="240" t="s">
        <v>5533</v>
      </c>
      <c r="E796" s="231" t="s">
        <v>433</v>
      </c>
      <c r="F796" s="231" t="s">
        <v>407</v>
      </c>
      <c r="G796" s="223">
        <v>880</v>
      </c>
      <c r="H796" s="435" t="s">
        <v>8371</v>
      </c>
      <c r="I796" s="219"/>
    </row>
    <row r="797" spans="1:9" s="230" customFormat="1">
      <c r="A797" s="542">
        <f t="shared" si="14"/>
        <v>787</v>
      </c>
      <c r="B797" s="242" t="s">
        <v>1190</v>
      </c>
      <c r="C797" s="221" t="s">
        <v>5603</v>
      </c>
      <c r="D797" s="240" t="s">
        <v>5533</v>
      </c>
      <c r="E797" s="231" t="s">
        <v>433</v>
      </c>
      <c r="F797" s="231" t="s">
        <v>407</v>
      </c>
      <c r="G797" s="223">
        <v>185</v>
      </c>
      <c r="H797" s="435" t="s">
        <v>8372</v>
      </c>
      <c r="I797" s="219"/>
    </row>
    <row r="798" spans="1:9" s="230" customFormat="1">
      <c r="A798" s="542">
        <f t="shared" si="14"/>
        <v>788</v>
      </c>
      <c r="B798" s="242" t="s">
        <v>1191</v>
      </c>
      <c r="C798" s="221" t="s">
        <v>5603</v>
      </c>
      <c r="D798" s="240" t="s">
        <v>5533</v>
      </c>
      <c r="E798" s="231" t="s">
        <v>433</v>
      </c>
      <c r="F798" s="231" t="s">
        <v>407</v>
      </c>
      <c r="G798" s="223">
        <v>903</v>
      </c>
      <c r="H798" s="435" t="s">
        <v>8373</v>
      </c>
      <c r="I798" s="219"/>
    </row>
    <row r="799" spans="1:9" s="230" customFormat="1">
      <c r="A799" s="542">
        <f t="shared" si="14"/>
        <v>789</v>
      </c>
      <c r="B799" s="242" t="s">
        <v>1438</v>
      </c>
      <c r="C799" s="221" t="s">
        <v>5603</v>
      </c>
      <c r="D799" s="240" t="s">
        <v>5533</v>
      </c>
      <c r="E799" s="231" t="s">
        <v>433</v>
      </c>
      <c r="F799" s="231" t="s">
        <v>407</v>
      </c>
      <c r="G799" s="223">
        <v>566</v>
      </c>
      <c r="H799" s="435" t="s">
        <v>8374</v>
      </c>
      <c r="I799" s="219"/>
    </row>
    <row r="800" spans="1:9" s="230" customFormat="1">
      <c r="A800" s="542">
        <f t="shared" si="14"/>
        <v>790</v>
      </c>
      <c r="B800" s="242" t="s">
        <v>1447</v>
      </c>
      <c r="C800" s="221" t="s">
        <v>5603</v>
      </c>
      <c r="D800" s="240" t="s">
        <v>5533</v>
      </c>
      <c r="E800" s="231" t="s">
        <v>433</v>
      </c>
      <c r="F800" s="231" t="s">
        <v>407</v>
      </c>
      <c r="G800" s="223">
        <v>866</v>
      </c>
      <c r="H800" s="435" t="s">
        <v>8373</v>
      </c>
      <c r="I800" s="219"/>
    </row>
    <row r="801" spans="1:9" s="230" customFormat="1">
      <c r="A801" s="542">
        <f t="shared" si="14"/>
        <v>791</v>
      </c>
      <c r="B801" s="242" t="s">
        <v>2300</v>
      </c>
      <c r="C801" s="221" t="s">
        <v>5603</v>
      </c>
      <c r="D801" s="240" t="s">
        <v>5533</v>
      </c>
      <c r="E801" s="231" t="s">
        <v>433</v>
      </c>
      <c r="F801" s="231" t="s">
        <v>407</v>
      </c>
      <c r="G801" s="223">
        <v>711</v>
      </c>
      <c r="H801" s="435" t="s">
        <v>8374</v>
      </c>
      <c r="I801" s="219"/>
    </row>
    <row r="802" spans="1:9" s="230" customFormat="1">
      <c r="A802" s="542">
        <f t="shared" si="14"/>
        <v>792</v>
      </c>
      <c r="B802" s="242" t="s">
        <v>2306</v>
      </c>
      <c r="C802" s="221" t="s">
        <v>5603</v>
      </c>
      <c r="D802" s="240" t="s">
        <v>5533</v>
      </c>
      <c r="E802" s="231" t="s">
        <v>433</v>
      </c>
      <c r="F802" s="231" t="s">
        <v>407</v>
      </c>
      <c r="G802" s="223">
        <v>274</v>
      </c>
      <c r="H802" s="435" t="s">
        <v>195</v>
      </c>
      <c r="I802" s="219"/>
    </row>
    <row r="803" spans="1:9" s="230" customFormat="1">
      <c r="A803" s="542">
        <f t="shared" si="14"/>
        <v>793</v>
      </c>
      <c r="B803" s="242" t="s">
        <v>2310</v>
      </c>
      <c r="C803" s="221" t="s">
        <v>5603</v>
      </c>
      <c r="D803" s="240" t="s">
        <v>5533</v>
      </c>
      <c r="E803" s="231" t="s">
        <v>433</v>
      </c>
      <c r="F803" s="231" t="s">
        <v>407</v>
      </c>
      <c r="G803" s="223">
        <v>320</v>
      </c>
      <c r="H803" s="435" t="s">
        <v>195</v>
      </c>
      <c r="I803" s="219"/>
    </row>
    <row r="804" spans="1:9" s="230" customFormat="1">
      <c r="A804" s="542">
        <f t="shared" si="14"/>
        <v>794</v>
      </c>
      <c r="B804" s="242" t="s">
        <v>2314</v>
      </c>
      <c r="C804" s="221" t="s">
        <v>5603</v>
      </c>
      <c r="D804" s="240" t="s">
        <v>5533</v>
      </c>
      <c r="E804" s="231" t="s">
        <v>433</v>
      </c>
      <c r="F804" s="231" t="s">
        <v>407</v>
      </c>
      <c r="G804" s="223">
        <v>295</v>
      </c>
      <c r="H804" s="435" t="s">
        <v>8375</v>
      </c>
      <c r="I804" s="219"/>
    </row>
    <row r="805" spans="1:9" s="230" customFormat="1">
      <c r="A805" s="542">
        <f t="shared" si="14"/>
        <v>795</v>
      </c>
      <c r="B805" s="242" t="s">
        <v>2317</v>
      </c>
      <c r="C805" s="221" t="s">
        <v>5603</v>
      </c>
      <c r="D805" s="240" t="s">
        <v>5533</v>
      </c>
      <c r="E805" s="231" t="s">
        <v>433</v>
      </c>
      <c r="F805" s="231" t="s">
        <v>407</v>
      </c>
      <c r="G805" s="223">
        <v>576</v>
      </c>
      <c r="H805" s="435" t="s">
        <v>8376</v>
      </c>
      <c r="I805" s="219"/>
    </row>
    <row r="806" spans="1:9" s="230" customFormat="1">
      <c r="A806" s="542">
        <f t="shared" si="14"/>
        <v>796</v>
      </c>
      <c r="B806" s="242" t="s">
        <v>2323</v>
      </c>
      <c r="C806" s="221" t="s">
        <v>5603</v>
      </c>
      <c r="D806" s="240" t="s">
        <v>5533</v>
      </c>
      <c r="E806" s="231" t="s">
        <v>433</v>
      </c>
      <c r="F806" s="231" t="s">
        <v>407</v>
      </c>
      <c r="G806" s="223">
        <v>860</v>
      </c>
      <c r="H806" s="435" t="s">
        <v>8377</v>
      </c>
      <c r="I806" s="219"/>
    </row>
    <row r="807" spans="1:9" s="230" customFormat="1">
      <c r="A807" s="542">
        <f t="shared" si="14"/>
        <v>797</v>
      </c>
      <c r="B807" s="242" t="s">
        <v>2329</v>
      </c>
      <c r="C807" s="221" t="s">
        <v>5603</v>
      </c>
      <c r="D807" s="240" t="s">
        <v>5533</v>
      </c>
      <c r="E807" s="231" t="s">
        <v>433</v>
      </c>
      <c r="F807" s="231" t="s">
        <v>407</v>
      </c>
      <c r="G807" s="223">
        <v>1050</v>
      </c>
      <c r="H807" s="435" t="s">
        <v>8378</v>
      </c>
      <c r="I807" s="219"/>
    </row>
    <row r="808" spans="1:9" s="230" customFormat="1">
      <c r="A808" s="542">
        <f t="shared" si="14"/>
        <v>798</v>
      </c>
      <c r="B808" s="242" t="s">
        <v>2327</v>
      </c>
      <c r="C808" s="221" t="s">
        <v>5603</v>
      </c>
      <c r="D808" s="240" t="s">
        <v>5533</v>
      </c>
      <c r="E808" s="231" t="s">
        <v>433</v>
      </c>
      <c r="F808" s="231" t="s">
        <v>407</v>
      </c>
      <c r="G808" s="223">
        <v>216</v>
      </c>
      <c r="H808" s="435" t="s">
        <v>194</v>
      </c>
      <c r="I808" s="219"/>
    </row>
    <row r="809" spans="1:9" s="230" customFormat="1">
      <c r="A809" s="542">
        <f t="shared" si="14"/>
        <v>799</v>
      </c>
      <c r="B809" s="242" t="s">
        <v>5789</v>
      </c>
      <c r="C809" s="221" t="s">
        <v>5603</v>
      </c>
      <c r="D809" s="240" t="s">
        <v>5533</v>
      </c>
      <c r="E809" s="231" t="s">
        <v>433</v>
      </c>
      <c r="F809" s="231" t="s">
        <v>407</v>
      </c>
      <c r="G809" s="223">
        <v>381</v>
      </c>
      <c r="H809" s="435" t="s">
        <v>194</v>
      </c>
      <c r="I809" s="219"/>
    </row>
    <row r="810" spans="1:9" s="230" customFormat="1">
      <c r="A810" s="542">
        <f t="shared" si="14"/>
        <v>800</v>
      </c>
      <c r="B810" s="242" t="s">
        <v>2333</v>
      </c>
      <c r="C810" s="221" t="s">
        <v>5603</v>
      </c>
      <c r="D810" s="240" t="s">
        <v>5533</v>
      </c>
      <c r="E810" s="231" t="s">
        <v>433</v>
      </c>
      <c r="F810" s="231" t="s">
        <v>407</v>
      </c>
      <c r="G810" s="223">
        <v>268</v>
      </c>
      <c r="H810" s="341" t="s">
        <v>194</v>
      </c>
      <c r="I810" s="219"/>
    </row>
    <row r="811" spans="1:9" s="230" customFormat="1">
      <c r="A811" s="542">
        <f t="shared" si="14"/>
        <v>801</v>
      </c>
      <c r="B811" s="242" t="s">
        <v>1254</v>
      </c>
      <c r="C811" s="221" t="s">
        <v>5603</v>
      </c>
      <c r="D811" s="240" t="s">
        <v>5533</v>
      </c>
      <c r="E811" s="231" t="s">
        <v>5790</v>
      </c>
      <c r="F811" s="231" t="s">
        <v>2470</v>
      </c>
      <c r="G811" s="223">
        <v>600</v>
      </c>
      <c r="H811" s="435" t="s">
        <v>201</v>
      </c>
      <c r="I811" s="219"/>
    </row>
    <row r="812" spans="1:9" s="230" customFormat="1">
      <c r="A812" s="542">
        <f t="shared" si="14"/>
        <v>802</v>
      </c>
      <c r="B812" s="242" t="s">
        <v>1288</v>
      </c>
      <c r="C812" s="221" t="s">
        <v>5603</v>
      </c>
      <c r="D812" s="240" t="s">
        <v>5533</v>
      </c>
      <c r="E812" s="231" t="s">
        <v>5786</v>
      </c>
      <c r="F812" s="231" t="s">
        <v>5791</v>
      </c>
      <c r="G812" s="223">
        <v>350</v>
      </c>
      <c r="H812" s="341">
        <v>3</v>
      </c>
      <c r="I812" s="219"/>
    </row>
    <row r="813" spans="1:9" s="230" customFormat="1">
      <c r="A813" s="542">
        <f t="shared" si="14"/>
        <v>803</v>
      </c>
      <c r="B813" s="242" t="s">
        <v>1429</v>
      </c>
      <c r="C813" s="221" t="s">
        <v>5603</v>
      </c>
      <c r="D813" s="240" t="s">
        <v>5533</v>
      </c>
      <c r="E813" s="231" t="s">
        <v>1190</v>
      </c>
      <c r="F813" s="231" t="s">
        <v>407</v>
      </c>
      <c r="G813" s="223">
        <v>155</v>
      </c>
      <c r="H813" s="435" t="s">
        <v>201</v>
      </c>
      <c r="I813" s="219"/>
    </row>
    <row r="814" spans="1:9" s="230" customFormat="1">
      <c r="A814" s="542">
        <f t="shared" si="14"/>
        <v>804</v>
      </c>
      <c r="B814" s="242" t="s">
        <v>5792</v>
      </c>
      <c r="C814" s="221" t="s">
        <v>5603</v>
      </c>
      <c r="D814" s="240" t="s">
        <v>5533</v>
      </c>
      <c r="E814" s="231" t="s">
        <v>1190</v>
      </c>
      <c r="F814" s="231" t="s">
        <v>407</v>
      </c>
      <c r="G814" s="223">
        <v>145</v>
      </c>
      <c r="H814" s="435" t="s">
        <v>201</v>
      </c>
      <c r="I814" s="219"/>
    </row>
    <row r="815" spans="1:9" s="230" customFormat="1">
      <c r="A815" s="502" t="s">
        <v>5130</v>
      </c>
      <c r="B815" s="515" t="s">
        <v>5793</v>
      </c>
      <c r="C815" s="381"/>
      <c r="D815" s="382"/>
      <c r="E815" s="391"/>
      <c r="F815" s="391"/>
      <c r="G815" s="384"/>
      <c r="H815" s="385"/>
      <c r="I815" s="386"/>
    </row>
    <row r="816" spans="1:9" s="230" customFormat="1">
      <c r="A816" s="542">
        <f>A814+1</f>
        <v>805</v>
      </c>
      <c r="B816" s="294" t="s">
        <v>2471</v>
      </c>
      <c r="C816" s="221" t="s">
        <v>5603</v>
      </c>
      <c r="D816" s="240" t="s">
        <v>5533</v>
      </c>
      <c r="E816" s="286" t="s">
        <v>2224</v>
      </c>
      <c r="F816" s="231" t="s">
        <v>433</v>
      </c>
      <c r="G816" s="329">
        <v>1800</v>
      </c>
      <c r="H816" s="343">
        <v>26.8</v>
      </c>
      <c r="I816" s="219"/>
    </row>
    <row r="817" spans="1:9" s="230" customFormat="1">
      <c r="A817" s="542">
        <f>A816+1</f>
        <v>806</v>
      </c>
      <c r="B817" s="294" t="s">
        <v>2429</v>
      </c>
      <c r="C817" s="221" t="s">
        <v>5794</v>
      </c>
      <c r="D817" s="240" t="s">
        <v>5533</v>
      </c>
      <c r="E817" s="286" t="s">
        <v>5795</v>
      </c>
      <c r="F817" s="231" t="s">
        <v>930</v>
      </c>
      <c r="G817" s="330">
        <v>3500</v>
      </c>
      <c r="H817" s="343" t="s">
        <v>8262</v>
      </c>
      <c r="I817" s="219"/>
    </row>
    <row r="818" spans="1:9" s="230" customFormat="1">
      <c r="A818" s="542">
        <f t="shared" ref="A818:A831" si="15">A817+1</f>
        <v>807</v>
      </c>
      <c r="B818" s="294" t="s">
        <v>2557</v>
      </c>
      <c r="C818" s="221" t="s">
        <v>5603</v>
      </c>
      <c r="D818" s="240" t="s">
        <v>5533</v>
      </c>
      <c r="E818" s="286" t="s">
        <v>5796</v>
      </c>
      <c r="F818" s="231" t="s">
        <v>407</v>
      </c>
      <c r="G818" s="330">
        <v>627</v>
      </c>
      <c r="H818" s="343">
        <v>24.5</v>
      </c>
      <c r="I818" s="219"/>
    </row>
    <row r="819" spans="1:9" s="230" customFormat="1">
      <c r="A819" s="542">
        <f t="shared" si="15"/>
        <v>808</v>
      </c>
      <c r="B819" s="294" t="s">
        <v>5797</v>
      </c>
      <c r="C819" s="221" t="s">
        <v>5603</v>
      </c>
      <c r="D819" s="240" t="s">
        <v>5533</v>
      </c>
      <c r="E819" s="286" t="s">
        <v>5796</v>
      </c>
      <c r="F819" s="231" t="s">
        <v>407</v>
      </c>
      <c r="G819" s="330">
        <v>725</v>
      </c>
      <c r="H819" s="343">
        <v>24.5</v>
      </c>
      <c r="I819" s="219"/>
    </row>
    <row r="820" spans="1:9" s="230" customFormat="1">
      <c r="A820" s="542">
        <f t="shared" si="15"/>
        <v>809</v>
      </c>
      <c r="B820" s="294" t="s">
        <v>540</v>
      </c>
      <c r="C820" s="221" t="s">
        <v>5603</v>
      </c>
      <c r="D820" s="240" t="s">
        <v>5533</v>
      </c>
      <c r="E820" s="286" t="s">
        <v>5796</v>
      </c>
      <c r="F820" s="231" t="s">
        <v>407</v>
      </c>
      <c r="G820" s="330">
        <v>317</v>
      </c>
      <c r="H820" s="343">
        <v>36.5</v>
      </c>
      <c r="I820" s="219"/>
    </row>
    <row r="821" spans="1:9" s="230" customFormat="1">
      <c r="A821" s="542">
        <f t="shared" si="15"/>
        <v>810</v>
      </c>
      <c r="B821" s="294" t="s">
        <v>5798</v>
      </c>
      <c r="C821" s="221" t="s">
        <v>5603</v>
      </c>
      <c r="D821" s="240" t="s">
        <v>5533</v>
      </c>
      <c r="E821" s="286" t="s">
        <v>5796</v>
      </c>
      <c r="F821" s="231" t="s">
        <v>407</v>
      </c>
      <c r="G821" s="330">
        <v>460</v>
      </c>
      <c r="H821" s="343">
        <v>28.5</v>
      </c>
      <c r="I821" s="219"/>
    </row>
    <row r="822" spans="1:9" s="230" customFormat="1">
      <c r="A822" s="542">
        <f t="shared" si="15"/>
        <v>811</v>
      </c>
      <c r="B822" s="294" t="s">
        <v>5799</v>
      </c>
      <c r="C822" s="221" t="s">
        <v>5603</v>
      </c>
      <c r="D822" s="240" t="s">
        <v>5533</v>
      </c>
      <c r="E822" s="286" t="s">
        <v>5796</v>
      </c>
      <c r="F822" s="231" t="s">
        <v>407</v>
      </c>
      <c r="G822" s="322">
        <v>563</v>
      </c>
      <c r="H822" s="343">
        <v>24.5</v>
      </c>
      <c r="I822" s="219"/>
    </row>
    <row r="823" spans="1:9" s="230" customFormat="1">
      <c r="A823" s="502" t="s">
        <v>5132</v>
      </c>
      <c r="B823" s="515" t="s">
        <v>5800</v>
      </c>
      <c r="C823" s="381"/>
      <c r="D823" s="382"/>
      <c r="E823" s="391"/>
      <c r="F823" s="391"/>
      <c r="G823" s="384"/>
      <c r="H823" s="385"/>
      <c r="I823" s="386"/>
    </row>
    <row r="824" spans="1:9" s="230" customFormat="1">
      <c r="A824" s="542">
        <f>A822+1</f>
        <v>812</v>
      </c>
      <c r="B824" s="294" t="s">
        <v>2821</v>
      </c>
      <c r="C824" s="221" t="s">
        <v>5603</v>
      </c>
      <c r="D824" s="240" t="s">
        <v>5533</v>
      </c>
      <c r="E824" s="286" t="s">
        <v>5796</v>
      </c>
      <c r="F824" s="231" t="s">
        <v>407</v>
      </c>
      <c r="G824" s="322">
        <v>408</v>
      </c>
      <c r="H824" s="343">
        <v>15</v>
      </c>
      <c r="I824" s="219"/>
    </row>
    <row r="825" spans="1:9" s="230" customFormat="1">
      <c r="A825" s="542">
        <f t="shared" si="15"/>
        <v>813</v>
      </c>
      <c r="B825" s="294" t="s">
        <v>5801</v>
      </c>
      <c r="C825" s="221" t="s">
        <v>5603</v>
      </c>
      <c r="D825" s="240" t="s">
        <v>5533</v>
      </c>
      <c r="E825" s="286" t="s">
        <v>5796</v>
      </c>
      <c r="F825" s="231" t="s">
        <v>407</v>
      </c>
      <c r="G825" s="322">
        <v>487</v>
      </c>
      <c r="H825" s="343">
        <v>12.5</v>
      </c>
      <c r="I825" s="219"/>
    </row>
    <row r="826" spans="1:9" s="230" customFormat="1">
      <c r="A826" s="542">
        <f t="shared" si="15"/>
        <v>814</v>
      </c>
      <c r="B826" s="294" t="s">
        <v>1047</v>
      </c>
      <c r="C826" s="221" t="s">
        <v>5603</v>
      </c>
      <c r="D826" s="240" t="s">
        <v>5533</v>
      </c>
      <c r="E826" s="286" t="s">
        <v>5796</v>
      </c>
      <c r="F826" s="231" t="s">
        <v>407</v>
      </c>
      <c r="G826" s="322">
        <v>509</v>
      </c>
      <c r="H826" s="343">
        <v>12.5</v>
      </c>
      <c r="I826" s="219"/>
    </row>
    <row r="827" spans="1:9" s="230" customFormat="1">
      <c r="A827" s="542">
        <f t="shared" si="15"/>
        <v>815</v>
      </c>
      <c r="B827" s="294" t="s">
        <v>2825</v>
      </c>
      <c r="C827" s="221" t="s">
        <v>5603</v>
      </c>
      <c r="D827" s="240" t="s">
        <v>5533</v>
      </c>
      <c r="E827" s="286" t="s">
        <v>5796</v>
      </c>
      <c r="F827" s="231" t="s">
        <v>407</v>
      </c>
      <c r="G827" s="322">
        <v>1071</v>
      </c>
      <c r="H827" s="343">
        <v>15</v>
      </c>
      <c r="I827" s="219"/>
    </row>
    <row r="828" spans="1:9" s="230" customFormat="1">
      <c r="A828" s="542">
        <f t="shared" si="15"/>
        <v>816</v>
      </c>
      <c r="B828" s="294" t="s">
        <v>2672</v>
      </c>
      <c r="C828" s="221" t="s">
        <v>5603</v>
      </c>
      <c r="D828" s="240" t="s">
        <v>5533</v>
      </c>
      <c r="E828" s="286" t="s">
        <v>5796</v>
      </c>
      <c r="F828" s="231" t="s">
        <v>407</v>
      </c>
      <c r="G828" s="322">
        <v>1022</v>
      </c>
      <c r="H828" s="343">
        <v>12.5</v>
      </c>
      <c r="I828" s="219"/>
    </row>
    <row r="829" spans="1:9" s="230" customFormat="1">
      <c r="A829" s="542">
        <f t="shared" si="15"/>
        <v>817</v>
      </c>
      <c r="B829" s="294" t="s">
        <v>2826</v>
      </c>
      <c r="C829" s="221" t="s">
        <v>5603</v>
      </c>
      <c r="D829" s="240" t="s">
        <v>5533</v>
      </c>
      <c r="E829" s="286" t="s">
        <v>5796</v>
      </c>
      <c r="F829" s="231" t="s">
        <v>407</v>
      </c>
      <c r="G829" s="322">
        <v>368</v>
      </c>
      <c r="H829" s="343">
        <v>12.5</v>
      </c>
      <c r="I829" s="219"/>
    </row>
    <row r="830" spans="1:9" s="230" customFormat="1">
      <c r="A830" s="542">
        <f t="shared" si="15"/>
        <v>818</v>
      </c>
      <c r="B830" s="294" t="s">
        <v>475</v>
      </c>
      <c r="C830" s="221" t="s">
        <v>5603</v>
      </c>
      <c r="D830" s="240" t="s">
        <v>5533</v>
      </c>
      <c r="E830" s="286" t="s">
        <v>5796</v>
      </c>
      <c r="F830" s="231" t="s">
        <v>407</v>
      </c>
      <c r="G830" s="322">
        <v>1335</v>
      </c>
      <c r="H830" s="343">
        <v>15</v>
      </c>
      <c r="I830" s="219"/>
    </row>
    <row r="831" spans="1:9" s="230" customFormat="1">
      <c r="A831" s="542">
        <f t="shared" si="15"/>
        <v>819</v>
      </c>
      <c r="B831" s="224" t="s">
        <v>2828</v>
      </c>
      <c r="C831" s="221" t="s">
        <v>5603</v>
      </c>
      <c r="D831" s="240" t="s">
        <v>5533</v>
      </c>
      <c r="E831" s="286" t="s">
        <v>5796</v>
      </c>
      <c r="F831" s="231" t="s">
        <v>407</v>
      </c>
      <c r="G831" s="331">
        <v>262</v>
      </c>
      <c r="H831" s="341">
        <v>12.5</v>
      </c>
      <c r="I831" s="219"/>
    </row>
    <row r="832" spans="1:9" s="230" customFormat="1">
      <c r="A832" s="502" t="s">
        <v>8114</v>
      </c>
      <c r="B832" s="515" t="s">
        <v>5803</v>
      </c>
      <c r="C832" s="381"/>
      <c r="D832" s="382"/>
      <c r="E832" s="391"/>
      <c r="F832" s="391"/>
      <c r="G832" s="384"/>
      <c r="H832" s="385"/>
      <c r="I832" s="386"/>
    </row>
    <row r="833" spans="1:9">
      <c r="A833" s="542">
        <f>A831+1</f>
        <v>820</v>
      </c>
      <c r="B833" s="224" t="s">
        <v>2454</v>
      </c>
      <c r="C833" s="221" t="s">
        <v>5066</v>
      </c>
      <c r="D833" s="240" t="s">
        <v>5533</v>
      </c>
      <c r="E833" s="222" t="s">
        <v>1115</v>
      </c>
      <c r="F833" s="222" t="s">
        <v>433</v>
      </c>
      <c r="G833" s="223">
        <v>4571</v>
      </c>
      <c r="H833" s="341" t="s">
        <v>8263</v>
      </c>
      <c r="I833" s="232"/>
    </row>
    <row r="834" spans="1:9">
      <c r="A834" s="542">
        <f t="shared" ref="A834:A838" si="16">A833+1</f>
        <v>821</v>
      </c>
      <c r="B834" s="242" t="s">
        <v>2986</v>
      </c>
      <c r="C834" s="221" t="s">
        <v>5066</v>
      </c>
      <c r="D834" s="240" t="s">
        <v>5533</v>
      </c>
      <c r="E834" s="222" t="s">
        <v>433</v>
      </c>
      <c r="F834" s="222" t="s">
        <v>2433</v>
      </c>
      <c r="G834" s="223">
        <v>3586</v>
      </c>
      <c r="H834" s="341" t="s">
        <v>8264</v>
      </c>
      <c r="I834" s="232"/>
    </row>
    <row r="835" spans="1:9">
      <c r="A835" s="542">
        <f t="shared" si="16"/>
        <v>822</v>
      </c>
      <c r="B835" s="242" t="s">
        <v>2437</v>
      </c>
      <c r="C835" s="221" t="s">
        <v>5066</v>
      </c>
      <c r="D835" s="240" t="s">
        <v>5533</v>
      </c>
      <c r="E835" s="222" t="s">
        <v>2454</v>
      </c>
      <c r="F835" s="222" t="s">
        <v>407</v>
      </c>
      <c r="G835" s="223">
        <v>325</v>
      </c>
      <c r="H835" s="341">
        <v>18</v>
      </c>
      <c r="I835" s="232"/>
    </row>
    <row r="836" spans="1:9">
      <c r="A836" s="542">
        <f t="shared" si="16"/>
        <v>823</v>
      </c>
      <c r="B836" s="242" t="s">
        <v>5804</v>
      </c>
      <c r="C836" s="221" t="s">
        <v>5066</v>
      </c>
      <c r="D836" s="240" t="s">
        <v>5533</v>
      </c>
      <c r="E836" s="222" t="s">
        <v>2454</v>
      </c>
      <c r="F836" s="222" t="s">
        <v>407</v>
      </c>
      <c r="G836" s="223">
        <v>204</v>
      </c>
      <c r="H836" s="341">
        <v>20</v>
      </c>
      <c r="I836" s="232"/>
    </row>
    <row r="837" spans="1:9">
      <c r="A837" s="542">
        <f t="shared" si="16"/>
        <v>824</v>
      </c>
      <c r="B837" s="224" t="s">
        <v>2341</v>
      </c>
      <c r="C837" s="221" t="s">
        <v>5805</v>
      </c>
      <c r="D837" s="240" t="s">
        <v>5533</v>
      </c>
      <c r="E837" s="222" t="s">
        <v>433</v>
      </c>
      <c r="F837" s="222" t="s">
        <v>3783</v>
      </c>
      <c r="G837" s="223">
        <v>3348</v>
      </c>
      <c r="H837" s="341" t="s">
        <v>8332</v>
      </c>
      <c r="I837" s="219"/>
    </row>
    <row r="838" spans="1:9">
      <c r="A838" s="542">
        <f t="shared" si="16"/>
        <v>825</v>
      </c>
      <c r="B838" s="224" t="s">
        <v>2344</v>
      </c>
      <c r="C838" s="221" t="s">
        <v>5066</v>
      </c>
      <c r="D838" s="240" t="s">
        <v>5533</v>
      </c>
      <c r="E838" s="222" t="s">
        <v>2453</v>
      </c>
      <c r="F838" s="222" t="s">
        <v>3783</v>
      </c>
      <c r="G838" s="223">
        <v>4232</v>
      </c>
      <c r="H838" s="341" t="s">
        <v>8333</v>
      </c>
      <c r="I838" s="219"/>
    </row>
    <row r="839" spans="1:9">
      <c r="A839" s="502" t="s">
        <v>8511</v>
      </c>
      <c r="B839" s="515" t="s">
        <v>5807</v>
      </c>
      <c r="C839" s="381"/>
      <c r="D839" s="382"/>
      <c r="E839" s="383"/>
      <c r="F839" s="383"/>
      <c r="G839" s="384"/>
      <c r="H839" s="385"/>
      <c r="I839" s="386"/>
    </row>
    <row r="840" spans="1:9">
      <c r="A840" s="542">
        <f>A838+1</f>
        <v>826</v>
      </c>
      <c r="B840" s="242" t="s">
        <v>2340</v>
      </c>
      <c r="C840" s="221" t="s">
        <v>5066</v>
      </c>
      <c r="D840" s="240" t="s">
        <v>5533</v>
      </c>
      <c r="E840" s="222" t="s">
        <v>2341</v>
      </c>
      <c r="F840" s="222" t="s">
        <v>407</v>
      </c>
      <c r="G840" s="223">
        <v>200</v>
      </c>
      <c r="H840" s="341" t="s">
        <v>8334</v>
      </c>
      <c r="I840" s="252"/>
    </row>
    <row r="841" spans="1:9">
      <c r="A841" s="542">
        <f>A840+1</f>
        <v>827</v>
      </c>
      <c r="B841" s="242" t="s">
        <v>1213</v>
      </c>
      <c r="C841" s="221" t="s">
        <v>5066</v>
      </c>
      <c r="D841" s="240" t="s">
        <v>5533</v>
      </c>
      <c r="E841" s="222" t="s">
        <v>2341</v>
      </c>
      <c r="F841" s="222" t="s">
        <v>407</v>
      </c>
      <c r="G841" s="223">
        <v>902</v>
      </c>
      <c r="H841" s="341" t="s">
        <v>8335</v>
      </c>
      <c r="I841" s="219"/>
    </row>
    <row r="842" spans="1:9">
      <c r="A842" s="542">
        <f t="shared" ref="A842:A855" si="17">A841+1</f>
        <v>828</v>
      </c>
      <c r="B842" s="242" t="s">
        <v>2342</v>
      </c>
      <c r="C842" s="221" t="s">
        <v>5066</v>
      </c>
      <c r="D842" s="240" t="s">
        <v>5533</v>
      </c>
      <c r="E842" s="222" t="s">
        <v>2341</v>
      </c>
      <c r="F842" s="222" t="s">
        <v>407</v>
      </c>
      <c r="G842" s="223">
        <v>622</v>
      </c>
      <c r="H842" s="341" t="s">
        <v>8336</v>
      </c>
      <c r="I842" s="219"/>
    </row>
    <row r="843" spans="1:9">
      <c r="A843" s="542">
        <f t="shared" si="17"/>
        <v>829</v>
      </c>
      <c r="B843" s="242" t="s">
        <v>2343</v>
      </c>
      <c r="C843" s="221" t="s">
        <v>5066</v>
      </c>
      <c r="D843" s="240" t="s">
        <v>5533</v>
      </c>
      <c r="E843" s="222" t="s">
        <v>2341</v>
      </c>
      <c r="F843" s="222" t="s">
        <v>407</v>
      </c>
      <c r="G843" s="223">
        <v>400</v>
      </c>
      <c r="H843" s="341" t="s">
        <v>8337</v>
      </c>
      <c r="I843" s="219"/>
    </row>
    <row r="844" spans="1:9">
      <c r="A844" s="542">
        <f t="shared" si="17"/>
        <v>830</v>
      </c>
      <c r="B844" s="242" t="s">
        <v>1216</v>
      </c>
      <c r="C844" s="221" t="s">
        <v>5066</v>
      </c>
      <c r="D844" s="240" t="s">
        <v>5533</v>
      </c>
      <c r="E844" s="222" t="s">
        <v>2341</v>
      </c>
      <c r="F844" s="222" t="s">
        <v>407</v>
      </c>
      <c r="G844" s="223">
        <v>1687</v>
      </c>
      <c r="H844" s="341" t="s">
        <v>8308</v>
      </c>
      <c r="I844" s="219"/>
    </row>
    <row r="845" spans="1:9">
      <c r="A845" s="542">
        <f t="shared" si="17"/>
        <v>831</v>
      </c>
      <c r="B845" s="242" t="s">
        <v>1224</v>
      </c>
      <c r="C845" s="221" t="s">
        <v>5066</v>
      </c>
      <c r="D845" s="240" t="s">
        <v>5533</v>
      </c>
      <c r="E845" s="222" t="s">
        <v>2344</v>
      </c>
      <c r="F845" s="222" t="s">
        <v>407</v>
      </c>
      <c r="G845" s="223">
        <v>700</v>
      </c>
      <c r="H845" s="341" t="s">
        <v>8338</v>
      </c>
      <c r="I845" s="252"/>
    </row>
    <row r="846" spans="1:9">
      <c r="A846" s="542">
        <f t="shared" si="17"/>
        <v>832</v>
      </c>
      <c r="B846" s="242" t="s">
        <v>2345</v>
      </c>
      <c r="C846" s="221" t="s">
        <v>5066</v>
      </c>
      <c r="D846" s="240" t="s">
        <v>5533</v>
      </c>
      <c r="E846" s="222" t="s">
        <v>2344</v>
      </c>
      <c r="F846" s="222" t="s">
        <v>407</v>
      </c>
      <c r="G846" s="223">
        <v>700</v>
      </c>
      <c r="H846" s="341" t="s">
        <v>8338</v>
      </c>
      <c r="I846" s="219"/>
    </row>
    <row r="847" spans="1:9">
      <c r="A847" s="542">
        <f t="shared" si="17"/>
        <v>833</v>
      </c>
      <c r="B847" s="242" t="s">
        <v>1225</v>
      </c>
      <c r="C847" s="221" t="s">
        <v>5066</v>
      </c>
      <c r="D847" s="240" t="s">
        <v>5533</v>
      </c>
      <c r="E847" s="222" t="s">
        <v>2344</v>
      </c>
      <c r="F847" s="222" t="s">
        <v>407</v>
      </c>
      <c r="G847" s="223">
        <v>213</v>
      </c>
      <c r="H847" s="341" t="s">
        <v>8338</v>
      </c>
      <c r="I847" s="219"/>
    </row>
    <row r="848" spans="1:9">
      <c r="A848" s="542">
        <f t="shared" si="17"/>
        <v>834</v>
      </c>
      <c r="B848" s="242" t="s">
        <v>2346</v>
      </c>
      <c r="C848" s="221" t="s">
        <v>5066</v>
      </c>
      <c r="D848" s="240" t="s">
        <v>5533</v>
      </c>
      <c r="E848" s="222" t="s">
        <v>2344</v>
      </c>
      <c r="F848" s="222" t="s">
        <v>407</v>
      </c>
      <c r="G848" s="223">
        <v>275</v>
      </c>
      <c r="H848" s="341">
        <v>30</v>
      </c>
      <c r="I848" s="219"/>
    </row>
    <row r="849" spans="1:9">
      <c r="A849" s="542">
        <f t="shared" si="17"/>
        <v>835</v>
      </c>
      <c r="B849" s="242" t="s">
        <v>5808</v>
      </c>
      <c r="C849" s="221" t="s">
        <v>5066</v>
      </c>
      <c r="D849" s="240" t="s">
        <v>5533</v>
      </c>
      <c r="E849" s="222" t="s">
        <v>2344</v>
      </c>
      <c r="F849" s="222" t="s">
        <v>407</v>
      </c>
      <c r="G849" s="223">
        <v>400</v>
      </c>
      <c r="H849" s="341" t="s">
        <v>8338</v>
      </c>
      <c r="I849" s="252"/>
    </row>
    <row r="850" spans="1:9">
      <c r="A850" s="542">
        <f t="shared" si="17"/>
        <v>836</v>
      </c>
      <c r="B850" s="242" t="s">
        <v>2347</v>
      </c>
      <c r="C850" s="221" t="s">
        <v>5066</v>
      </c>
      <c r="D850" s="240" t="s">
        <v>5533</v>
      </c>
      <c r="E850" s="222" t="s">
        <v>2344</v>
      </c>
      <c r="F850" s="222" t="s">
        <v>407</v>
      </c>
      <c r="G850" s="223">
        <v>600</v>
      </c>
      <c r="H850" s="341" t="s">
        <v>8338</v>
      </c>
      <c r="I850" s="219"/>
    </row>
    <row r="851" spans="1:9">
      <c r="A851" s="542">
        <f t="shared" si="17"/>
        <v>837</v>
      </c>
      <c r="B851" s="242" t="s">
        <v>1226</v>
      </c>
      <c r="C851" s="221" t="s">
        <v>5066</v>
      </c>
      <c r="D851" s="240" t="s">
        <v>5533</v>
      </c>
      <c r="E851" s="222" t="s">
        <v>2344</v>
      </c>
      <c r="F851" s="222" t="s">
        <v>407</v>
      </c>
      <c r="G851" s="223">
        <v>500</v>
      </c>
      <c r="H851" s="341">
        <v>12</v>
      </c>
      <c r="I851" s="219"/>
    </row>
    <row r="852" spans="1:9">
      <c r="A852" s="542">
        <f t="shared" si="17"/>
        <v>838</v>
      </c>
      <c r="B852" s="242" t="s">
        <v>5809</v>
      </c>
      <c r="C852" s="221" t="s">
        <v>5066</v>
      </c>
      <c r="D852" s="240" t="s">
        <v>5533</v>
      </c>
      <c r="E852" s="222" t="s">
        <v>2344</v>
      </c>
      <c r="F852" s="222" t="s">
        <v>407</v>
      </c>
      <c r="G852" s="223">
        <v>386</v>
      </c>
      <c r="H852" s="341" t="s">
        <v>8338</v>
      </c>
      <c r="I852" s="252"/>
    </row>
    <row r="853" spans="1:9">
      <c r="A853" s="542">
        <f t="shared" si="17"/>
        <v>839</v>
      </c>
      <c r="B853" s="242" t="s">
        <v>1227</v>
      </c>
      <c r="C853" s="221" t="s">
        <v>5066</v>
      </c>
      <c r="D853" s="240" t="s">
        <v>5533</v>
      </c>
      <c r="E853" s="222" t="s">
        <v>2344</v>
      </c>
      <c r="F853" s="222" t="s">
        <v>407</v>
      </c>
      <c r="G853" s="223">
        <v>270</v>
      </c>
      <c r="H853" s="341" t="s">
        <v>8339</v>
      </c>
      <c r="I853" s="219"/>
    </row>
    <row r="854" spans="1:9">
      <c r="A854" s="542">
        <f t="shared" si="17"/>
        <v>840</v>
      </c>
      <c r="B854" s="242" t="s">
        <v>2348</v>
      </c>
      <c r="C854" s="221" t="s">
        <v>5066</v>
      </c>
      <c r="D854" s="240" t="s">
        <v>5533</v>
      </c>
      <c r="E854" s="222" t="s">
        <v>2344</v>
      </c>
      <c r="F854" s="222" t="s">
        <v>407</v>
      </c>
      <c r="G854" s="223">
        <v>246</v>
      </c>
      <c r="H854" s="341" t="s">
        <v>8262</v>
      </c>
      <c r="I854" s="219"/>
    </row>
    <row r="855" spans="1:9">
      <c r="A855" s="542">
        <f t="shared" si="17"/>
        <v>841</v>
      </c>
      <c r="B855" s="242" t="s">
        <v>1228</v>
      </c>
      <c r="C855" s="221" t="s">
        <v>5066</v>
      </c>
      <c r="D855" s="240" t="s">
        <v>5533</v>
      </c>
      <c r="E855" s="222" t="s">
        <v>2344</v>
      </c>
      <c r="F855" s="222" t="s">
        <v>407</v>
      </c>
      <c r="G855" s="223">
        <v>317</v>
      </c>
      <c r="H855" s="341" t="s">
        <v>8340</v>
      </c>
      <c r="I855" s="219"/>
    </row>
    <row r="856" spans="1:9">
      <c r="A856" s="542">
        <f>A855+1</f>
        <v>842</v>
      </c>
      <c r="B856" s="242" t="s">
        <v>2349</v>
      </c>
      <c r="C856" s="221" t="s">
        <v>5066</v>
      </c>
      <c r="D856" s="240" t="s">
        <v>5533</v>
      </c>
      <c r="E856" s="222" t="s">
        <v>2344</v>
      </c>
      <c r="F856" s="222" t="s">
        <v>407</v>
      </c>
      <c r="G856" s="223">
        <v>300</v>
      </c>
      <c r="H856" s="341" t="s">
        <v>8341</v>
      </c>
      <c r="I856" s="219"/>
    </row>
    <row r="857" spans="1:9">
      <c r="A857" s="502" t="s">
        <v>5802</v>
      </c>
      <c r="B857" s="515" t="s">
        <v>5811</v>
      </c>
      <c r="C857" s="381"/>
      <c r="D857" s="382"/>
      <c r="E857" s="383"/>
      <c r="F857" s="383"/>
      <c r="G857" s="384"/>
      <c r="H857" s="385"/>
      <c r="I857" s="386"/>
    </row>
    <row r="858" spans="1:9">
      <c r="A858" s="542">
        <f>A856+1</f>
        <v>843</v>
      </c>
      <c r="B858" s="220" t="s">
        <v>2419</v>
      </c>
      <c r="C858" s="221" t="s">
        <v>5812</v>
      </c>
      <c r="D858" s="240" t="s">
        <v>5533</v>
      </c>
      <c r="E858" s="222" t="s">
        <v>433</v>
      </c>
      <c r="F858" s="222" t="s">
        <v>606</v>
      </c>
      <c r="G858" s="223">
        <v>4263</v>
      </c>
      <c r="H858" s="341" t="s">
        <v>8342</v>
      </c>
      <c r="I858" s="219"/>
    </row>
    <row r="859" spans="1:9">
      <c r="A859" s="542">
        <f>A858+1</f>
        <v>844</v>
      </c>
      <c r="B859" s="220" t="s">
        <v>2420</v>
      </c>
      <c r="C859" s="221" t="s">
        <v>5813</v>
      </c>
      <c r="D859" s="240" t="s">
        <v>5533</v>
      </c>
      <c r="E859" s="222" t="s">
        <v>433</v>
      </c>
      <c r="F859" s="222" t="s">
        <v>2422</v>
      </c>
      <c r="G859" s="223">
        <v>2370</v>
      </c>
      <c r="H859" s="341" t="s">
        <v>8343</v>
      </c>
      <c r="I859" s="219"/>
    </row>
    <row r="860" spans="1:9">
      <c r="A860" s="542">
        <f t="shared" ref="A860:A865" si="18">A859+1</f>
        <v>845</v>
      </c>
      <c r="B860" s="220" t="s">
        <v>2422</v>
      </c>
      <c r="C860" s="221" t="s">
        <v>5813</v>
      </c>
      <c r="D860" s="240" t="s">
        <v>5533</v>
      </c>
      <c r="E860" s="222" t="s">
        <v>2423</v>
      </c>
      <c r="F860" s="222" t="s">
        <v>2424</v>
      </c>
      <c r="G860" s="223">
        <v>1581</v>
      </c>
      <c r="H860" s="341" t="s">
        <v>8326</v>
      </c>
      <c r="I860" s="219"/>
    </row>
    <row r="861" spans="1:9">
      <c r="A861" s="542">
        <f t="shared" si="18"/>
        <v>846</v>
      </c>
      <c r="B861" s="220" t="s">
        <v>2447</v>
      </c>
      <c r="C861" s="221" t="s">
        <v>5067</v>
      </c>
      <c r="D861" s="240" t="s">
        <v>5533</v>
      </c>
      <c r="E861" s="222" t="s">
        <v>2434</v>
      </c>
      <c r="F861" s="222" t="s">
        <v>2449</v>
      </c>
      <c r="G861" s="223">
        <v>400</v>
      </c>
      <c r="H861" s="341" t="s">
        <v>8344</v>
      </c>
      <c r="I861" s="219"/>
    </row>
    <row r="862" spans="1:9">
      <c r="A862" s="542">
        <f t="shared" si="18"/>
        <v>847</v>
      </c>
      <c r="B862" s="220" t="s">
        <v>2449</v>
      </c>
      <c r="C862" s="221" t="s">
        <v>5067</v>
      </c>
      <c r="D862" s="240" t="s">
        <v>5533</v>
      </c>
      <c r="E862" s="222" t="s">
        <v>433</v>
      </c>
      <c r="F862" s="222" t="s">
        <v>1105</v>
      </c>
      <c r="G862" s="223">
        <v>3646</v>
      </c>
      <c r="H862" s="341" t="s">
        <v>8345</v>
      </c>
      <c r="I862" s="219"/>
    </row>
    <row r="863" spans="1:9" ht="31.5">
      <c r="A863" s="542">
        <f t="shared" si="18"/>
        <v>848</v>
      </c>
      <c r="B863" s="314" t="s">
        <v>5814</v>
      </c>
      <c r="C863" s="221" t="s">
        <v>5813</v>
      </c>
      <c r="D863" s="240" t="s">
        <v>5533</v>
      </c>
      <c r="E863" s="222" t="s">
        <v>5815</v>
      </c>
      <c r="F863" s="222" t="s">
        <v>5816</v>
      </c>
      <c r="G863" s="223">
        <v>8400</v>
      </c>
      <c r="H863" s="341" t="s">
        <v>8346</v>
      </c>
      <c r="I863" s="219"/>
    </row>
    <row r="864" spans="1:9" ht="31.5">
      <c r="A864" s="542">
        <f t="shared" si="18"/>
        <v>849</v>
      </c>
      <c r="B864" s="220" t="s">
        <v>5817</v>
      </c>
      <c r="C864" s="221" t="s">
        <v>5818</v>
      </c>
      <c r="D864" s="240" t="s">
        <v>5533</v>
      </c>
      <c r="E864" s="222" t="s">
        <v>433</v>
      </c>
      <c r="F864" s="222" t="s">
        <v>600</v>
      </c>
      <c r="G864" s="223">
        <v>2000</v>
      </c>
      <c r="H864" s="341" t="s">
        <v>8347</v>
      </c>
      <c r="I864" s="219"/>
    </row>
    <row r="865" spans="1:9">
      <c r="A865" s="542">
        <f t="shared" si="18"/>
        <v>850</v>
      </c>
      <c r="B865" s="220" t="s">
        <v>2423</v>
      </c>
      <c r="C865" s="221" t="s">
        <v>5068</v>
      </c>
      <c r="D865" s="240" t="s">
        <v>5533</v>
      </c>
      <c r="E865" s="222" t="s">
        <v>433</v>
      </c>
      <c r="F865" s="222" t="s">
        <v>600</v>
      </c>
      <c r="G865" s="223">
        <v>1522</v>
      </c>
      <c r="H865" s="341" t="s">
        <v>8348</v>
      </c>
      <c r="I865" s="219"/>
    </row>
    <row r="866" spans="1:9">
      <c r="A866" s="502" t="s">
        <v>5806</v>
      </c>
      <c r="B866" s="515" t="s">
        <v>5819</v>
      </c>
      <c r="C866" s="381"/>
      <c r="D866" s="382"/>
      <c r="E866" s="383"/>
      <c r="F866" s="383"/>
      <c r="G866" s="384"/>
      <c r="H866" s="385"/>
      <c r="I866" s="386"/>
    </row>
    <row r="867" spans="1:9" ht="31.5">
      <c r="A867" s="542">
        <f>A865+1</f>
        <v>851</v>
      </c>
      <c r="B867" s="220" t="s">
        <v>1150</v>
      </c>
      <c r="C867" s="252" t="s">
        <v>5820</v>
      </c>
      <c r="D867" s="240" t="s">
        <v>5533</v>
      </c>
      <c r="E867" s="222" t="s">
        <v>5821</v>
      </c>
      <c r="F867" s="222" t="s">
        <v>1152</v>
      </c>
      <c r="G867" s="223">
        <v>3781</v>
      </c>
      <c r="H867" s="341" t="s">
        <v>8349</v>
      </c>
      <c r="I867" s="332"/>
    </row>
    <row r="868" spans="1:9">
      <c r="A868" s="502" t="s">
        <v>5810</v>
      </c>
      <c r="B868" s="515" t="s">
        <v>5822</v>
      </c>
      <c r="C868" s="381"/>
      <c r="D868" s="382"/>
      <c r="E868" s="383"/>
      <c r="F868" s="383"/>
      <c r="G868" s="384"/>
      <c r="H868" s="385"/>
      <c r="I868" s="386"/>
    </row>
    <row r="869" spans="1:9" ht="47.25">
      <c r="A869" s="542">
        <f>A867+1</f>
        <v>852</v>
      </c>
      <c r="B869" s="220" t="s">
        <v>3605</v>
      </c>
      <c r="C869" s="252" t="s">
        <v>5823</v>
      </c>
      <c r="D869" s="240" t="s">
        <v>5533</v>
      </c>
      <c r="E869" s="222" t="s">
        <v>1102</v>
      </c>
      <c r="F869" s="222" t="s">
        <v>597</v>
      </c>
      <c r="G869" s="320">
        <v>9266</v>
      </c>
      <c r="H869" s="345" t="s">
        <v>8350</v>
      </c>
      <c r="I869" s="243"/>
    </row>
    <row r="870" spans="1:9">
      <c r="A870" s="503" t="s">
        <v>7354</v>
      </c>
      <c r="B870" s="773" t="s">
        <v>5286</v>
      </c>
      <c r="C870" s="773"/>
      <c r="D870" s="773"/>
      <c r="E870" s="503"/>
      <c r="F870" s="503"/>
      <c r="G870" s="479">
        <f>G871+G873+G879+G885+G887+G889+G892</f>
        <v>64030</v>
      </c>
      <c r="H870" s="379"/>
      <c r="I870" s="503"/>
    </row>
    <row r="871" spans="1:9">
      <c r="A871" s="503" t="s">
        <v>1110</v>
      </c>
      <c r="B871" s="501" t="s">
        <v>5850</v>
      </c>
      <c r="C871" s="503"/>
      <c r="D871" s="503"/>
      <c r="E871" s="503"/>
      <c r="F871" s="503"/>
      <c r="G871" s="479">
        <f>G872</f>
        <v>5200</v>
      </c>
      <c r="H871" s="379"/>
      <c r="I871" s="503"/>
    </row>
    <row r="872" spans="1:9" ht="31.5">
      <c r="A872" s="235">
        <v>853</v>
      </c>
      <c r="B872" s="294" t="s">
        <v>5851</v>
      </c>
      <c r="C872" s="500" t="s">
        <v>5852</v>
      </c>
      <c r="D872" s="500" t="s">
        <v>5533</v>
      </c>
      <c r="E872" s="225" t="s">
        <v>5853</v>
      </c>
      <c r="F872" s="500" t="s">
        <v>433</v>
      </c>
      <c r="G872" s="327">
        <f>5200</f>
        <v>5200</v>
      </c>
      <c r="H872" s="343" t="s">
        <v>9066</v>
      </c>
      <c r="I872" s="500"/>
    </row>
    <row r="873" spans="1:9" ht="31.5">
      <c r="A873" s="503" t="s">
        <v>1114</v>
      </c>
      <c r="B873" s="501" t="s">
        <v>5854</v>
      </c>
      <c r="C873" s="392"/>
      <c r="D873" s="392"/>
      <c r="E873" s="393"/>
      <c r="F873" s="392"/>
      <c r="G873" s="479">
        <f>SUM(G874:G878)</f>
        <v>6900</v>
      </c>
      <c r="H873" s="394"/>
      <c r="I873" s="503"/>
    </row>
    <row r="874" spans="1:9" ht="31.5">
      <c r="A874" s="235">
        <v>854</v>
      </c>
      <c r="B874" s="294" t="s">
        <v>5855</v>
      </c>
      <c r="C874" s="768" t="s">
        <v>5856</v>
      </c>
      <c r="D874" s="768" t="s">
        <v>5533</v>
      </c>
      <c r="E874" s="225" t="s">
        <v>5857</v>
      </c>
      <c r="F874" s="500" t="s">
        <v>5857</v>
      </c>
      <c r="G874" s="327">
        <v>1750</v>
      </c>
      <c r="H874" s="343">
        <v>1</v>
      </c>
      <c r="I874" s="500"/>
    </row>
    <row r="875" spans="1:9" ht="18.75">
      <c r="A875" s="235">
        <v>855</v>
      </c>
      <c r="B875" s="294" t="s">
        <v>5858</v>
      </c>
      <c r="C875" s="768"/>
      <c r="D875" s="768"/>
      <c r="E875" s="225" t="s">
        <v>5859</v>
      </c>
      <c r="F875" s="500" t="s">
        <v>5860</v>
      </c>
      <c r="G875" s="327">
        <v>2600</v>
      </c>
      <c r="H875" s="343" t="s">
        <v>8265</v>
      </c>
      <c r="I875" s="500"/>
    </row>
    <row r="876" spans="1:9" ht="18.75">
      <c r="A876" s="235">
        <v>856</v>
      </c>
      <c r="B876" s="294" t="s">
        <v>5861</v>
      </c>
      <c r="C876" s="768"/>
      <c r="D876" s="768"/>
      <c r="E876" s="225" t="s">
        <v>5862</v>
      </c>
      <c r="F876" s="500" t="s">
        <v>5863</v>
      </c>
      <c r="G876" s="327">
        <v>970</v>
      </c>
      <c r="H876" s="343" t="s">
        <v>9067</v>
      </c>
      <c r="I876" s="500"/>
    </row>
    <row r="877" spans="1:9" ht="31.5">
      <c r="A877" s="235">
        <v>857</v>
      </c>
      <c r="B877" s="294" t="s">
        <v>5864</v>
      </c>
      <c r="C877" s="768"/>
      <c r="D877" s="768"/>
      <c r="E877" s="225" t="s">
        <v>5859</v>
      </c>
      <c r="F877" s="500" t="s">
        <v>5865</v>
      </c>
      <c r="G877" s="327">
        <v>450</v>
      </c>
      <c r="H877" s="343">
        <v>0.8</v>
      </c>
      <c r="I877" s="500"/>
    </row>
    <row r="878" spans="1:9" ht="31.5">
      <c r="A878" s="235">
        <v>858</v>
      </c>
      <c r="B878" s="294" t="s">
        <v>5866</v>
      </c>
      <c r="C878" s="768"/>
      <c r="D878" s="768"/>
      <c r="E878" s="225" t="s">
        <v>5859</v>
      </c>
      <c r="F878" s="500" t="s">
        <v>5865</v>
      </c>
      <c r="G878" s="327">
        <v>1130</v>
      </c>
      <c r="H878" s="343">
        <v>0.8</v>
      </c>
      <c r="I878" s="500"/>
    </row>
    <row r="879" spans="1:9">
      <c r="A879" s="395" t="s">
        <v>1118</v>
      </c>
      <c r="B879" s="773" t="s">
        <v>5867</v>
      </c>
      <c r="C879" s="773"/>
      <c r="D879" s="392"/>
      <c r="E879" s="392"/>
      <c r="F879" s="392"/>
      <c r="G879" s="479">
        <f>G880+G881+G882+G883+G884</f>
        <v>5447</v>
      </c>
      <c r="H879" s="394"/>
      <c r="I879" s="392"/>
    </row>
    <row r="880" spans="1:9">
      <c r="A880" s="235">
        <v>859</v>
      </c>
      <c r="B880" s="294" t="s">
        <v>5868</v>
      </c>
      <c r="C880" s="768" t="s">
        <v>5083</v>
      </c>
      <c r="D880" s="768" t="s">
        <v>5533</v>
      </c>
      <c r="E880" s="225" t="s">
        <v>5869</v>
      </c>
      <c r="F880" s="500" t="s">
        <v>5870</v>
      </c>
      <c r="G880" s="330">
        <v>689</v>
      </c>
      <c r="H880" s="343">
        <v>25</v>
      </c>
      <c r="I880" s="500"/>
    </row>
    <row r="881" spans="1:9">
      <c r="A881" s="235">
        <v>860</v>
      </c>
      <c r="B881" s="294" t="s">
        <v>5871</v>
      </c>
      <c r="C881" s="768"/>
      <c r="D881" s="768"/>
      <c r="E881" s="225" t="s">
        <v>5872</v>
      </c>
      <c r="F881" s="500" t="s">
        <v>5873</v>
      </c>
      <c r="G881" s="330">
        <v>951</v>
      </c>
      <c r="H881" s="343" t="s">
        <v>9068</v>
      </c>
      <c r="I881" s="500"/>
    </row>
    <row r="882" spans="1:9">
      <c r="A882" s="235">
        <v>861</v>
      </c>
      <c r="B882" s="294" t="s">
        <v>5874</v>
      </c>
      <c r="C882" s="768"/>
      <c r="D882" s="768"/>
      <c r="E882" s="225" t="s">
        <v>5875</v>
      </c>
      <c r="F882" s="500" t="s">
        <v>5876</v>
      </c>
      <c r="G882" s="330">
        <v>950</v>
      </c>
      <c r="H882" s="343">
        <v>25</v>
      </c>
      <c r="I882" s="500"/>
    </row>
    <row r="883" spans="1:9" ht="31.5">
      <c r="A883" s="235">
        <v>862</v>
      </c>
      <c r="B883" s="294" t="s">
        <v>5877</v>
      </c>
      <c r="C883" s="768"/>
      <c r="D883" s="768"/>
      <c r="E883" s="225" t="s">
        <v>5878</v>
      </c>
      <c r="F883" s="500" t="s">
        <v>5879</v>
      </c>
      <c r="G883" s="330">
        <v>1657</v>
      </c>
      <c r="H883" s="343" t="s">
        <v>9069</v>
      </c>
      <c r="I883" s="500"/>
    </row>
    <row r="884" spans="1:9">
      <c r="A884" s="235">
        <v>863</v>
      </c>
      <c r="B884" s="294" t="s">
        <v>5880</v>
      </c>
      <c r="C884" s="768"/>
      <c r="D884" s="768"/>
      <c r="E884" s="225" t="s">
        <v>5879</v>
      </c>
      <c r="F884" s="500" t="s">
        <v>5881</v>
      </c>
      <c r="G884" s="329">
        <v>1200</v>
      </c>
      <c r="H884" s="343">
        <v>30</v>
      </c>
      <c r="I884" s="500"/>
    </row>
    <row r="885" spans="1:9" ht="20.25" customHeight="1">
      <c r="A885" s="395" t="s">
        <v>1116</v>
      </c>
      <c r="B885" s="773" t="s">
        <v>5882</v>
      </c>
      <c r="C885" s="773"/>
      <c r="D885" s="773"/>
      <c r="E885" s="773"/>
      <c r="F885" s="773"/>
      <c r="G885" s="480">
        <f>G886</f>
        <v>733</v>
      </c>
      <c r="H885" s="394"/>
      <c r="I885" s="392"/>
    </row>
    <row r="886" spans="1:9">
      <c r="A886" s="235">
        <v>864</v>
      </c>
      <c r="B886" s="294" t="s">
        <v>5883</v>
      </c>
      <c r="C886" s="500" t="s">
        <v>5884</v>
      </c>
      <c r="D886" s="500" t="s">
        <v>5533</v>
      </c>
      <c r="E886" s="225" t="s">
        <v>5885</v>
      </c>
      <c r="F886" s="500" t="s">
        <v>433</v>
      </c>
      <c r="G886" s="330">
        <v>733</v>
      </c>
      <c r="H886" s="343">
        <v>30</v>
      </c>
      <c r="I886" s="500"/>
    </row>
    <row r="887" spans="1:9">
      <c r="A887" s="396" t="s">
        <v>5130</v>
      </c>
      <c r="B887" s="397" t="s">
        <v>5886</v>
      </c>
      <c r="C887" s="398"/>
      <c r="D887" s="398"/>
      <c r="E887" s="399"/>
      <c r="F887" s="398"/>
      <c r="G887" s="476">
        <f>G888</f>
        <v>1250</v>
      </c>
      <c r="H887" s="385"/>
      <c r="I887" s="400"/>
    </row>
    <row r="888" spans="1:9" ht="47.25">
      <c r="A888" s="630">
        <v>865</v>
      </c>
      <c r="B888" s="359" t="s">
        <v>5887</v>
      </c>
      <c r="C888" s="504" t="s">
        <v>5888</v>
      </c>
      <c r="D888" s="357"/>
      <c r="E888" s="225" t="s">
        <v>5889</v>
      </c>
      <c r="F888" s="500" t="s">
        <v>5890</v>
      </c>
      <c r="G888" s="226">
        <v>1250</v>
      </c>
      <c r="H888" s="341"/>
      <c r="I888" s="504"/>
    </row>
    <row r="889" spans="1:9">
      <c r="A889" s="396" t="s">
        <v>5132</v>
      </c>
      <c r="B889" s="397" t="s">
        <v>5891</v>
      </c>
      <c r="C889" s="398"/>
      <c r="D889" s="398"/>
      <c r="E889" s="399"/>
      <c r="F889" s="398"/>
      <c r="G889" s="476">
        <f>G890+G891</f>
        <v>4500</v>
      </c>
      <c r="H889" s="385"/>
      <c r="I889" s="400"/>
    </row>
    <row r="890" spans="1:9" ht="31.5">
      <c r="A890" s="630">
        <v>866</v>
      </c>
      <c r="B890" s="359" t="s">
        <v>5892</v>
      </c>
      <c r="C890" s="504" t="s">
        <v>5888</v>
      </c>
      <c r="D890" s="768" t="s">
        <v>5533</v>
      </c>
      <c r="E890" s="359" t="s">
        <v>5893</v>
      </c>
      <c r="F890" s="500" t="s">
        <v>5894</v>
      </c>
      <c r="G890" s="226">
        <v>1800</v>
      </c>
      <c r="H890" s="341"/>
      <c r="I890" s="660"/>
    </row>
    <row r="891" spans="1:9" ht="31.5">
      <c r="A891" s="630">
        <v>867</v>
      </c>
      <c r="B891" s="359" t="s">
        <v>5895</v>
      </c>
      <c r="C891" s="357"/>
      <c r="D891" s="768"/>
      <c r="E891" s="359" t="s">
        <v>5896</v>
      </c>
      <c r="F891" s="500" t="s">
        <v>5897</v>
      </c>
      <c r="G891" s="226">
        <v>2700</v>
      </c>
      <c r="H891" s="341"/>
      <c r="I891" s="660"/>
    </row>
    <row r="892" spans="1:9" ht="76.5" customHeight="1">
      <c r="A892" s="396" t="s">
        <v>8114</v>
      </c>
      <c r="B892" s="445" t="s">
        <v>8512</v>
      </c>
      <c r="C892" s="401" t="s">
        <v>8116</v>
      </c>
      <c r="D892" s="503"/>
      <c r="E892" s="396" t="s">
        <v>8112</v>
      </c>
      <c r="F892" s="503" t="s">
        <v>8115</v>
      </c>
      <c r="G892" s="476">
        <v>40000</v>
      </c>
      <c r="H892" s="402"/>
      <c r="I892" s="396"/>
    </row>
    <row r="893" spans="1:9">
      <c r="A893" s="396" t="s">
        <v>7355</v>
      </c>
      <c r="B893" s="774" t="s">
        <v>5898</v>
      </c>
      <c r="C893" s="774"/>
      <c r="D893" s="774"/>
      <c r="E893" s="403"/>
      <c r="F893" s="392"/>
      <c r="G893" s="476">
        <f>G894+G899+G900+G922</f>
        <v>33420</v>
      </c>
      <c r="H893" s="385"/>
      <c r="I893" s="404"/>
    </row>
    <row r="894" spans="1:9">
      <c r="A894" s="395" t="s">
        <v>1110</v>
      </c>
      <c r="B894" s="501" t="s">
        <v>5824</v>
      </c>
      <c r="C894" s="405"/>
      <c r="D894" s="406"/>
      <c r="E894" s="405"/>
      <c r="F894" s="405"/>
      <c r="G894" s="479">
        <f>G895+G896+G897+G898</f>
        <v>2495</v>
      </c>
      <c r="H894" s="385"/>
      <c r="I894" s="392"/>
    </row>
    <row r="895" spans="1:9" ht="18.75">
      <c r="A895" s="627">
        <v>868</v>
      </c>
      <c r="B895" s="294" t="s">
        <v>5826</v>
      </c>
      <c r="C895" s="766" t="s">
        <v>5827</v>
      </c>
      <c r="D895" s="768" t="s">
        <v>5825</v>
      </c>
      <c r="E895" s="766" t="s">
        <v>5827</v>
      </c>
      <c r="F895" s="766" t="s">
        <v>5827</v>
      </c>
      <c r="G895" s="477">
        <v>420</v>
      </c>
      <c r="H895" s="343">
        <v>0.5</v>
      </c>
      <c r="I895" s="500"/>
    </row>
    <row r="896" spans="1:9" ht="18.75">
      <c r="A896" s="627">
        <v>869</v>
      </c>
      <c r="B896" s="294" t="s">
        <v>5828</v>
      </c>
      <c r="C896" s="766"/>
      <c r="D896" s="768"/>
      <c r="E896" s="766"/>
      <c r="F896" s="766"/>
      <c r="G896" s="330">
        <v>500</v>
      </c>
      <c r="H896" s="343">
        <v>0.4</v>
      </c>
      <c r="I896" s="500"/>
    </row>
    <row r="897" spans="1:9" ht="18.75">
      <c r="A897" s="627">
        <v>870</v>
      </c>
      <c r="B897" s="294" t="s">
        <v>5829</v>
      </c>
      <c r="C897" s="766"/>
      <c r="D897" s="768"/>
      <c r="E897" s="766"/>
      <c r="F897" s="766"/>
      <c r="G897" s="330">
        <v>460</v>
      </c>
      <c r="H897" s="343">
        <v>0.4</v>
      </c>
      <c r="I897" s="500"/>
    </row>
    <row r="898" spans="1:9" ht="18.75">
      <c r="A898" s="627">
        <v>871</v>
      </c>
      <c r="B898" s="294" t="s">
        <v>5830</v>
      </c>
      <c r="C898" s="766"/>
      <c r="D898" s="768"/>
      <c r="E898" s="766"/>
      <c r="F898" s="766"/>
      <c r="G898" s="330">
        <v>1115</v>
      </c>
      <c r="H898" s="343">
        <v>0.8</v>
      </c>
      <c r="I898" s="500"/>
    </row>
    <row r="899" spans="1:9">
      <c r="A899" s="333" t="s">
        <v>1114</v>
      </c>
      <c r="B899" s="335" t="s">
        <v>5831</v>
      </c>
      <c r="C899" s="498" t="s">
        <v>5832</v>
      </c>
      <c r="D899" s="500"/>
      <c r="E899" s="498" t="s">
        <v>5833</v>
      </c>
      <c r="F899" s="498" t="s">
        <v>5834</v>
      </c>
      <c r="G899" s="522">
        <v>4647</v>
      </c>
      <c r="H899" s="343" t="s">
        <v>8379</v>
      </c>
      <c r="I899" s="500"/>
    </row>
    <row r="900" spans="1:9">
      <c r="A900" s="334" t="s">
        <v>1118</v>
      </c>
      <c r="B900" s="499" t="s">
        <v>5899</v>
      </c>
      <c r="C900" s="768" t="s">
        <v>5835</v>
      </c>
      <c r="D900" s="768" t="s">
        <v>5533</v>
      </c>
      <c r="E900" s="768" t="s">
        <v>5836</v>
      </c>
      <c r="F900" s="768" t="s">
        <v>5837</v>
      </c>
      <c r="G900" s="478">
        <f>G901+G905+G910+G912+G918+G920</f>
        <v>23737</v>
      </c>
      <c r="H900" s="340"/>
      <c r="I900" s="500"/>
    </row>
    <row r="901" spans="1:9">
      <c r="A901" s="336">
        <v>872</v>
      </c>
      <c r="B901" s="294" t="s">
        <v>5838</v>
      </c>
      <c r="C901" s="768"/>
      <c r="D901" s="769"/>
      <c r="E901" s="768"/>
      <c r="F901" s="768"/>
      <c r="G901" s="329">
        <f>G902+G903+G904</f>
        <v>3450</v>
      </c>
      <c r="H901" s="343"/>
      <c r="I901" s="500"/>
    </row>
    <row r="902" spans="1:9">
      <c r="A902" s="627"/>
      <c r="B902" s="294" t="s">
        <v>8351</v>
      </c>
      <c r="C902" s="768"/>
      <c r="D902" s="769"/>
      <c r="E902" s="768"/>
      <c r="F902" s="768"/>
      <c r="G902" s="329">
        <v>1041</v>
      </c>
      <c r="H902" s="343">
        <v>4</v>
      </c>
      <c r="I902" s="500"/>
    </row>
    <row r="903" spans="1:9">
      <c r="A903" s="627"/>
      <c r="B903" s="294" t="s">
        <v>8352</v>
      </c>
      <c r="C903" s="768"/>
      <c r="D903" s="769"/>
      <c r="E903" s="768"/>
      <c r="F903" s="768"/>
      <c r="G903" s="329">
        <v>968</v>
      </c>
      <c r="H903" s="343">
        <v>6</v>
      </c>
      <c r="I903" s="500"/>
    </row>
    <row r="904" spans="1:9">
      <c r="A904" s="627"/>
      <c r="B904" s="294" t="s">
        <v>8353</v>
      </c>
      <c r="C904" s="768"/>
      <c r="D904" s="769"/>
      <c r="E904" s="768"/>
      <c r="F904" s="768"/>
      <c r="G904" s="329">
        <v>1441</v>
      </c>
      <c r="H904" s="343">
        <v>6</v>
      </c>
      <c r="I904" s="500"/>
    </row>
    <row r="905" spans="1:9">
      <c r="A905" s="336">
        <v>873</v>
      </c>
      <c r="B905" s="294" t="s">
        <v>5839</v>
      </c>
      <c r="C905" s="768"/>
      <c r="D905" s="769"/>
      <c r="E905" s="768"/>
      <c r="F905" s="768"/>
      <c r="G905" s="329">
        <f>G906+G907+G908+G909</f>
        <v>3385</v>
      </c>
      <c r="H905" s="343"/>
      <c r="I905" s="500"/>
    </row>
    <row r="906" spans="1:9">
      <c r="A906" s="627"/>
      <c r="B906" s="294" t="s">
        <v>8354</v>
      </c>
      <c r="C906" s="768"/>
      <c r="D906" s="769"/>
      <c r="E906" s="768"/>
      <c r="F906" s="768"/>
      <c r="G906" s="329">
        <v>1200</v>
      </c>
      <c r="H906" s="343">
        <v>4</v>
      </c>
      <c r="I906" s="500"/>
    </row>
    <row r="907" spans="1:9">
      <c r="A907" s="627"/>
      <c r="B907" s="294" t="s">
        <v>8355</v>
      </c>
      <c r="C907" s="768"/>
      <c r="D907" s="769"/>
      <c r="E907" s="768"/>
      <c r="F907" s="768"/>
      <c r="G907" s="329">
        <v>900</v>
      </c>
      <c r="H907" s="343">
        <v>5.5</v>
      </c>
      <c r="I907" s="500"/>
    </row>
    <row r="908" spans="1:9">
      <c r="A908" s="627"/>
      <c r="B908" s="294" t="s">
        <v>8356</v>
      </c>
      <c r="C908" s="768"/>
      <c r="D908" s="769"/>
      <c r="E908" s="768"/>
      <c r="F908" s="768"/>
      <c r="G908" s="329">
        <v>1000</v>
      </c>
      <c r="H908" s="343">
        <v>7</v>
      </c>
      <c r="I908" s="500"/>
    </row>
    <row r="909" spans="1:9">
      <c r="A909" s="627"/>
      <c r="B909" s="294" t="s">
        <v>8357</v>
      </c>
      <c r="C909" s="768"/>
      <c r="D909" s="769"/>
      <c r="E909" s="768"/>
      <c r="F909" s="768"/>
      <c r="G909" s="329">
        <v>285</v>
      </c>
      <c r="H909" s="343">
        <v>7</v>
      </c>
      <c r="I909" s="500"/>
    </row>
    <row r="910" spans="1:9">
      <c r="A910" s="336">
        <v>874</v>
      </c>
      <c r="B910" s="294" t="s">
        <v>5840</v>
      </c>
      <c r="C910" s="768"/>
      <c r="D910" s="769"/>
      <c r="E910" s="768"/>
      <c r="F910" s="768"/>
      <c r="G910" s="329">
        <f>G911</f>
        <v>2918</v>
      </c>
      <c r="H910" s="343"/>
      <c r="I910" s="500"/>
    </row>
    <row r="911" spans="1:9">
      <c r="A911" s="627"/>
      <c r="B911" s="294" t="s">
        <v>8358</v>
      </c>
      <c r="C911" s="768"/>
      <c r="D911" s="769"/>
      <c r="E911" s="768"/>
      <c r="F911" s="768"/>
      <c r="G911" s="329">
        <v>2918</v>
      </c>
      <c r="H911" s="343">
        <v>6</v>
      </c>
      <c r="I911" s="500"/>
    </row>
    <row r="912" spans="1:9">
      <c r="A912" s="336">
        <v>875</v>
      </c>
      <c r="B912" s="294" t="s">
        <v>5841</v>
      </c>
      <c r="C912" s="768"/>
      <c r="D912" s="769"/>
      <c r="E912" s="768"/>
      <c r="F912" s="768"/>
      <c r="G912" s="329">
        <f>G914+G915+G916+G917</f>
        <v>5815</v>
      </c>
      <c r="H912" s="343"/>
      <c r="I912" s="500"/>
    </row>
    <row r="913" spans="1:9">
      <c r="A913" s="627"/>
      <c r="B913" s="294" t="s">
        <v>5842</v>
      </c>
      <c r="C913" s="768"/>
      <c r="D913" s="769"/>
      <c r="E913" s="768"/>
      <c r="F913" s="768"/>
      <c r="G913" s="329"/>
      <c r="H913" s="343"/>
      <c r="I913" s="500"/>
    </row>
    <row r="914" spans="1:9">
      <c r="A914" s="627"/>
      <c r="B914" s="294" t="s">
        <v>8359</v>
      </c>
      <c r="C914" s="768"/>
      <c r="D914" s="769"/>
      <c r="E914" s="768"/>
      <c r="F914" s="768"/>
      <c r="G914" s="329">
        <v>1650</v>
      </c>
      <c r="H914" s="343">
        <v>8</v>
      </c>
      <c r="I914" s="500"/>
    </row>
    <row r="915" spans="1:9">
      <c r="A915" s="627"/>
      <c r="B915" s="294" t="s">
        <v>8360</v>
      </c>
      <c r="C915" s="768"/>
      <c r="D915" s="769"/>
      <c r="E915" s="768"/>
      <c r="F915" s="768"/>
      <c r="G915" s="329">
        <v>1441</v>
      </c>
      <c r="H915" s="343">
        <v>10</v>
      </c>
      <c r="I915" s="500"/>
    </row>
    <row r="916" spans="1:9">
      <c r="A916" s="627"/>
      <c r="B916" s="294" t="s">
        <v>8361</v>
      </c>
      <c r="C916" s="768"/>
      <c r="D916" s="769"/>
      <c r="E916" s="768"/>
      <c r="F916" s="768"/>
      <c r="G916" s="329">
        <v>1409</v>
      </c>
      <c r="H916" s="343">
        <v>14</v>
      </c>
      <c r="I916" s="500"/>
    </row>
    <row r="917" spans="1:9">
      <c r="A917" s="627"/>
      <c r="B917" s="294" t="s">
        <v>8362</v>
      </c>
      <c r="C917" s="768"/>
      <c r="D917" s="769"/>
      <c r="E917" s="768"/>
      <c r="F917" s="768"/>
      <c r="G917" s="329">
        <v>1315</v>
      </c>
      <c r="H917" s="343">
        <v>16</v>
      </c>
      <c r="I917" s="500"/>
    </row>
    <row r="918" spans="1:9">
      <c r="A918" s="627"/>
      <c r="B918" s="294" t="s">
        <v>5843</v>
      </c>
      <c r="C918" s="768"/>
      <c r="D918" s="769"/>
      <c r="E918" s="768"/>
      <c r="F918" s="768"/>
      <c r="G918" s="329">
        <f>G919</f>
        <v>6010</v>
      </c>
      <c r="H918" s="343"/>
      <c r="I918" s="500"/>
    </row>
    <row r="919" spans="1:9">
      <c r="A919" s="627"/>
      <c r="B919" s="294" t="s">
        <v>8363</v>
      </c>
      <c r="C919" s="768"/>
      <c r="D919" s="769"/>
      <c r="E919" s="768"/>
      <c r="F919" s="768"/>
      <c r="G919" s="329">
        <v>6010</v>
      </c>
      <c r="H919" s="343">
        <v>16</v>
      </c>
      <c r="I919" s="500"/>
    </row>
    <row r="920" spans="1:9">
      <c r="A920" s="336">
        <v>876</v>
      </c>
      <c r="B920" s="294" t="s">
        <v>5844</v>
      </c>
      <c r="C920" s="768"/>
      <c r="D920" s="769"/>
      <c r="E920" s="768"/>
      <c r="F920" s="768"/>
      <c r="G920" s="329">
        <f>G921</f>
        <v>2159</v>
      </c>
      <c r="H920" s="343"/>
      <c r="I920" s="500"/>
    </row>
    <row r="921" spans="1:9">
      <c r="A921" s="334"/>
      <c r="B921" s="294" t="s">
        <v>8364</v>
      </c>
      <c r="C921" s="768"/>
      <c r="D921" s="769"/>
      <c r="E921" s="768"/>
      <c r="F921" s="768"/>
      <c r="G921" s="329">
        <v>2159</v>
      </c>
      <c r="H921" s="343">
        <v>4</v>
      </c>
      <c r="I921" s="500"/>
    </row>
    <row r="922" spans="1:9">
      <c r="A922" s="333" t="s">
        <v>1116</v>
      </c>
      <c r="B922" s="767" t="s">
        <v>5845</v>
      </c>
      <c r="C922" s="767"/>
      <c r="D922" s="768" t="s">
        <v>5533</v>
      </c>
      <c r="E922" s="500"/>
      <c r="F922" s="500"/>
      <c r="G922" s="478">
        <f>G923+G926</f>
        <v>2541</v>
      </c>
      <c r="H922" s="343"/>
      <c r="I922" s="500"/>
    </row>
    <row r="923" spans="1:9">
      <c r="A923" s="627">
        <v>877</v>
      </c>
      <c r="B923" s="294" t="s">
        <v>5846</v>
      </c>
      <c r="C923" s="761" t="s">
        <v>5847</v>
      </c>
      <c r="D923" s="768"/>
      <c r="E923" s="761" t="s">
        <v>5848</v>
      </c>
      <c r="F923" s="661" t="s">
        <v>8454</v>
      </c>
      <c r="G923" s="330">
        <v>873</v>
      </c>
      <c r="H923" s="343"/>
      <c r="I923" s="500"/>
    </row>
    <row r="924" spans="1:9">
      <c r="A924" s="627"/>
      <c r="B924" s="294" t="s">
        <v>8365</v>
      </c>
      <c r="C924" s="762"/>
      <c r="D924" s="768"/>
      <c r="E924" s="762"/>
      <c r="F924" s="661"/>
      <c r="G924" s="330">
        <v>555</v>
      </c>
      <c r="H924" s="343">
        <v>1</v>
      </c>
      <c r="I924" s="500"/>
    </row>
    <row r="925" spans="1:9">
      <c r="A925" s="627"/>
      <c r="B925" s="294" t="s">
        <v>8366</v>
      </c>
      <c r="C925" s="661"/>
      <c r="D925" s="768"/>
      <c r="E925" s="661"/>
      <c r="F925" s="661"/>
      <c r="G925" s="330">
        <v>318</v>
      </c>
      <c r="H925" s="343">
        <v>1</v>
      </c>
      <c r="I925" s="500"/>
    </row>
    <row r="926" spans="1:9">
      <c r="A926" s="627">
        <v>878</v>
      </c>
      <c r="B926" s="294" t="s">
        <v>5849</v>
      </c>
      <c r="C926" s="761" t="s">
        <v>5847</v>
      </c>
      <c r="D926" s="768"/>
      <c r="E926" s="761" t="s">
        <v>5848</v>
      </c>
      <c r="F926" s="661"/>
      <c r="G926" s="327">
        <v>1668</v>
      </c>
      <c r="H926" s="343"/>
      <c r="I926" s="500"/>
    </row>
    <row r="927" spans="1:9">
      <c r="A927" s="627"/>
      <c r="B927" s="294" t="s">
        <v>8367</v>
      </c>
      <c r="C927" s="763"/>
      <c r="D927" s="768"/>
      <c r="E927" s="763"/>
      <c r="F927" s="661"/>
      <c r="G927" s="327">
        <v>427</v>
      </c>
      <c r="H927" s="341">
        <v>3</v>
      </c>
      <c r="I927" s="500"/>
    </row>
    <row r="928" spans="1:9">
      <c r="A928" s="628"/>
      <c r="B928" s="294" t="s">
        <v>8266</v>
      </c>
      <c r="C928" s="762"/>
      <c r="D928" s="768"/>
      <c r="E928" s="762"/>
      <c r="F928" s="661"/>
      <c r="G928" s="327">
        <v>1206</v>
      </c>
      <c r="H928" s="341">
        <v>3</v>
      </c>
      <c r="I928" s="500"/>
    </row>
    <row r="929" spans="1:9" ht="36.75" customHeight="1">
      <c r="A929" s="770" t="s">
        <v>8119</v>
      </c>
      <c r="B929" s="771"/>
      <c r="C929" s="771"/>
      <c r="D929" s="771"/>
      <c r="E929" s="771"/>
      <c r="F929" s="772"/>
      <c r="G929" s="657">
        <f>G930+G980+G1007</f>
        <v>996268</v>
      </c>
      <c r="H929" s="503"/>
      <c r="I929" s="591"/>
    </row>
    <row r="930" spans="1:9">
      <c r="A930" s="764" t="s">
        <v>7356</v>
      </c>
      <c r="B930" s="764"/>
      <c r="C930" s="764"/>
      <c r="D930" s="392"/>
      <c r="E930" s="392"/>
      <c r="F930" s="392"/>
      <c r="G930" s="479">
        <f>SUM(G931:G977)</f>
        <v>130140</v>
      </c>
      <c r="H930" s="385"/>
      <c r="I930" s="392"/>
    </row>
    <row r="931" spans="1:9" s="230" customFormat="1" ht="55.5" customHeight="1">
      <c r="A931" s="542">
        <v>1</v>
      </c>
      <c r="B931" s="237" t="s">
        <v>1117</v>
      </c>
      <c r="C931" s="221" t="s">
        <v>8523</v>
      </c>
      <c r="D931" s="240" t="s">
        <v>5533</v>
      </c>
      <c r="E931" s="222" t="s">
        <v>8460</v>
      </c>
      <c r="F931" s="222" t="s">
        <v>8461</v>
      </c>
      <c r="G931" s="223">
        <v>15460</v>
      </c>
      <c r="H931" s="544" t="s">
        <v>8462</v>
      </c>
      <c r="I931" s="219"/>
    </row>
    <row r="932" spans="1:9" s="230" customFormat="1" ht="21" customHeight="1">
      <c r="A932" s="542">
        <f>A931+1</f>
        <v>2</v>
      </c>
      <c r="B932" s="317" t="s">
        <v>8463</v>
      </c>
      <c r="C932" s="482" t="s">
        <v>8522</v>
      </c>
      <c r="D932" s="240" t="s">
        <v>5533</v>
      </c>
      <c r="E932" s="231" t="s">
        <v>8464</v>
      </c>
      <c r="F932" s="252" t="s">
        <v>8465</v>
      </c>
      <c r="G932" s="223">
        <v>1815</v>
      </c>
      <c r="H932" s="616" t="s">
        <v>9070</v>
      </c>
      <c r="I932" s="219"/>
    </row>
    <row r="933" spans="1:9" s="230" customFormat="1" ht="39" customHeight="1">
      <c r="A933" s="542">
        <f t="shared" ref="A933:A979" si="19">A932+1</f>
        <v>3</v>
      </c>
      <c r="B933" s="220" t="s">
        <v>1111</v>
      </c>
      <c r="C933" s="221" t="s">
        <v>8520</v>
      </c>
      <c r="D933" s="240" t="s">
        <v>5533</v>
      </c>
      <c r="E933" s="222" t="s">
        <v>1117</v>
      </c>
      <c r="F933" s="222" t="s">
        <v>8466</v>
      </c>
      <c r="G933" s="223">
        <v>24970</v>
      </c>
      <c r="H933" s="544" t="s">
        <v>8467</v>
      </c>
      <c r="I933" s="219"/>
    </row>
    <row r="934" spans="1:9" s="230" customFormat="1" ht="21" customHeight="1">
      <c r="A934" s="542">
        <f t="shared" si="19"/>
        <v>4</v>
      </c>
      <c r="B934" s="242" t="s">
        <v>2985</v>
      </c>
      <c r="C934" s="221" t="s">
        <v>8496</v>
      </c>
      <c r="D934" s="240" t="s">
        <v>5533</v>
      </c>
      <c r="E934" s="222" t="s">
        <v>433</v>
      </c>
      <c r="F934" s="222" t="s">
        <v>407</v>
      </c>
      <c r="G934" s="223">
        <v>1235</v>
      </c>
      <c r="H934" s="617"/>
      <c r="I934" s="269"/>
    </row>
    <row r="935" spans="1:9" s="230" customFormat="1" ht="21" customHeight="1">
      <c r="A935" s="542">
        <f t="shared" si="19"/>
        <v>5</v>
      </c>
      <c r="B935" s="242" t="s">
        <v>8489</v>
      </c>
      <c r="C935" s="221" t="s">
        <v>8496</v>
      </c>
      <c r="D935" s="240" t="s">
        <v>5533</v>
      </c>
      <c r="E935" s="222" t="s">
        <v>2344</v>
      </c>
      <c r="F935" s="222" t="s">
        <v>407</v>
      </c>
      <c r="G935" s="223">
        <v>2550</v>
      </c>
      <c r="H935" s="653" t="s">
        <v>153</v>
      </c>
      <c r="I935" s="219"/>
    </row>
    <row r="936" spans="1:9" s="230" customFormat="1" ht="21" customHeight="1">
      <c r="A936" s="542">
        <f t="shared" si="19"/>
        <v>6</v>
      </c>
      <c r="B936" s="224" t="s">
        <v>2992</v>
      </c>
      <c r="C936" s="221" t="s">
        <v>8496</v>
      </c>
      <c r="D936" s="240" t="s">
        <v>5533</v>
      </c>
      <c r="E936" s="222" t="s">
        <v>433</v>
      </c>
      <c r="F936" s="222" t="s">
        <v>2993</v>
      </c>
      <c r="G936" s="223">
        <v>1300</v>
      </c>
      <c r="H936" s="617"/>
      <c r="I936" s="219"/>
    </row>
    <row r="937" spans="1:9" s="230" customFormat="1" ht="21" customHeight="1">
      <c r="A937" s="542">
        <f t="shared" si="19"/>
        <v>7</v>
      </c>
      <c r="B937" s="224" t="s">
        <v>8490</v>
      </c>
      <c r="C937" s="221" t="s">
        <v>8496</v>
      </c>
      <c r="D937" s="240" t="s">
        <v>5533</v>
      </c>
      <c r="E937" s="222" t="s">
        <v>433</v>
      </c>
      <c r="F937" s="222" t="s">
        <v>2344</v>
      </c>
      <c r="G937" s="223">
        <v>2400</v>
      </c>
      <c r="H937" s="617"/>
      <c r="I937" s="219"/>
    </row>
    <row r="938" spans="1:9" s="230" customFormat="1" ht="21" customHeight="1">
      <c r="A938" s="542">
        <f t="shared" si="19"/>
        <v>8</v>
      </c>
      <c r="B938" s="224" t="s">
        <v>8491</v>
      </c>
      <c r="C938" s="221" t="s">
        <v>8496</v>
      </c>
      <c r="D938" s="240" t="s">
        <v>5533</v>
      </c>
      <c r="E938" s="222" t="s">
        <v>433</v>
      </c>
      <c r="F938" s="222" t="s">
        <v>2988</v>
      </c>
      <c r="G938" s="223">
        <v>2200</v>
      </c>
      <c r="H938" s="617"/>
      <c r="I938" s="219"/>
    </row>
    <row r="939" spans="1:9" s="230" customFormat="1" ht="21" customHeight="1">
      <c r="A939" s="542">
        <f t="shared" si="19"/>
        <v>9</v>
      </c>
      <c r="B939" s="224" t="s">
        <v>2999</v>
      </c>
      <c r="C939" s="221" t="s">
        <v>8496</v>
      </c>
      <c r="D939" s="240" t="s">
        <v>5533</v>
      </c>
      <c r="E939" s="222" t="s">
        <v>433</v>
      </c>
      <c r="F939" s="222" t="s">
        <v>2988</v>
      </c>
      <c r="G939" s="223">
        <v>2000</v>
      </c>
      <c r="H939" s="617"/>
      <c r="I939" s="269"/>
    </row>
    <row r="940" spans="1:9" s="230" customFormat="1" ht="21" customHeight="1">
      <c r="A940" s="542">
        <f t="shared" si="19"/>
        <v>10</v>
      </c>
      <c r="B940" s="224" t="s">
        <v>8492</v>
      </c>
      <c r="C940" s="221" t="s">
        <v>8496</v>
      </c>
      <c r="D940" s="240" t="s">
        <v>5533</v>
      </c>
      <c r="E940" s="222" t="s">
        <v>433</v>
      </c>
      <c r="F940" s="222" t="s">
        <v>2988</v>
      </c>
      <c r="G940" s="223">
        <v>1900</v>
      </c>
      <c r="H940" s="617"/>
      <c r="I940" s="497"/>
    </row>
    <row r="941" spans="1:9" s="230" customFormat="1" ht="21" customHeight="1">
      <c r="A941" s="542">
        <f t="shared" si="19"/>
        <v>11</v>
      </c>
      <c r="B941" s="224" t="s">
        <v>8493</v>
      </c>
      <c r="C941" s="221" t="s">
        <v>8496</v>
      </c>
      <c r="D941" s="240" t="s">
        <v>5533</v>
      </c>
      <c r="E941" s="222" t="s">
        <v>433</v>
      </c>
      <c r="F941" s="222" t="s">
        <v>2993</v>
      </c>
      <c r="G941" s="223">
        <v>1400</v>
      </c>
      <c r="H941" s="617"/>
      <c r="I941" s="497"/>
    </row>
    <row r="942" spans="1:9" s="230" customFormat="1" ht="36" customHeight="1">
      <c r="A942" s="542">
        <f t="shared" si="19"/>
        <v>12</v>
      </c>
      <c r="B942" s="224" t="s">
        <v>8494</v>
      </c>
      <c r="C942" s="221" t="s">
        <v>8496</v>
      </c>
      <c r="D942" s="240" t="s">
        <v>5533</v>
      </c>
      <c r="E942" s="222" t="s">
        <v>2453</v>
      </c>
      <c r="F942" s="222" t="s">
        <v>2454</v>
      </c>
      <c r="G942" s="223">
        <v>3300</v>
      </c>
      <c r="H942" s="617"/>
      <c r="I942" s="497"/>
    </row>
    <row r="943" spans="1:9" s="230" customFormat="1" ht="21" customHeight="1">
      <c r="A943" s="542">
        <f t="shared" si="19"/>
        <v>13</v>
      </c>
      <c r="B943" s="224" t="s">
        <v>8495</v>
      </c>
      <c r="C943" s="221" t="s">
        <v>8496</v>
      </c>
      <c r="D943" s="240" t="s">
        <v>5533</v>
      </c>
      <c r="E943" s="222" t="s">
        <v>2453</v>
      </c>
      <c r="F943" s="222" t="s">
        <v>2454</v>
      </c>
      <c r="G943" s="223">
        <v>3000</v>
      </c>
      <c r="H943" s="617"/>
      <c r="I943" s="269"/>
    </row>
    <row r="944" spans="1:9" s="230" customFormat="1" ht="21" customHeight="1">
      <c r="A944" s="542">
        <f t="shared" si="19"/>
        <v>14</v>
      </c>
      <c r="B944" s="224" t="s">
        <v>3019</v>
      </c>
      <c r="C944" s="221" t="s">
        <v>8496</v>
      </c>
      <c r="D944" s="240" t="s">
        <v>5533</v>
      </c>
      <c r="E944" s="222" t="s">
        <v>2453</v>
      </c>
      <c r="F944" s="222" t="s">
        <v>407</v>
      </c>
      <c r="G944" s="223">
        <v>750</v>
      </c>
      <c r="H944" s="617"/>
      <c r="I944" s="269"/>
    </row>
    <row r="945" spans="1:9" s="230" customFormat="1" ht="21" customHeight="1">
      <c r="A945" s="542">
        <f t="shared" si="19"/>
        <v>15</v>
      </c>
      <c r="B945" s="224" t="s">
        <v>8471</v>
      </c>
      <c r="C945" s="221" t="s">
        <v>5603</v>
      </c>
      <c r="D945" s="240" t="s">
        <v>5533</v>
      </c>
      <c r="E945" s="360" t="s">
        <v>8472</v>
      </c>
      <c r="F945" s="222" t="s">
        <v>407</v>
      </c>
      <c r="G945" s="331">
        <v>1144</v>
      </c>
      <c r="H945" s="616" t="s">
        <v>9071</v>
      </c>
      <c r="I945" s="219"/>
    </row>
    <row r="946" spans="1:9" s="230" customFormat="1" ht="21" customHeight="1">
      <c r="A946" s="542">
        <f t="shared" si="19"/>
        <v>16</v>
      </c>
      <c r="B946" s="224" t="s">
        <v>8473</v>
      </c>
      <c r="C946" s="221" t="s">
        <v>5603</v>
      </c>
      <c r="D946" s="240" t="s">
        <v>5533</v>
      </c>
      <c r="E946" s="360" t="s">
        <v>8472</v>
      </c>
      <c r="F946" s="222" t="s">
        <v>407</v>
      </c>
      <c r="G946" s="331">
        <v>710</v>
      </c>
      <c r="H946" s="616" t="s">
        <v>9072</v>
      </c>
      <c r="I946" s="240"/>
    </row>
    <row r="947" spans="1:9" s="230" customFormat="1" ht="21" customHeight="1">
      <c r="A947" s="542">
        <f t="shared" si="19"/>
        <v>17</v>
      </c>
      <c r="B947" s="224" t="s">
        <v>8474</v>
      </c>
      <c r="C947" s="221" t="s">
        <v>5603</v>
      </c>
      <c r="D947" s="240" t="s">
        <v>5533</v>
      </c>
      <c r="E947" s="360" t="s">
        <v>8472</v>
      </c>
      <c r="F947" s="222" t="s">
        <v>407</v>
      </c>
      <c r="G947" s="331">
        <v>714</v>
      </c>
      <c r="H947" s="616" t="s">
        <v>9073</v>
      </c>
      <c r="I947" s="219"/>
    </row>
    <row r="948" spans="1:9" s="230" customFormat="1" ht="21" customHeight="1">
      <c r="A948" s="542">
        <f t="shared" si="19"/>
        <v>18</v>
      </c>
      <c r="B948" s="222" t="s">
        <v>8475</v>
      </c>
      <c r="C948" s="221" t="s">
        <v>5603</v>
      </c>
      <c r="D948" s="240" t="s">
        <v>5533</v>
      </c>
      <c r="E948" s="222" t="s">
        <v>8472</v>
      </c>
      <c r="F948" s="222" t="s">
        <v>407</v>
      </c>
      <c r="G948" s="320">
        <v>854</v>
      </c>
      <c r="H948" s="616" t="s">
        <v>9074</v>
      </c>
      <c r="I948" s="219"/>
    </row>
    <row r="949" spans="1:9" s="230" customFormat="1" ht="39" customHeight="1">
      <c r="A949" s="542">
        <f t="shared" si="19"/>
        <v>19</v>
      </c>
      <c r="B949" s="222" t="s">
        <v>5131</v>
      </c>
      <c r="C949" s="221" t="s">
        <v>8521</v>
      </c>
      <c r="D949" s="240" t="s">
        <v>5533</v>
      </c>
      <c r="E949" s="222" t="s">
        <v>433</v>
      </c>
      <c r="F949" s="516" t="s">
        <v>8476</v>
      </c>
      <c r="G949" s="320">
        <v>11000</v>
      </c>
      <c r="H949" s="616" t="s">
        <v>9075</v>
      </c>
      <c r="I949" s="219"/>
    </row>
    <row r="950" spans="1:9" s="230" customFormat="1" ht="21" customHeight="1">
      <c r="A950" s="542">
        <f t="shared" si="19"/>
        <v>20</v>
      </c>
      <c r="B950" s="242" t="s">
        <v>2439</v>
      </c>
      <c r="C950" s="221" t="s">
        <v>5066</v>
      </c>
      <c r="D950" s="240" t="s">
        <v>5533</v>
      </c>
      <c r="E950" s="222" t="s">
        <v>2454</v>
      </c>
      <c r="F950" s="222" t="s">
        <v>407</v>
      </c>
      <c r="G950" s="223">
        <v>204</v>
      </c>
      <c r="H950" s="653" t="s">
        <v>156</v>
      </c>
      <c r="I950" s="232"/>
    </row>
    <row r="951" spans="1:9" s="230" customFormat="1" ht="22.5" customHeight="1">
      <c r="A951" s="542">
        <f t="shared" si="19"/>
        <v>21</v>
      </c>
      <c r="B951" s="317" t="s">
        <v>8468</v>
      </c>
      <c r="C951" s="221" t="s">
        <v>5066</v>
      </c>
      <c r="D951" s="240" t="s">
        <v>5533</v>
      </c>
      <c r="E951" s="242" t="s">
        <v>433</v>
      </c>
      <c r="F951" s="224" t="s">
        <v>407</v>
      </c>
      <c r="G951" s="320">
        <v>2979</v>
      </c>
      <c r="H951" s="616" t="s">
        <v>9076</v>
      </c>
      <c r="I951" s="232"/>
    </row>
    <row r="952" spans="1:9" s="230" customFormat="1" ht="22.5" customHeight="1">
      <c r="A952" s="542">
        <f t="shared" si="19"/>
        <v>22</v>
      </c>
      <c r="B952" s="317" t="s">
        <v>8469</v>
      </c>
      <c r="C952" s="221" t="s">
        <v>5066</v>
      </c>
      <c r="D952" s="240" t="s">
        <v>5533</v>
      </c>
      <c r="E952" s="242" t="s">
        <v>433</v>
      </c>
      <c r="F952" s="224" t="s">
        <v>407</v>
      </c>
      <c r="G952" s="320">
        <v>1832</v>
      </c>
      <c r="H952" s="653" t="s">
        <v>227</v>
      </c>
      <c r="I952" s="232"/>
    </row>
    <row r="953" spans="1:9" s="230" customFormat="1" ht="22.5" customHeight="1">
      <c r="A953" s="542">
        <f t="shared" si="19"/>
        <v>23</v>
      </c>
      <c r="B953" s="317" t="s">
        <v>2905</v>
      </c>
      <c r="C953" s="221" t="s">
        <v>5066</v>
      </c>
      <c r="D953" s="240" t="s">
        <v>5533</v>
      </c>
      <c r="E953" s="242" t="s">
        <v>433</v>
      </c>
      <c r="F953" s="224" t="s">
        <v>407</v>
      </c>
      <c r="G953" s="320">
        <v>3536</v>
      </c>
      <c r="H953" s="616" t="s">
        <v>8306</v>
      </c>
      <c r="I953" s="232"/>
    </row>
    <row r="954" spans="1:9" s="230" customFormat="1" ht="22.5" customHeight="1">
      <c r="A954" s="542">
        <f t="shared" si="19"/>
        <v>24</v>
      </c>
      <c r="B954" s="317" t="s">
        <v>8470</v>
      </c>
      <c r="C954" s="221" t="s">
        <v>5066</v>
      </c>
      <c r="D954" s="240" t="s">
        <v>5533</v>
      </c>
      <c r="E954" s="242" t="s">
        <v>433</v>
      </c>
      <c r="F954" s="224" t="s">
        <v>407</v>
      </c>
      <c r="G954" s="320">
        <v>1300</v>
      </c>
      <c r="H954" s="653" t="s">
        <v>329</v>
      </c>
      <c r="I954" s="232"/>
    </row>
    <row r="955" spans="1:9" s="230" customFormat="1" ht="22.5" customHeight="1">
      <c r="A955" s="542">
        <f t="shared" si="19"/>
        <v>25</v>
      </c>
      <c r="B955" s="222" t="s">
        <v>8477</v>
      </c>
      <c r="C955" s="221" t="s">
        <v>8498</v>
      </c>
      <c r="D955" s="240" t="s">
        <v>5533</v>
      </c>
      <c r="E955" s="222" t="s">
        <v>433</v>
      </c>
      <c r="F955" s="222" t="s">
        <v>407</v>
      </c>
      <c r="G955" s="320">
        <v>910</v>
      </c>
      <c r="H955" s="616" t="s">
        <v>5542</v>
      </c>
      <c r="I955" s="219"/>
    </row>
    <row r="956" spans="1:9" s="230" customFormat="1" ht="22.5" customHeight="1">
      <c r="A956" s="542">
        <f t="shared" si="19"/>
        <v>26</v>
      </c>
      <c r="B956" s="222" t="s">
        <v>8478</v>
      </c>
      <c r="C956" s="221" t="s">
        <v>8498</v>
      </c>
      <c r="D956" s="240" t="s">
        <v>5533</v>
      </c>
      <c r="E956" s="222" t="s">
        <v>433</v>
      </c>
      <c r="F956" s="222" t="s">
        <v>407</v>
      </c>
      <c r="G956" s="320">
        <v>1612</v>
      </c>
      <c r="H956" s="616" t="s">
        <v>9077</v>
      </c>
      <c r="I956" s="219"/>
    </row>
    <row r="957" spans="1:9" s="230" customFormat="1" ht="22.5" customHeight="1">
      <c r="A957" s="542">
        <f t="shared" si="19"/>
        <v>27</v>
      </c>
      <c r="B957" s="222" t="s">
        <v>8479</v>
      </c>
      <c r="C957" s="221" t="s">
        <v>8502</v>
      </c>
      <c r="D957" s="240" t="s">
        <v>5533</v>
      </c>
      <c r="E957" s="222" t="s">
        <v>433</v>
      </c>
      <c r="F957" s="222" t="s">
        <v>407</v>
      </c>
      <c r="G957" s="320">
        <v>325</v>
      </c>
      <c r="H957" s="653" t="s">
        <v>154</v>
      </c>
      <c r="I957" s="219"/>
    </row>
    <row r="958" spans="1:9" s="230" customFormat="1" ht="22.5" customHeight="1">
      <c r="A958" s="542">
        <f t="shared" si="19"/>
        <v>28</v>
      </c>
      <c r="B958" s="222" t="s">
        <v>8480</v>
      </c>
      <c r="C958" s="221" t="s">
        <v>8502</v>
      </c>
      <c r="D958" s="240" t="s">
        <v>5533</v>
      </c>
      <c r="E958" s="222" t="s">
        <v>433</v>
      </c>
      <c r="F958" s="222" t="s">
        <v>407</v>
      </c>
      <c r="G958" s="320">
        <v>605</v>
      </c>
      <c r="H958" s="653" t="s">
        <v>8630</v>
      </c>
      <c r="I958" s="219"/>
    </row>
    <row r="959" spans="1:9" s="230" customFormat="1" ht="22.5" customHeight="1">
      <c r="A959" s="542">
        <f t="shared" si="19"/>
        <v>29</v>
      </c>
      <c r="B959" s="222" t="s">
        <v>8481</v>
      </c>
      <c r="C959" s="221" t="s">
        <v>8502</v>
      </c>
      <c r="D959" s="240" t="s">
        <v>5533</v>
      </c>
      <c r="E959" s="222" t="s">
        <v>433</v>
      </c>
      <c r="F959" s="222" t="s">
        <v>407</v>
      </c>
      <c r="G959" s="320">
        <v>553</v>
      </c>
      <c r="H959" s="653" t="s">
        <v>153</v>
      </c>
      <c r="I959" s="219"/>
    </row>
    <row r="960" spans="1:9" s="230" customFormat="1" ht="22.5" customHeight="1">
      <c r="A960" s="542">
        <f t="shared" si="19"/>
        <v>30</v>
      </c>
      <c r="B960" s="222" t="s">
        <v>8482</v>
      </c>
      <c r="C960" s="221" t="s">
        <v>8498</v>
      </c>
      <c r="D960" s="240" t="s">
        <v>5533</v>
      </c>
      <c r="E960" s="222" t="s">
        <v>433</v>
      </c>
      <c r="F960" s="222" t="s">
        <v>407</v>
      </c>
      <c r="G960" s="320">
        <v>245</v>
      </c>
      <c r="H960" s="616" t="s">
        <v>5542</v>
      </c>
      <c r="I960" s="219"/>
    </row>
    <row r="961" spans="1:9" s="230" customFormat="1" ht="22.5" customHeight="1">
      <c r="A961" s="542">
        <f t="shared" si="19"/>
        <v>31</v>
      </c>
      <c r="B961" s="222" t="s">
        <v>2880</v>
      </c>
      <c r="C961" s="221" t="s">
        <v>8498</v>
      </c>
      <c r="D961" s="240" t="s">
        <v>5533</v>
      </c>
      <c r="E961" s="222" t="s">
        <v>433</v>
      </c>
      <c r="F961" s="222" t="s">
        <v>407</v>
      </c>
      <c r="G961" s="320">
        <v>156</v>
      </c>
      <c r="H961" s="616" t="s">
        <v>5542</v>
      </c>
      <c r="I961" s="219"/>
    </row>
    <row r="962" spans="1:9" s="230" customFormat="1" ht="22.5" customHeight="1">
      <c r="A962" s="542">
        <f t="shared" si="19"/>
        <v>32</v>
      </c>
      <c r="B962" s="222" t="s">
        <v>8483</v>
      </c>
      <c r="C962" s="221" t="s">
        <v>8498</v>
      </c>
      <c r="D962" s="240" t="s">
        <v>5533</v>
      </c>
      <c r="E962" s="222" t="s">
        <v>433</v>
      </c>
      <c r="F962" s="222" t="s">
        <v>407</v>
      </c>
      <c r="G962" s="320">
        <v>183</v>
      </c>
      <c r="H962" s="616" t="s">
        <v>5542</v>
      </c>
      <c r="I962" s="219"/>
    </row>
    <row r="963" spans="1:9" s="230" customFormat="1" ht="22.5" customHeight="1">
      <c r="A963" s="542">
        <f t="shared" si="19"/>
        <v>33</v>
      </c>
      <c r="B963" s="222" t="s">
        <v>8484</v>
      </c>
      <c r="C963" s="221" t="s">
        <v>8498</v>
      </c>
      <c r="D963" s="240" t="s">
        <v>5533</v>
      </c>
      <c r="E963" s="222" t="s">
        <v>433</v>
      </c>
      <c r="F963" s="222" t="s">
        <v>407</v>
      </c>
      <c r="G963" s="320">
        <v>416</v>
      </c>
      <c r="H963" s="616" t="s">
        <v>5542</v>
      </c>
      <c r="I963" s="219"/>
    </row>
    <row r="964" spans="1:9" s="230" customFormat="1" ht="22.5" customHeight="1">
      <c r="A964" s="542">
        <f t="shared" si="19"/>
        <v>34</v>
      </c>
      <c r="B964" s="222" t="s">
        <v>8485</v>
      </c>
      <c r="C964" s="221" t="s">
        <v>8496</v>
      </c>
      <c r="D964" s="240" t="s">
        <v>5533</v>
      </c>
      <c r="E964" s="222" t="s">
        <v>433</v>
      </c>
      <c r="F964" s="222" t="s">
        <v>407</v>
      </c>
      <c r="G964" s="320">
        <v>532</v>
      </c>
      <c r="H964" s="616" t="s">
        <v>5542</v>
      </c>
      <c r="I964" s="219"/>
    </row>
    <row r="965" spans="1:9" s="230" customFormat="1" ht="22.5" customHeight="1">
      <c r="A965" s="542">
        <f t="shared" si="19"/>
        <v>35</v>
      </c>
      <c r="B965" s="222" t="s">
        <v>8486</v>
      </c>
      <c r="C965" s="221" t="s">
        <v>8496</v>
      </c>
      <c r="D965" s="240" t="s">
        <v>5533</v>
      </c>
      <c r="E965" s="222" t="s">
        <v>433</v>
      </c>
      <c r="F965" s="222" t="s">
        <v>407</v>
      </c>
      <c r="G965" s="320">
        <v>528</v>
      </c>
      <c r="H965" s="616" t="s">
        <v>5542</v>
      </c>
      <c r="I965" s="219"/>
    </row>
    <row r="966" spans="1:9" s="230" customFormat="1" ht="22.5" customHeight="1">
      <c r="A966" s="542">
        <f t="shared" si="19"/>
        <v>36</v>
      </c>
      <c r="B966" s="222" t="s">
        <v>8487</v>
      </c>
      <c r="C966" s="221" t="s">
        <v>8496</v>
      </c>
      <c r="D966" s="240" t="s">
        <v>5533</v>
      </c>
      <c r="E966" s="222" t="s">
        <v>433</v>
      </c>
      <c r="F966" s="222" t="s">
        <v>407</v>
      </c>
      <c r="G966" s="320">
        <v>543</v>
      </c>
      <c r="H966" s="616" t="s">
        <v>5542</v>
      </c>
      <c r="I966" s="219"/>
    </row>
    <row r="967" spans="1:9" s="230" customFormat="1" ht="22.5" customHeight="1">
      <c r="A967" s="542">
        <f t="shared" si="19"/>
        <v>37</v>
      </c>
      <c r="B967" s="224" t="s">
        <v>8488</v>
      </c>
      <c r="C967" s="221" t="s">
        <v>8496</v>
      </c>
      <c r="D967" s="240" t="s">
        <v>5533</v>
      </c>
      <c r="E967" s="222" t="s">
        <v>433</v>
      </c>
      <c r="F967" s="222" t="s">
        <v>407</v>
      </c>
      <c r="G967" s="223">
        <v>141</v>
      </c>
      <c r="H967" s="616" t="s">
        <v>5542</v>
      </c>
      <c r="I967" s="219"/>
    </row>
    <row r="968" spans="1:9" s="230" customFormat="1" ht="22.5" customHeight="1">
      <c r="A968" s="542">
        <f t="shared" si="19"/>
        <v>38</v>
      </c>
      <c r="B968" s="317" t="s">
        <v>495</v>
      </c>
      <c r="C968" s="221" t="s">
        <v>8496</v>
      </c>
      <c r="D968" s="240" t="s">
        <v>5533</v>
      </c>
      <c r="E968" s="242" t="s">
        <v>433</v>
      </c>
      <c r="F968" s="224" t="s">
        <v>407</v>
      </c>
      <c r="G968" s="320">
        <v>1885</v>
      </c>
      <c r="H968" s="653" t="s">
        <v>165</v>
      </c>
      <c r="I968" s="232"/>
    </row>
    <row r="969" spans="1:9" s="230" customFormat="1" ht="21" customHeight="1">
      <c r="A969" s="542">
        <f t="shared" si="19"/>
        <v>39</v>
      </c>
      <c r="B969" s="224" t="s">
        <v>2936</v>
      </c>
      <c r="C969" s="221" t="s">
        <v>8496</v>
      </c>
      <c r="D969" s="240" t="s">
        <v>5533</v>
      </c>
      <c r="E969" s="222" t="s">
        <v>433</v>
      </c>
      <c r="F969" s="222" t="s">
        <v>407</v>
      </c>
      <c r="G969" s="223">
        <v>1598</v>
      </c>
      <c r="H969" s="653" t="s">
        <v>156</v>
      </c>
      <c r="I969" s="232"/>
    </row>
    <row r="970" spans="1:9" s="361" customFormat="1">
      <c r="A970" s="542">
        <f t="shared" si="19"/>
        <v>40</v>
      </c>
      <c r="B970" s="238" t="s">
        <v>2758</v>
      </c>
      <c r="C970" s="372" t="s">
        <v>8499</v>
      </c>
      <c r="D970" s="240" t="s">
        <v>5533</v>
      </c>
      <c r="E970" s="222" t="s">
        <v>2219</v>
      </c>
      <c r="F970" s="222" t="s">
        <v>284</v>
      </c>
      <c r="G970" s="223">
        <v>6770</v>
      </c>
      <c r="H970" s="617"/>
      <c r="I970" s="269"/>
    </row>
    <row r="971" spans="1:9" s="361" customFormat="1">
      <c r="A971" s="542">
        <f t="shared" si="19"/>
        <v>41</v>
      </c>
      <c r="B971" s="373" t="s">
        <v>2709</v>
      </c>
      <c r="C971" s="372" t="s">
        <v>8500</v>
      </c>
      <c r="D971" s="240" t="s">
        <v>5533</v>
      </c>
      <c r="E971" s="222" t="s">
        <v>1086</v>
      </c>
      <c r="F971" s="222" t="s">
        <v>407</v>
      </c>
      <c r="G971" s="223">
        <v>1400</v>
      </c>
      <c r="H971" s="617"/>
      <c r="I971" s="269"/>
    </row>
    <row r="972" spans="1:9" s="361" customFormat="1">
      <c r="A972" s="542">
        <f t="shared" si="19"/>
        <v>42</v>
      </c>
      <c r="B972" s="237" t="s">
        <v>1278</v>
      </c>
      <c r="C972" s="372" t="s">
        <v>8501</v>
      </c>
      <c r="D972" s="240" t="s">
        <v>5533</v>
      </c>
      <c r="E972" s="222" t="s">
        <v>1272</v>
      </c>
      <c r="F972" s="222" t="s">
        <v>407</v>
      </c>
      <c r="G972" s="223">
        <v>500</v>
      </c>
      <c r="H972" s="654" t="s">
        <v>164</v>
      </c>
      <c r="I972" s="269"/>
    </row>
    <row r="973" spans="1:9" s="361" customFormat="1">
      <c r="A973" s="542">
        <f t="shared" si="19"/>
        <v>43</v>
      </c>
      <c r="B973" s="374" t="s">
        <v>39</v>
      </c>
      <c r="C973" s="372" t="s">
        <v>8501</v>
      </c>
      <c r="D973" s="240" t="s">
        <v>5533</v>
      </c>
      <c r="E973" s="222" t="s">
        <v>1462</v>
      </c>
      <c r="F973" s="222" t="s">
        <v>1463</v>
      </c>
      <c r="G973" s="223">
        <v>6396</v>
      </c>
      <c r="H973" s="617"/>
      <c r="I973" s="269"/>
    </row>
    <row r="974" spans="1:9" s="305" customFormat="1" ht="31.5">
      <c r="A974" s="542">
        <f t="shared" si="19"/>
        <v>44</v>
      </c>
      <c r="B974" s="225" t="s">
        <v>8504</v>
      </c>
      <c r="C974" s="312" t="s">
        <v>8505</v>
      </c>
      <c r="D974" s="240" t="s">
        <v>5533</v>
      </c>
      <c r="E974" s="375" t="s">
        <v>8506</v>
      </c>
      <c r="F974" s="378" t="s">
        <v>8507</v>
      </c>
      <c r="G974" s="658"/>
      <c r="H974" s="619"/>
      <c r="I974" s="225"/>
    </row>
    <row r="975" spans="1:9" s="305" customFormat="1" ht="16.5">
      <c r="A975" s="542">
        <f t="shared" si="19"/>
        <v>45</v>
      </c>
      <c r="B975" s="351" t="s">
        <v>29</v>
      </c>
      <c r="C975" s="312" t="s">
        <v>8500</v>
      </c>
      <c r="D975" s="240"/>
      <c r="E975" s="375"/>
      <c r="F975" s="378"/>
      <c r="G975" s="659">
        <v>5200</v>
      </c>
      <c r="H975" s="619"/>
      <c r="I975" s="225"/>
    </row>
    <row r="976" spans="1:9" s="305" customFormat="1" ht="16.5">
      <c r="A976" s="542">
        <f t="shared" si="19"/>
        <v>46</v>
      </c>
      <c r="B976" s="351" t="s">
        <v>8937</v>
      </c>
      <c r="C976" s="312" t="s">
        <v>8500</v>
      </c>
      <c r="D976" s="240"/>
      <c r="E976" s="375"/>
      <c r="F976" s="378"/>
      <c r="G976" s="659">
        <v>5032</v>
      </c>
      <c r="H976" s="619"/>
      <c r="I976" s="225"/>
    </row>
    <row r="977" spans="1:10" s="305" customFormat="1" ht="31.5">
      <c r="A977" s="542">
        <f t="shared" si="19"/>
        <v>47</v>
      </c>
      <c r="B977" s="351" t="s">
        <v>6902</v>
      </c>
      <c r="C977" s="312" t="s">
        <v>8974</v>
      </c>
      <c r="D977" s="240"/>
      <c r="E977" s="375" t="s">
        <v>8975</v>
      </c>
      <c r="F977" s="378" t="s">
        <v>8976</v>
      </c>
      <c r="G977" s="659">
        <v>6057</v>
      </c>
      <c r="H977" s="517" t="s">
        <v>210</v>
      </c>
      <c r="I977" s="225"/>
    </row>
    <row r="978" spans="1:10" s="305" customFormat="1" ht="52.5" customHeight="1">
      <c r="A978" s="542">
        <f t="shared" si="19"/>
        <v>48</v>
      </c>
      <c r="B978" s="270" t="s">
        <v>969</v>
      </c>
      <c r="C978" s="547" t="s">
        <v>8823</v>
      </c>
      <c r="D978" s="270" t="s">
        <v>3373</v>
      </c>
      <c r="E978" s="270" t="s">
        <v>3373</v>
      </c>
      <c r="F978" s="270" t="s">
        <v>1100</v>
      </c>
      <c r="G978" s="529">
        <v>5500</v>
      </c>
      <c r="H978" s="622" t="s">
        <v>968</v>
      </c>
      <c r="I978" s="761" t="s">
        <v>9056</v>
      </c>
      <c r="J978" s="761" t="s">
        <v>9033</v>
      </c>
    </row>
    <row r="979" spans="1:10" s="305" customFormat="1" ht="52.5" customHeight="1">
      <c r="A979" s="542">
        <f t="shared" si="19"/>
        <v>49</v>
      </c>
      <c r="B979" s="270" t="s">
        <v>1107</v>
      </c>
      <c r="C979" s="547" t="s">
        <v>8824</v>
      </c>
      <c r="D979" s="270" t="s">
        <v>1104</v>
      </c>
      <c r="E979" s="270" t="s">
        <v>1104</v>
      </c>
      <c r="F979" s="270" t="s">
        <v>1105</v>
      </c>
      <c r="G979" s="529">
        <v>1100</v>
      </c>
      <c r="H979" s="622"/>
      <c r="I979" s="762"/>
      <c r="J979" s="762"/>
    </row>
    <row r="980" spans="1:10" s="361" customFormat="1">
      <c r="A980" s="764" t="s">
        <v>8026</v>
      </c>
      <c r="B980" s="764"/>
      <c r="C980" s="764"/>
      <c r="D980" s="518"/>
      <c r="E980" s="383"/>
      <c r="F980" s="383"/>
      <c r="G980" s="390">
        <f>SUM(G981:G1006)</f>
        <v>362408</v>
      </c>
      <c r="H980" s="519"/>
      <c r="I980" s="520"/>
    </row>
    <row r="981" spans="1:10" s="361" customFormat="1">
      <c r="A981" s="628">
        <v>50</v>
      </c>
      <c r="B981" s="225" t="s">
        <v>433</v>
      </c>
      <c r="C981" s="551" t="s">
        <v>8787</v>
      </c>
      <c r="D981" s="475"/>
      <c r="E981" s="222" t="s">
        <v>8788</v>
      </c>
      <c r="F981" s="222" t="s">
        <v>8789</v>
      </c>
      <c r="G981" s="223">
        <v>2000</v>
      </c>
      <c r="H981" s="342"/>
      <c r="I981" s="269"/>
    </row>
    <row r="982" spans="1:10" ht="31.5">
      <c r="A982" s="542">
        <f t="shared" ref="A982:A1006" si="20">A981+1</f>
        <v>51</v>
      </c>
      <c r="B982" s="337" t="s">
        <v>5905</v>
      </c>
      <c r="C982" s="312" t="s">
        <v>8457</v>
      </c>
      <c r="D982" s="312" t="s">
        <v>5533</v>
      </c>
      <c r="E982" s="312" t="s">
        <v>8110</v>
      </c>
      <c r="F982" s="337" t="s">
        <v>5288</v>
      </c>
      <c r="G982" s="641">
        <v>30000</v>
      </c>
      <c r="H982" s="346"/>
      <c r="I982" s="243"/>
    </row>
    <row r="983" spans="1:10" ht="31.5">
      <c r="A983" s="542">
        <f t="shared" si="20"/>
        <v>52</v>
      </c>
      <c r="B983" s="337" t="s">
        <v>8012</v>
      </c>
      <c r="C983" s="312" t="s">
        <v>8779</v>
      </c>
      <c r="D983" s="312"/>
      <c r="E983" s="312" t="s">
        <v>8786</v>
      </c>
      <c r="F983" s="598" t="s">
        <v>8785</v>
      </c>
      <c r="G983" s="641">
        <v>8200</v>
      </c>
      <c r="H983" s="346"/>
      <c r="I983" s="243"/>
    </row>
    <row r="984" spans="1:10" ht="16.5">
      <c r="A984" s="542">
        <f t="shared" si="20"/>
        <v>53</v>
      </c>
      <c r="B984" s="337" t="s">
        <v>8780</v>
      </c>
      <c r="C984" s="528" t="s">
        <v>8781</v>
      </c>
      <c r="D984" s="312"/>
      <c r="E984" s="312" t="s">
        <v>8786</v>
      </c>
      <c r="F984" s="598" t="s">
        <v>8785</v>
      </c>
      <c r="G984" s="641">
        <v>11800</v>
      </c>
      <c r="H984" s="346"/>
      <c r="I984" s="243"/>
    </row>
    <row r="985" spans="1:10" ht="33">
      <c r="A985" s="542">
        <f t="shared" si="20"/>
        <v>54</v>
      </c>
      <c r="B985" s="337" t="s">
        <v>8783</v>
      </c>
      <c r="C985" s="599" t="s">
        <v>8782</v>
      </c>
      <c r="D985" s="312"/>
      <c r="E985" s="488" t="s">
        <v>8784</v>
      </c>
      <c r="F985" s="598" t="s">
        <v>8785</v>
      </c>
      <c r="G985" s="641">
        <v>7800</v>
      </c>
      <c r="H985" s="346"/>
      <c r="I985" s="243"/>
    </row>
    <row r="986" spans="1:10" ht="47.25">
      <c r="A986" s="542">
        <f t="shared" si="20"/>
        <v>55</v>
      </c>
      <c r="B986" s="337" t="s">
        <v>8807</v>
      </c>
      <c r="C986" s="312" t="s">
        <v>8808</v>
      </c>
      <c r="D986" s="312"/>
      <c r="E986" s="312" t="s">
        <v>8809</v>
      </c>
      <c r="F986" s="312" t="s">
        <v>8810</v>
      </c>
      <c r="G986" s="641">
        <v>10000</v>
      </c>
      <c r="H986" s="346"/>
      <c r="I986" s="243"/>
    </row>
    <row r="987" spans="1:10" ht="31.5">
      <c r="A987" s="542">
        <f t="shared" si="20"/>
        <v>56</v>
      </c>
      <c r="B987" s="337" t="s">
        <v>6776</v>
      </c>
      <c r="C987" s="312" t="s">
        <v>8113</v>
      </c>
      <c r="D987" s="312" t="s">
        <v>5533</v>
      </c>
      <c r="E987" s="312" t="s">
        <v>8112</v>
      </c>
      <c r="F987" s="312" t="s">
        <v>482</v>
      </c>
      <c r="G987" s="641">
        <v>80000</v>
      </c>
      <c r="H987" s="346"/>
      <c r="I987" s="243"/>
    </row>
    <row r="988" spans="1:10" ht="33" customHeight="1">
      <c r="A988" s="542">
        <f t="shared" si="20"/>
        <v>57</v>
      </c>
      <c r="B988" s="337" t="s">
        <v>8425</v>
      </c>
      <c r="C988" s="312" t="s">
        <v>8426</v>
      </c>
      <c r="D988" s="312" t="s">
        <v>5533</v>
      </c>
      <c r="E988" s="312" t="s">
        <v>8458</v>
      </c>
      <c r="F988" s="312" t="s">
        <v>6776</v>
      </c>
      <c r="G988" s="641">
        <v>4000</v>
      </c>
      <c r="H988" s="346"/>
      <c r="I988" s="243"/>
    </row>
    <row r="989" spans="1:10" s="308" customFormat="1" ht="31.5">
      <c r="A989" s="542">
        <f t="shared" si="20"/>
        <v>58</v>
      </c>
      <c r="B989" s="220" t="s">
        <v>8424</v>
      </c>
      <c r="C989" s="377" t="s">
        <v>8427</v>
      </c>
      <c r="D989" s="312" t="s">
        <v>5533</v>
      </c>
      <c r="E989" s="543" t="s">
        <v>8459</v>
      </c>
      <c r="F989" s="222" t="s">
        <v>5905</v>
      </c>
      <c r="G989" s="641">
        <v>3200</v>
      </c>
      <c r="H989" s="544"/>
      <c r="I989" s="358"/>
    </row>
    <row r="990" spans="1:10" s="304" customFormat="1" ht="33" customHeight="1">
      <c r="A990" s="542">
        <f t="shared" si="20"/>
        <v>59</v>
      </c>
      <c r="B990" s="338" t="s">
        <v>6778</v>
      </c>
      <c r="C990" s="312" t="s">
        <v>8028</v>
      </c>
      <c r="D990" s="312" t="s">
        <v>5533</v>
      </c>
      <c r="E990" s="312" t="s">
        <v>8029</v>
      </c>
      <c r="F990" s="312" t="s">
        <v>482</v>
      </c>
      <c r="G990" s="641">
        <v>18000</v>
      </c>
      <c r="H990" s="346"/>
      <c r="I990" s="313"/>
    </row>
    <row r="991" spans="1:10" s="304" customFormat="1" ht="33" customHeight="1">
      <c r="A991" s="542">
        <f t="shared" si="20"/>
        <v>60</v>
      </c>
      <c r="B991" s="338" t="s">
        <v>8999</v>
      </c>
      <c r="C991" s="312" t="s">
        <v>8980</v>
      </c>
      <c r="D991" s="312"/>
      <c r="E991" s="338" t="s">
        <v>8978</v>
      </c>
      <c r="F991" s="338" t="s">
        <v>8979</v>
      </c>
      <c r="G991" s="641">
        <v>7900</v>
      </c>
      <c r="H991" s="346"/>
      <c r="I991" s="313"/>
    </row>
    <row r="992" spans="1:10" s="304" customFormat="1" ht="33" customHeight="1">
      <c r="A992" s="542">
        <f t="shared" si="20"/>
        <v>61</v>
      </c>
      <c r="B992" s="338" t="s">
        <v>8984</v>
      </c>
      <c r="C992" s="312" t="s">
        <v>6750</v>
      </c>
      <c r="D992" s="312"/>
      <c r="E992" s="600" t="s">
        <v>8985</v>
      </c>
      <c r="F992" s="600" t="s">
        <v>8982</v>
      </c>
      <c r="G992" s="641">
        <v>2700</v>
      </c>
      <c r="H992" s="346"/>
      <c r="I992" s="313"/>
    </row>
    <row r="993" spans="1:9" s="304" customFormat="1" ht="33" customHeight="1">
      <c r="A993" s="542">
        <f t="shared" si="20"/>
        <v>62</v>
      </c>
      <c r="B993" s="338" t="s">
        <v>8981</v>
      </c>
      <c r="C993" s="312" t="s">
        <v>8028</v>
      </c>
      <c r="D993" s="312"/>
      <c r="E993" s="338" t="s">
        <v>8982</v>
      </c>
      <c r="F993" s="338" t="s">
        <v>8983</v>
      </c>
      <c r="G993" s="641">
        <v>2600</v>
      </c>
      <c r="H993" s="346"/>
      <c r="I993" s="313"/>
    </row>
    <row r="994" spans="1:9" ht="58.5" customHeight="1">
      <c r="A994" s="542">
        <f t="shared" si="20"/>
        <v>63</v>
      </c>
      <c r="B994" s="338" t="s">
        <v>8027</v>
      </c>
      <c r="C994" s="312" t="s">
        <v>8977</v>
      </c>
      <c r="D994" s="312" t="s">
        <v>5533</v>
      </c>
      <c r="E994" s="312" t="s">
        <v>8030</v>
      </c>
      <c r="F994" s="312" t="s">
        <v>482</v>
      </c>
      <c r="G994" s="226">
        <v>23000</v>
      </c>
      <c r="H994" s="343"/>
      <c r="I994" s="551"/>
    </row>
    <row r="995" spans="1:9" s="304" customFormat="1" ht="31.5">
      <c r="A995" s="542">
        <f t="shared" si="20"/>
        <v>64</v>
      </c>
      <c r="B995" s="337" t="s">
        <v>1153</v>
      </c>
      <c r="C995" s="312" t="s">
        <v>8031</v>
      </c>
      <c r="D995" s="312" t="s">
        <v>5533</v>
      </c>
      <c r="E995" s="312" t="s">
        <v>8032</v>
      </c>
      <c r="F995" s="312" t="s">
        <v>482</v>
      </c>
      <c r="G995" s="659">
        <v>29000</v>
      </c>
      <c r="H995" s="346"/>
      <c r="I995" s="313"/>
    </row>
    <row r="996" spans="1:9" s="304" customFormat="1">
      <c r="A996" s="542">
        <f t="shared" si="20"/>
        <v>65</v>
      </c>
      <c r="B996" s="337" t="s">
        <v>6735</v>
      </c>
      <c r="C996" s="312" t="s">
        <v>8988</v>
      </c>
      <c r="D996" s="312"/>
      <c r="E996" s="312" t="s">
        <v>8994</v>
      </c>
      <c r="F996" s="312" t="s">
        <v>1153</v>
      </c>
      <c r="G996" s="659">
        <v>2500</v>
      </c>
      <c r="H996" s="346"/>
      <c r="I996" s="313"/>
    </row>
    <row r="997" spans="1:9" s="304" customFormat="1" ht="31.5">
      <c r="A997" s="542">
        <f t="shared" si="20"/>
        <v>66</v>
      </c>
      <c r="B997" s="337" t="s">
        <v>8986</v>
      </c>
      <c r="C997" s="312" t="s">
        <v>8992</v>
      </c>
      <c r="D997" s="312"/>
      <c r="E997" s="312" t="s">
        <v>8993</v>
      </c>
      <c r="F997" s="312" t="s">
        <v>1153</v>
      </c>
      <c r="G997" s="659">
        <v>11000</v>
      </c>
      <c r="H997" s="346"/>
      <c r="I997" s="313"/>
    </row>
    <row r="998" spans="1:9" s="304" customFormat="1" ht="31.5">
      <c r="A998" s="542">
        <f t="shared" si="20"/>
        <v>67</v>
      </c>
      <c r="B998" s="337" t="s">
        <v>8987</v>
      </c>
      <c r="C998" s="312" t="s">
        <v>8989</v>
      </c>
      <c r="D998" s="312"/>
      <c r="E998" s="312" t="s">
        <v>8991</v>
      </c>
      <c r="F998" s="312" t="s">
        <v>1153</v>
      </c>
      <c r="G998" s="659">
        <v>4000</v>
      </c>
      <c r="H998" s="346"/>
      <c r="I998" s="313"/>
    </row>
    <row r="999" spans="1:9" s="304" customFormat="1">
      <c r="A999" s="542">
        <f t="shared" si="20"/>
        <v>68</v>
      </c>
      <c r="B999" s="337" t="s">
        <v>6579</v>
      </c>
      <c r="C999" s="312" t="s">
        <v>8106</v>
      </c>
      <c r="D999" s="312"/>
      <c r="E999" s="312" t="s">
        <v>8990</v>
      </c>
      <c r="F999" s="312" t="s">
        <v>1153</v>
      </c>
      <c r="G999" s="659">
        <v>7600</v>
      </c>
      <c r="H999" s="346"/>
      <c r="I999" s="313"/>
    </row>
    <row r="1000" spans="1:9" s="304" customFormat="1" ht="31.5">
      <c r="A1000" s="542">
        <f t="shared" si="20"/>
        <v>69</v>
      </c>
      <c r="B1000" s="337" t="s">
        <v>6556</v>
      </c>
      <c r="C1000" s="312" t="s">
        <v>6576</v>
      </c>
      <c r="D1000" s="312" t="s">
        <v>5533</v>
      </c>
      <c r="E1000" s="312" t="s">
        <v>8111</v>
      </c>
      <c r="F1000" s="312" t="s">
        <v>6776</v>
      </c>
      <c r="G1000" s="659">
        <v>32000</v>
      </c>
      <c r="H1000" s="346"/>
      <c r="I1000" s="313"/>
    </row>
    <row r="1001" spans="1:9" s="304" customFormat="1" ht="31.5">
      <c r="A1001" s="542">
        <f t="shared" si="20"/>
        <v>70</v>
      </c>
      <c r="B1001" s="337" t="s">
        <v>6525</v>
      </c>
      <c r="C1001" s="312" t="s">
        <v>8419</v>
      </c>
      <c r="D1001" s="312" t="s">
        <v>5533</v>
      </c>
      <c r="E1001" s="312" t="s">
        <v>8420</v>
      </c>
      <c r="F1001" s="312" t="s">
        <v>6776</v>
      </c>
      <c r="G1001" s="659">
        <v>30000</v>
      </c>
      <c r="H1001" s="346"/>
      <c r="I1001" s="313"/>
    </row>
    <row r="1002" spans="1:9" ht="47.25">
      <c r="A1002" s="542">
        <f t="shared" si="20"/>
        <v>71</v>
      </c>
      <c r="B1002" s="338" t="s">
        <v>8117</v>
      </c>
      <c r="C1002" s="312" t="s">
        <v>8455</v>
      </c>
      <c r="D1002" s="312" t="s">
        <v>5533</v>
      </c>
      <c r="E1002" s="312" t="s">
        <v>8118</v>
      </c>
      <c r="F1002" s="312" t="s">
        <v>5905</v>
      </c>
      <c r="G1002" s="641">
        <v>27700</v>
      </c>
      <c r="H1002" s="346"/>
      <c r="I1002" s="243"/>
    </row>
    <row r="1003" spans="1:9" s="305" customFormat="1" ht="78.75">
      <c r="A1003" s="542">
        <f t="shared" si="20"/>
        <v>72</v>
      </c>
      <c r="B1003" s="225" t="s">
        <v>7385</v>
      </c>
      <c r="C1003" s="312" t="s">
        <v>7384</v>
      </c>
      <c r="D1003" s="240" t="s">
        <v>5533</v>
      </c>
      <c r="E1003" s="375"/>
      <c r="F1003" s="376"/>
      <c r="G1003" s="658"/>
      <c r="H1003" s="619"/>
      <c r="I1003" s="225"/>
    </row>
    <row r="1004" spans="1:9" s="305" customFormat="1" ht="17.25" customHeight="1">
      <c r="A1004" s="542">
        <f t="shared" si="20"/>
        <v>73</v>
      </c>
      <c r="B1004" s="225" t="s">
        <v>5883</v>
      </c>
      <c r="C1004" s="547" t="s">
        <v>5884</v>
      </c>
      <c r="D1004" s="471" t="s">
        <v>5885</v>
      </c>
      <c r="E1004" s="471" t="s">
        <v>5885</v>
      </c>
      <c r="F1004" s="471" t="s">
        <v>433</v>
      </c>
      <c r="G1004" s="329">
        <v>733</v>
      </c>
      <c r="H1004" s="521">
        <v>30</v>
      </c>
      <c r="I1004" s="225"/>
    </row>
    <row r="1005" spans="1:9" s="305" customFormat="1" ht="17.25" customHeight="1">
      <c r="A1005" s="542">
        <f t="shared" si="20"/>
        <v>74</v>
      </c>
      <c r="B1005" s="225" t="s">
        <v>5978</v>
      </c>
      <c r="C1005" s="471" t="s">
        <v>5964</v>
      </c>
      <c r="D1005" s="471" t="s">
        <v>8929</v>
      </c>
      <c r="E1005" s="471" t="s">
        <v>8929</v>
      </c>
      <c r="F1005" s="471" t="s">
        <v>433</v>
      </c>
      <c r="G1005" s="329">
        <v>4200</v>
      </c>
      <c r="H1005" s="285" t="s">
        <v>8930</v>
      </c>
      <c r="I1005" s="225"/>
    </row>
    <row r="1006" spans="1:9" s="305" customFormat="1" ht="17.25" customHeight="1">
      <c r="A1006" s="542">
        <f t="shared" si="20"/>
        <v>75</v>
      </c>
      <c r="B1006" s="225" t="s">
        <v>5969</v>
      </c>
      <c r="C1006" s="471" t="s">
        <v>5964</v>
      </c>
      <c r="D1006" s="550" t="s">
        <v>5989</v>
      </c>
      <c r="E1006" s="550" t="s">
        <v>5989</v>
      </c>
      <c r="F1006" s="471" t="s">
        <v>433</v>
      </c>
      <c r="G1006" s="329">
        <v>2475</v>
      </c>
      <c r="H1006" s="530" t="s">
        <v>8931</v>
      </c>
      <c r="I1006" s="225"/>
    </row>
    <row r="1007" spans="1:9" s="362" customFormat="1">
      <c r="A1007" s="765" t="s">
        <v>8186</v>
      </c>
      <c r="B1007" s="765"/>
      <c r="C1007" s="765"/>
      <c r="D1007" s="765"/>
      <c r="E1007" s="502"/>
      <c r="F1007" s="502"/>
      <c r="G1007" s="523">
        <f>SUM(G1008:G1044)</f>
        <v>503720</v>
      </c>
      <c r="H1007" s="402"/>
      <c r="I1007" s="407"/>
    </row>
    <row r="1008" spans="1:9" ht="35.25" customHeight="1">
      <c r="A1008" s="542">
        <f>A1006+1</f>
        <v>76</v>
      </c>
      <c r="B1008" s="317" t="s">
        <v>1150</v>
      </c>
      <c r="C1008" s="550" t="s">
        <v>8162</v>
      </c>
      <c r="D1008" s="312" t="s">
        <v>5533</v>
      </c>
      <c r="E1008" s="317" t="s">
        <v>8187</v>
      </c>
      <c r="F1008" s="317" t="s">
        <v>8252</v>
      </c>
      <c r="G1008" s="339">
        <v>5700</v>
      </c>
      <c r="H1008" s="341"/>
      <c r="I1008" s="243"/>
    </row>
    <row r="1009" spans="1:9" ht="18.75" customHeight="1">
      <c r="A1009" s="542">
        <f>A1008+1</f>
        <v>77</v>
      </c>
      <c r="B1009" s="363" t="s">
        <v>8135</v>
      </c>
      <c r="C1009" s="550" t="s">
        <v>8163</v>
      </c>
      <c r="D1009" s="312" t="s">
        <v>5533</v>
      </c>
      <c r="E1009" s="317" t="s">
        <v>8188</v>
      </c>
      <c r="F1009" s="317" t="s">
        <v>8251</v>
      </c>
      <c r="G1009" s="364">
        <v>4100</v>
      </c>
      <c r="H1009" s="341"/>
      <c r="I1009" s="243"/>
    </row>
    <row r="1010" spans="1:9" ht="18.75" customHeight="1">
      <c r="A1010" s="542">
        <f t="shared" ref="A1010:A1044" si="21">A1009+1</f>
        <v>78</v>
      </c>
      <c r="B1010" s="365" t="s">
        <v>8136</v>
      </c>
      <c r="C1010" s="550" t="s">
        <v>8164</v>
      </c>
      <c r="D1010" s="312" t="s">
        <v>5533</v>
      </c>
      <c r="E1010" s="317" t="s">
        <v>8189</v>
      </c>
      <c r="F1010" s="317" t="s">
        <v>8250</v>
      </c>
      <c r="G1010" s="366">
        <v>114000</v>
      </c>
      <c r="H1010" s="341"/>
      <c r="I1010" s="243"/>
    </row>
    <row r="1011" spans="1:9" ht="18.75" customHeight="1">
      <c r="A1011" s="542">
        <f t="shared" si="21"/>
        <v>79</v>
      </c>
      <c r="B1011" s="317" t="s">
        <v>8137</v>
      </c>
      <c r="C1011" s="550" t="s">
        <v>8165</v>
      </c>
      <c r="D1011" s="312" t="s">
        <v>5533</v>
      </c>
      <c r="E1011" s="317" t="s">
        <v>8190</v>
      </c>
      <c r="F1011" s="317" t="s">
        <v>8248</v>
      </c>
      <c r="G1011" s="339">
        <v>26900</v>
      </c>
      <c r="H1011" s="341"/>
      <c r="I1011" s="243"/>
    </row>
    <row r="1012" spans="1:9" ht="18.75" customHeight="1">
      <c r="A1012" s="542">
        <f t="shared" si="21"/>
        <v>80</v>
      </c>
      <c r="B1012" s="365" t="s">
        <v>8138</v>
      </c>
      <c r="C1012" s="550" t="s">
        <v>8165</v>
      </c>
      <c r="D1012" s="312" t="s">
        <v>5533</v>
      </c>
      <c r="E1012" s="317" t="s">
        <v>8191</v>
      </c>
      <c r="F1012" s="317" t="s">
        <v>8249</v>
      </c>
      <c r="G1012" s="366">
        <v>7200</v>
      </c>
      <c r="H1012" s="341"/>
      <c r="I1012" s="243"/>
    </row>
    <row r="1013" spans="1:9" ht="18.75" customHeight="1">
      <c r="A1013" s="542">
        <f t="shared" si="21"/>
        <v>81</v>
      </c>
      <c r="B1013" s="317" t="s">
        <v>6870</v>
      </c>
      <c r="C1013" s="550" t="s">
        <v>8165</v>
      </c>
      <c r="D1013" s="312" t="s">
        <v>5533</v>
      </c>
      <c r="E1013" s="317" t="s">
        <v>8190</v>
      </c>
      <c r="F1013" s="317" t="s">
        <v>8248</v>
      </c>
      <c r="G1013" s="339">
        <v>4100</v>
      </c>
      <c r="H1013" s="341"/>
      <c r="I1013" s="243"/>
    </row>
    <row r="1014" spans="1:9" ht="18.75" customHeight="1">
      <c r="A1014" s="542">
        <f t="shared" si="21"/>
        <v>82</v>
      </c>
      <c r="B1014" s="317" t="s">
        <v>8012</v>
      </c>
      <c r="C1014" s="550" t="s">
        <v>8166</v>
      </c>
      <c r="D1014" s="312" t="s">
        <v>5533</v>
      </c>
      <c r="E1014" s="317" t="s">
        <v>8192</v>
      </c>
      <c r="F1014" s="317" t="s">
        <v>8247</v>
      </c>
      <c r="G1014" s="339">
        <v>20200</v>
      </c>
      <c r="H1014" s="341"/>
      <c r="I1014" s="243"/>
    </row>
    <row r="1015" spans="1:9" ht="18.75" customHeight="1">
      <c r="A1015" s="542">
        <f t="shared" si="21"/>
        <v>83</v>
      </c>
      <c r="B1015" s="317" t="s">
        <v>6538</v>
      </c>
      <c r="C1015" s="550" t="s">
        <v>8167</v>
      </c>
      <c r="D1015" s="312" t="s">
        <v>5533</v>
      </c>
      <c r="E1015" s="317" t="s">
        <v>8193</v>
      </c>
      <c r="F1015" s="317" t="s">
        <v>8246</v>
      </c>
      <c r="G1015" s="339">
        <v>2100</v>
      </c>
      <c r="H1015" s="341"/>
      <c r="I1015" s="243"/>
    </row>
    <row r="1016" spans="1:9" ht="18.75" customHeight="1">
      <c r="A1016" s="542">
        <f t="shared" si="21"/>
        <v>84</v>
      </c>
      <c r="B1016" s="317" t="s">
        <v>8139</v>
      </c>
      <c r="C1016" s="550" t="s">
        <v>8165</v>
      </c>
      <c r="D1016" s="312" t="s">
        <v>5533</v>
      </c>
      <c r="E1016" s="317" t="s">
        <v>8194</v>
      </c>
      <c r="F1016" s="317" t="s">
        <v>8245</v>
      </c>
      <c r="G1016" s="339">
        <v>8000</v>
      </c>
      <c r="H1016" s="341"/>
      <c r="I1016" s="243"/>
    </row>
    <row r="1017" spans="1:9" ht="18.75" customHeight="1">
      <c r="A1017" s="542">
        <f t="shared" si="21"/>
        <v>85</v>
      </c>
      <c r="B1017" s="317" t="s">
        <v>8140</v>
      </c>
      <c r="C1017" s="550" t="s">
        <v>8168</v>
      </c>
      <c r="D1017" s="312" t="s">
        <v>5533</v>
      </c>
      <c r="E1017" s="317" t="s">
        <v>8195</v>
      </c>
      <c r="F1017" s="317" t="s">
        <v>8244</v>
      </c>
      <c r="G1017" s="339">
        <v>22000</v>
      </c>
      <c r="H1017" s="341"/>
      <c r="I1017" s="243"/>
    </row>
    <row r="1018" spans="1:9" ht="18.75" customHeight="1">
      <c r="A1018" s="542">
        <f t="shared" si="21"/>
        <v>86</v>
      </c>
      <c r="B1018" s="363" t="s">
        <v>7206</v>
      </c>
      <c r="C1018" s="550" t="s">
        <v>8169</v>
      </c>
      <c r="D1018" s="312" t="s">
        <v>5533</v>
      </c>
      <c r="E1018" s="317" t="s">
        <v>8196</v>
      </c>
      <c r="F1018" s="317" t="s">
        <v>8243</v>
      </c>
      <c r="G1018" s="366">
        <v>20000</v>
      </c>
      <c r="H1018" s="341"/>
      <c r="I1018" s="243"/>
    </row>
    <row r="1019" spans="1:9" ht="18.75" customHeight="1">
      <c r="A1019" s="542">
        <f t="shared" si="21"/>
        <v>87</v>
      </c>
      <c r="B1019" s="363" t="s">
        <v>8141</v>
      </c>
      <c r="C1019" s="550" t="s">
        <v>8170</v>
      </c>
      <c r="D1019" s="312" t="s">
        <v>5533</v>
      </c>
      <c r="E1019" s="317" t="s">
        <v>8197</v>
      </c>
      <c r="F1019" s="317" t="s">
        <v>8242</v>
      </c>
      <c r="G1019" s="364">
        <v>8300</v>
      </c>
      <c r="H1019" s="341"/>
      <c r="I1019" s="243"/>
    </row>
    <row r="1020" spans="1:9" ht="18.75" customHeight="1">
      <c r="A1020" s="542">
        <f t="shared" si="21"/>
        <v>88</v>
      </c>
      <c r="B1020" s="317" t="s">
        <v>8142</v>
      </c>
      <c r="C1020" s="550" t="s">
        <v>8171</v>
      </c>
      <c r="D1020" s="312" t="s">
        <v>5533</v>
      </c>
      <c r="E1020" s="317" t="s">
        <v>8198</v>
      </c>
      <c r="F1020" s="317" t="s">
        <v>8241</v>
      </c>
      <c r="G1020" s="339">
        <v>5700</v>
      </c>
      <c r="H1020" s="341"/>
      <c r="I1020" s="243"/>
    </row>
    <row r="1021" spans="1:9" ht="18.75" customHeight="1">
      <c r="A1021" s="542">
        <f t="shared" si="21"/>
        <v>89</v>
      </c>
      <c r="B1021" s="365" t="s">
        <v>5834</v>
      </c>
      <c r="C1021" s="550" t="s">
        <v>6893</v>
      </c>
      <c r="D1021" s="312" t="s">
        <v>5533</v>
      </c>
      <c r="E1021" s="317" t="s">
        <v>8199</v>
      </c>
      <c r="F1021" s="317" t="s">
        <v>8240</v>
      </c>
      <c r="G1021" s="366">
        <v>36920</v>
      </c>
      <c r="H1021" s="341"/>
      <c r="I1021" s="243"/>
    </row>
    <row r="1022" spans="1:9" ht="18.75" customHeight="1">
      <c r="A1022" s="542">
        <f t="shared" si="21"/>
        <v>90</v>
      </c>
      <c r="B1022" s="363" t="s">
        <v>6807</v>
      </c>
      <c r="C1022" s="550" t="s">
        <v>8172</v>
      </c>
      <c r="D1022" s="312" t="s">
        <v>5533</v>
      </c>
      <c r="E1022" s="317" t="s">
        <v>8200</v>
      </c>
      <c r="F1022" s="317" t="s">
        <v>8199</v>
      </c>
      <c r="G1022" s="364">
        <v>6900</v>
      </c>
      <c r="H1022" s="341"/>
      <c r="I1022" s="243"/>
    </row>
    <row r="1023" spans="1:9" ht="18.75" customHeight="1">
      <c r="A1023" s="542">
        <f t="shared" si="21"/>
        <v>91</v>
      </c>
      <c r="B1023" s="317" t="s">
        <v>8143</v>
      </c>
      <c r="C1023" s="550" t="s">
        <v>8172</v>
      </c>
      <c r="D1023" s="312" t="s">
        <v>5533</v>
      </c>
      <c r="E1023" s="317" t="s">
        <v>8201</v>
      </c>
      <c r="F1023" s="317" t="s">
        <v>8199</v>
      </c>
      <c r="G1023" s="339">
        <v>6700</v>
      </c>
      <c r="H1023" s="341"/>
      <c r="I1023" s="243"/>
    </row>
    <row r="1024" spans="1:9" ht="18.75" customHeight="1">
      <c r="A1024" s="542">
        <f t="shared" si="21"/>
        <v>92</v>
      </c>
      <c r="B1024" s="365" t="s">
        <v>8144</v>
      </c>
      <c r="C1024" s="550" t="s">
        <v>7111</v>
      </c>
      <c r="D1024" s="312" t="s">
        <v>5533</v>
      </c>
      <c r="E1024" s="317" t="s">
        <v>8202</v>
      </c>
      <c r="F1024" s="317" t="s">
        <v>8239</v>
      </c>
      <c r="G1024" s="366">
        <v>7900</v>
      </c>
      <c r="H1024" s="341"/>
      <c r="I1024" s="243"/>
    </row>
    <row r="1025" spans="1:9" ht="18.75" customHeight="1">
      <c r="A1025" s="542">
        <f t="shared" si="21"/>
        <v>93</v>
      </c>
      <c r="B1025" s="363" t="s">
        <v>8145</v>
      </c>
      <c r="C1025" s="550" t="s">
        <v>8456</v>
      </c>
      <c r="D1025" s="312" t="s">
        <v>5533</v>
      </c>
      <c r="E1025" s="317" t="s">
        <v>8203</v>
      </c>
      <c r="F1025" s="317" t="s">
        <v>8238</v>
      </c>
      <c r="G1025" s="364">
        <v>6900</v>
      </c>
      <c r="H1025" s="341"/>
      <c r="I1025" s="243"/>
    </row>
    <row r="1026" spans="1:9" ht="18.75" customHeight="1">
      <c r="A1026" s="542">
        <f t="shared" si="21"/>
        <v>94</v>
      </c>
      <c r="B1026" s="363" t="s">
        <v>8146</v>
      </c>
      <c r="C1026" s="550" t="s">
        <v>8172</v>
      </c>
      <c r="D1026" s="312" t="s">
        <v>5533</v>
      </c>
      <c r="E1026" s="317" t="s">
        <v>8204</v>
      </c>
      <c r="F1026" s="317" t="s">
        <v>8237</v>
      </c>
      <c r="G1026" s="364">
        <v>900</v>
      </c>
      <c r="H1026" s="341"/>
      <c r="I1026" s="243"/>
    </row>
    <row r="1027" spans="1:9" ht="21.75" customHeight="1">
      <c r="A1027" s="542">
        <f t="shared" si="21"/>
        <v>95</v>
      </c>
      <c r="B1027" s="363" t="s">
        <v>8147</v>
      </c>
      <c r="C1027" s="550" t="s">
        <v>8173</v>
      </c>
      <c r="D1027" s="312" t="s">
        <v>5533</v>
      </c>
      <c r="E1027" s="317" t="s">
        <v>8205</v>
      </c>
      <c r="F1027" s="317" t="s">
        <v>8236</v>
      </c>
      <c r="G1027" s="364">
        <v>4500</v>
      </c>
      <c r="H1027" s="341"/>
      <c r="I1027" s="243"/>
    </row>
    <row r="1028" spans="1:9" ht="18.75" customHeight="1">
      <c r="A1028" s="542">
        <f t="shared" si="21"/>
        <v>96</v>
      </c>
      <c r="B1028" s="365" t="s">
        <v>8148</v>
      </c>
      <c r="C1028" s="550" t="s">
        <v>8174</v>
      </c>
      <c r="D1028" s="312" t="s">
        <v>5533</v>
      </c>
      <c r="E1028" s="317" t="s">
        <v>8206</v>
      </c>
      <c r="F1028" s="317" t="s">
        <v>8235</v>
      </c>
      <c r="G1028" s="366">
        <v>27000</v>
      </c>
      <c r="H1028" s="341"/>
      <c r="I1028" s="243"/>
    </row>
    <row r="1029" spans="1:9" ht="31.5">
      <c r="A1029" s="542">
        <f t="shared" si="21"/>
        <v>97</v>
      </c>
      <c r="B1029" s="317" t="s">
        <v>7339</v>
      </c>
      <c r="C1029" s="550" t="s">
        <v>8175</v>
      </c>
      <c r="D1029" s="312" t="s">
        <v>5533</v>
      </c>
      <c r="E1029" s="317" t="s">
        <v>8207</v>
      </c>
      <c r="F1029" s="317" t="s">
        <v>8234</v>
      </c>
      <c r="G1029" s="339">
        <v>6400</v>
      </c>
      <c r="H1029" s="341"/>
      <c r="I1029" s="243"/>
    </row>
    <row r="1030" spans="1:9" ht="19.5" customHeight="1">
      <c r="A1030" s="542">
        <f t="shared" si="21"/>
        <v>98</v>
      </c>
      <c r="B1030" s="317" t="s">
        <v>8149</v>
      </c>
      <c r="C1030" s="550" t="s">
        <v>7041</v>
      </c>
      <c r="D1030" s="312" t="s">
        <v>5533</v>
      </c>
      <c r="E1030" s="317" t="s">
        <v>8208</v>
      </c>
      <c r="F1030" s="317" t="s">
        <v>8233</v>
      </c>
      <c r="G1030" s="339">
        <v>8300</v>
      </c>
      <c r="H1030" s="341"/>
      <c r="I1030" s="243"/>
    </row>
    <row r="1031" spans="1:9" ht="35.25" customHeight="1">
      <c r="A1031" s="542">
        <f t="shared" si="21"/>
        <v>99</v>
      </c>
      <c r="B1031" s="317" t="s">
        <v>8150</v>
      </c>
      <c r="C1031" s="550" t="s">
        <v>8176</v>
      </c>
      <c r="D1031" s="312" t="s">
        <v>5533</v>
      </c>
      <c r="E1031" s="317" t="s">
        <v>8209</v>
      </c>
      <c r="F1031" s="317" t="s">
        <v>8208</v>
      </c>
      <c r="G1031" s="339">
        <v>9200</v>
      </c>
      <c r="H1031" s="341"/>
      <c r="I1031" s="243"/>
    </row>
    <row r="1032" spans="1:9" ht="19.5" customHeight="1">
      <c r="A1032" s="542">
        <f t="shared" si="21"/>
        <v>100</v>
      </c>
      <c r="B1032" s="317" t="s">
        <v>8151</v>
      </c>
      <c r="C1032" s="550" t="s">
        <v>8177</v>
      </c>
      <c r="D1032" s="312" t="s">
        <v>5533</v>
      </c>
      <c r="E1032" s="317" t="s">
        <v>8210</v>
      </c>
      <c r="F1032" s="317" t="s">
        <v>8232</v>
      </c>
      <c r="G1032" s="339">
        <v>9100</v>
      </c>
      <c r="H1032" s="341"/>
      <c r="I1032" s="243"/>
    </row>
    <row r="1033" spans="1:9" ht="36" customHeight="1">
      <c r="A1033" s="542">
        <f t="shared" si="21"/>
        <v>101</v>
      </c>
      <c r="B1033" s="317" t="s">
        <v>8152</v>
      </c>
      <c r="C1033" s="550" t="s">
        <v>8176</v>
      </c>
      <c r="D1033" s="312" t="s">
        <v>5533</v>
      </c>
      <c r="E1033" s="317" t="s">
        <v>8211</v>
      </c>
      <c r="F1033" s="317" t="s">
        <v>8208</v>
      </c>
      <c r="G1033" s="339">
        <v>5500</v>
      </c>
      <c r="H1033" s="341"/>
      <c r="I1033" s="243"/>
    </row>
    <row r="1034" spans="1:9" ht="19.5" customHeight="1">
      <c r="A1034" s="542">
        <f t="shared" si="21"/>
        <v>102</v>
      </c>
      <c r="B1034" s="317" t="s">
        <v>6538</v>
      </c>
      <c r="C1034" s="550" t="s">
        <v>8177</v>
      </c>
      <c r="D1034" s="312" t="s">
        <v>5533</v>
      </c>
      <c r="E1034" s="317" t="s">
        <v>8212</v>
      </c>
      <c r="F1034" s="317" t="s">
        <v>8231</v>
      </c>
      <c r="G1034" s="339">
        <v>12200</v>
      </c>
      <c r="H1034" s="341"/>
      <c r="I1034" s="243"/>
    </row>
    <row r="1035" spans="1:9" ht="19.5" customHeight="1">
      <c r="A1035" s="542">
        <f t="shared" si="21"/>
        <v>103</v>
      </c>
      <c r="B1035" s="317" t="s">
        <v>8153</v>
      </c>
      <c r="C1035" s="550" t="s">
        <v>8178</v>
      </c>
      <c r="D1035" s="312" t="s">
        <v>5533</v>
      </c>
      <c r="E1035" s="317" t="s">
        <v>8213</v>
      </c>
      <c r="F1035" s="317" t="s">
        <v>8230</v>
      </c>
      <c r="G1035" s="339">
        <v>3700</v>
      </c>
      <c r="H1035" s="341"/>
      <c r="I1035" s="243"/>
    </row>
    <row r="1036" spans="1:9" ht="19.5" customHeight="1">
      <c r="A1036" s="542">
        <f t="shared" si="21"/>
        <v>104</v>
      </c>
      <c r="B1036" s="317" t="s">
        <v>8154</v>
      </c>
      <c r="C1036" s="550" t="s">
        <v>8178</v>
      </c>
      <c r="D1036" s="312" t="s">
        <v>5533</v>
      </c>
      <c r="E1036" s="317" t="s">
        <v>8214</v>
      </c>
      <c r="F1036" s="317" t="s">
        <v>8229</v>
      </c>
      <c r="G1036" s="339">
        <v>18300</v>
      </c>
      <c r="H1036" s="341"/>
      <c r="I1036" s="243"/>
    </row>
    <row r="1037" spans="1:9" ht="19.5" customHeight="1">
      <c r="A1037" s="542">
        <f t="shared" si="21"/>
        <v>105</v>
      </c>
      <c r="B1037" s="317" t="s">
        <v>8155</v>
      </c>
      <c r="C1037" s="550" t="s">
        <v>8179</v>
      </c>
      <c r="D1037" s="312" t="s">
        <v>5533</v>
      </c>
      <c r="E1037" s="317" t="s">
        <v>8215</v>
      </c>
      <c r="F1037" s="317" t="s">
        <v>8228</v>
      </c>
      <c r="G1037" s="339">
        <v>16500</v>
      </c>
      <c r="H1037" s="341"/>
      <c r="I1037" s="243"/>
    </row>
    <row r="1038" spans="1:9" ht="19.5" customHeight="1">
      <c r="A1038" s="542">
        <f t="shared" si="21"/>
        <v>106</v>
      </c>
      <c r="B1038" s="317" t="s">
        <v>8156</v>
      </c>
      <c r="C1038" s="550" t="s">
        <v>8180</v>
      </c>
      <c r="D1038" s="312" t="s">
        <v>5533</v>
      </c>
      <c r="E1038" s="317" t="s">
        <v>8216</v>
      </c>
      <c r="F1038" s="317" t="s">
        <v>8227</v>
      </c>
      <c r="G1038" s="339">
        <v>23700</v>
      </c>
      <c r="H1038" s="341"/>
      <c r="I1038" s="243"/>
    </row>
    <row r="1039" spans="1:9" ht="19.5" customHeight="1">
      <c r="A1039" s="542">
        <f t="shared" si="21"/>
        <v>107</v>
      </c>
      <c r="B1039" s="317" t="s">
        <v>8157</v>
      </c>
      <c r="C1039" s="550" t="s">
        <v>8181</v>
      </c>
      <c r="D1039" s="312" t="s">
        <v>5533</v>
      </c>
      <c r="E1039" s="317" t="s">
        <v>8217</v>
      </c>
      <c r="F1039" s="317" t="s">
        <v>8226</v>
      </c>
      <c r="G1039" s="339">
        <v>11500</v>
      </c>
      <c r="H1039" s="341"/>
      <c r="I1039" s="243"/>
    </row>
    <row r="1040" spans="1:9" ht="19.5" customHeight="1">
      <c r="A1040" s="542">
        <f t="shared" si="21"/>
        <v>108</v>
      </c>
      <c r="B1040" s="317" t="s">
        <v>8158</v>
      </c>
      <c r="C1040" s="550" t="s">
        <v>6952</v>
      </c>
      <c r="D1040" s="312" t="s">
        <v>5533</v>
      </c>
      <c r="E1040" s="317" t="s">
        <v>8218</v>
      </c>
      <c r="F1040" s="317" t="s">
        <v>8225</v>
      </c>
      <c r="G1040" s="339">
        <v>13800</v>
      </c>
      <c r="H1040" s="341"/>
      <c r="I1040" s="243"/>
    </row>
    <row r="1041" spans="1:9" ht="31.5">
      <c r="A1041" s="542">
        <f t="shared" si="21"/>
        <v>109</v>
      </c>
      <c r="B1041" s="317" t="s">
        <v>8159</v>
      </c>
      <c r="C1041" s="550" t="s">
        <v>8182</v>
      </c>
      <c r="D1041" s="312" t="s">
        <v>5533</v>
      </c>
      <c r="E1041" s="317" t="s">
        <v>8219</v>
      </c>
      <c r="F1041" s="317" t="s">
        <v>8220</v>
      </c>
      <c r="G1041" s="339">
        <v>6000</v>
      </c>
      <c r="H1041" s="341"/>
      <c r="I1041" s="243"/>
    </row>
    <row r="1042" spans="1:9" ht="31.5">
      <c r="A1042" s="542">
        <f t="shared" si="21"/>
        <v>110</v>
      </c>
      <c r="B1042" s="317" t="s">
        <v>8160</v>
      </c>
      <c r="C1042" s="550" t="s">
        <v>8183</v>
      </c>
      <c r="D1042" s="312" t="s">
        <v>5533</v>
      </c>
      <c r="E1042" s="317" t="s">
        <v>8220</v>
      </c>
      <c r="F1042" s="317" t="s">
        <v>8224</v>
      </c>
      <c r="G1042" s="339">
        <v>5500</v>
      </c>
      <c r="H1042" s="341"/>
      <c r="I1042" s="243"/>
    </row>
    <row r="1043" spans="1:9" ht="31.5">
      <c r="A1043" s="542">
        <f t="shared" si="21"/>
        <v>111</v>
      </c>
      <c r="B1043" s="317" t="s">
        <v>8161</v>
      </c>
      <c r="C1043" s="550" t="s">
        <v>8184</v>
      </c>
      <c r="D1043" s="312" t="s">
        <v>5533</v>
      </c>
      <c r="E1043" s="547" t="s">
        <v>8221</v>
      </c>
      <c r="F1043" s="547" t="s">
        <v>8222</v>
      </c>
      <c r="G1043" s="339">
        <v>3000</v>
      </c>
      <c r="H1043" s="341"/>
      <c r="I1043" s="243"/>
    </row>
    <row r="1044" spans="1:9" ht="31.5">
      <c r="A1044" s="542">
        <f t="shared" si="21"/>
        <v>112</v>
      </c>
      <c r="B1044" s="317" t="s">
        <v>6224</v>
      </c>
      <c r="C1044" s="550" t="s">
        <v>8185</v>
      </c>
      <c r="D1044" s="312" t="s">
        <v>5533</v>
      </c>
      <c r="E1044" s="547" t="s">
        <v>8221</v>
      </c>
      <c r="F1044" s="547" t="s">
        <v>8223</v>
      </c>
      <c r="G1044" s="339">
        <v>5000</v>
      </c>
      <c r="H1044" s="341"/>
      <c r="I1044" s="243"/>
    </row>
  </sheetData>
  <mergeCells count="39">
    <mergeCell ref="A4:D4"/>
    <mergeCell ref="C895:C898"/>
    <mergeCell ref="B870:D870"/>
    <mergeCell ref="A1:I1"/>
    <mergeCell ref="A2:A3"/>
    <mergeCell ref="B2:B3"/>
    <mergeCell ref="C2:C3"/>
    <mergeCell ref="D2:D3"/>
    <mergeCell ref="E2:F2"/>
    <mergeCell ref="G2:H2"/>
    <mergeCell ref="I2:I3"/>
    <mergeCell ref="C874:C878"/>
    <mergeCell ref="D874:D878"/>
    <mergeCell ref="A5:D5"/>
    <mergeCell ref="B879:C879"/>
    <mergeCell ref="C880:C884"/>
    <mergeCell ref="D880:D884"/>
    <mergeCell ref="B885:F885"/>
    <mergeCell ref="D895:D898"/>
    <mergeCell ref="D890:D891"/>
    <mergeCell ref="E895:E898"/>
    <mergeCell ref="B893:D893"/>
    <mergeCell ref="A980:C980"/>
    <mergeCell ref="A1007:D1007"/>
    <mergeCell ref="F895:F898"/>
    <mergeCell ref="A930:C930"/>
    <mergeCell ref="B922:C922"/>
    <mergeCell ref="D922:D928"/>
    <mergeCell ref="C900:C921"/>
    <mergeCell ref="D900:D921"/>
    <mergeCell ref="E900:E921"/>
    <mergeCell ref="F900:F921"/>
    <mergeCell ref="A929:F929"/>
    <mergeCell ref="C923:C924"/>
    <mergeCell ref="E923:E924"/>
    <mergeCell ref="C926:C928"/>
    <mergeCell ref="E926:E928"/>
    <mergeCell ref="J978:J979"/>
    <mergeCell ref="I978:I979"/>
  </mergeCells>
  <pageMargins left="0.7" right="0.2" top="0.5" bottom="0.5" header="0.05" footer="0.05"/>
  <pageSetup paperSize="9" scale="79"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0"/>
  <sheetViews>
    <sheetView zoomScaleNormal="100" zoomScaleSheetLayoutView="100" workbookViewId="0">
      <selection activeCell="A2" sqref="A2:I2"/>
    </sheetView>
  </sheetViews>
  <sheetFormatPr defaultRowHeight="16.5"/>
  <cols>
    <col min="1" max="1" width="6.42578125" style="262" customWidth="1"/>
    <col min="2" max="2" width="23" style="263" bestFit="1" customWidth="1"/>
    <col min="3" max="3" width="35" style="261" customWidth="1"/>
    <col min="4" max="4" width="22" style="264" customWidth="1"/>
    <col min="5" max="5" width="15.7109375" style="264" customWidth="1"/>
    <col min="6" max="6" width="15" style="265" customWidth="1"/>
    <col min="7" max="7" width="18.7109375" style="265" customWidth="1"/>
    <col min="8" max="8" width="12.28515625" style="265" bestFit="1" customWidth="1"/>
    <col min="9" max="9" width="10.7109375" style="259" customWidth="1"/>
    <col min="10" max="223" width="9.140625" style="259"/>
    <col min="224" max="224" width="7.7109375" style="259" customWidth="1"/>
    <col min="225" max="225" width="27.28515625" style="259" customWidth="1"/>
    <col min="226" max="226" width="15.7109375" style="259" customWidth="1"/>
    <col min="227" max="227" width="25.5703125" style="259" customWidth="1"/>
    <col min="228" max="228" width="29.7109375" style="259" customWidth="1"/>
    <col min="229" max="229" width="20.85546875" style="259" customWidth="1"/>
    <col min="230" max="230" width="18.5703125" style="259" customWidth="1"/>
    <col min="231" max="231" width="16.7109375" style="259" customWidth="1"/>
    <col min="232" max="232" width="13.85546875" style="259" customWidth="1"/>
    <col min="233" max="233" width="14.28515625" style="259" customWidth="1"/>
    <col min="234" max="234" width="12" style="259" customWidth="1"/>
    <col min="235" max="16384" width="9.140625" style="259"/>
  </cols>
  <sheetData>
    <row r="1" spans="1:9" s="253" customFormat="1" ht="66.75" customHeight="1">
      <c r="A1" s="787" t="s">
        <v>8398</v>
      </c>
      <c r="B1" s="787"/>
      <c r="C1" s="787"/>
      <c r="D1" s="787"/>
      <c r="E1" s="787"/>
      <c r="F1" s="787"/>
      <c r="G1" s="787"/>
      <c r="H1" s="787"/>
      <c r="I1" s="787"/>
    </row>
    <row r="2" spans="1:9" s="253" customFormat="1" ht="15.75" customHeight="1">
      <c r="A2" s="788" t="s">
        <v>9122</v>
      </c>
      <c r="B2" s="789"/>
      <c r="C2" s="789"/>
      <c r="D2" s="789"/>
      <c r="E2" s="789"/>
      <c r="F2" s="789"/>
      <c r="G2" s="789"/>
      <c r="H2" s="789"/>
      <c r="I2" s="789"/>
    </row>
    <row r="3" spans="1:9" s="253" customFormat="1" ht="12" customHeight="1">
      <c r="A3" s="254"/>
      <c r="B3" s="255"/>
      <c r="C3" s="256"/>
      <c r="D3" s="257"/>
      <c r="E3" s="257"/>
      <c r="F3" s="258"/>
      <c r="G3" s="258"/>
      <c r="H3" s="258"/>
    </row>
    <row r="4" spans="1:9" s="253" customFormat="1" ht="17.25" customHeight="1">
      <c r="A4" s="790" t="s">
        <v>474</v>
      </c>
      <c r="B4" s="792" t="s">
        <v>6786</v>
      </c>
      <c r="C4" s="794" t="s">
        <v>7087</v>
      </c>
      <c r="D4" s="796" t="s">
        <v>6787</v>
      </c>
      <c r="E4" s="797"/>
      <c r="F4" s="797"/>
      <c r="G4" s="797"/>
      <c r="H4" s="798"/>
      <c r="I4" s="799" t="s">
        <v>587</v>
      </c>
    </row>
    <row r="5" spans="1:9" s="253" customFormat="1" ht="47.25" customHeight="1">
      <c r="A5" s="791"/>
      <c r="B5" s="793"/>
      <c r="C5" s="795"/>
      <c r="D5" s="408" t="s">
        <v>7088</v>
      </c>
      <c r="E5" s="408" t="s">
        <v>6788</v>
      </c>
      <c r="F5" s="408" t="s">
        <v>6789</v>
      </c>
      <c r="G5" s="408" t="s">
        <v>7089</v>
      </c>
      <c r="H5" s="409" t="s">
        <v>6792</v>
      </c>
      <c r="I5" s="800"/>
    </row>
    <row r="6" spans="1:9" s="256" customFormat="1">
      <c r="A6" s="410" t="s">
        <v>5530</v>
      </c>
      <c r="B6" s="463" t="s">
        <v>6793</v>
      </c>
      <c r="C6" s="411"/>
      <c r="D6" s="412"/>
      <c r="E6" s="464"/>
      <c r="F6" s="465"/>
      <c r="G6" s="413"/>
      <c r="H6" s="413"/>
      <c r="I6" s="410"/>
    </row>
    <row r="7" spans="1:9" s="261" customFormat="1" ht="33">
      <c r="A7" s="307">
        <v>1</v>
      </c>
      <c r="B7" s="466" t="s">
        <v>7090</v>
      </c>
      <c r="C7" s="307" t="s">
        <v>7091</v>
      </c>
      <c r="D7" s="466">
        <v>215.36</v>
      </c>
      <c r="E7" s="663">
        <v>34</v>
      </c>
      <c r="F7" s="664">
        <v>1930</v>
      </c>
      <c r="G7" s="467">
        <v>2641</v>
      </c>
      <c r="H7" s="781" t="s">
        <v>7092</v>
      </c>
      <c r="I7" s="260"/>
    </row>
    <row r="8" spans="1:9" s="261" customFormat="1" ht="33">
      <c r="A8" s="307">
        <v>2</v>
      </c>
      <c r="B8" s="466" t="s">
        <v>7093</v>
      </c>
      <c r="C8" s="307" t="s">
        <v>7094</v>
      </c>
      <c r="D8" s="466">
        <v>33.4</v>
      </c>
      <c r="E8" s="663">
        <v>22.5</v>
      </c>
      <c r="F8" s="664">
        <v>1258</v>
      </c>
      <c r="G8" s="467">
        <v>400.84</v>
      </c>
      <c r="H8" s="782"/>
      <c r="I8" s="260"/>
    </row>
    <row r="9" spans="1:9" s="261" customFormat="1" ht="20.25" customHeight="1">
      <c r="A9" s="307">
        <v>3</v>
      </c>
      <c r="B9" s="466" t="s">
        <v>7095</v>
      </c>
      <c r="C9" s="307" t="s">
        <v>7096</v>
      </c>
      <c r="D9" s="466">
        <v>12.2</v>
      </c>
      <c r="E9" s="663">
        <v>23.8</v>
      </c>
      <c r="F9" s="664">
        <v>600</v>
      </c>
      <c r="G9" s="467">
        <v>67.7</v>
      </c>
      <c r="H9" s="782"/>
      <c r="I9" s="260"/>
    </row>
    <row r="10" spans="1:9" s="261" customFormat="1" ht="20.25" customHeight="1">
      <c r="A10" s="307">
        <v>4</v>
      </c>
      <c r="B10" s="466" t="s">
        <v>7097</v>
      </c>
      <c r="C10" s="307" t="s">
        <v>7098</v>
      </c>
      <c r="D10" s="466">
        <v>11.35</v>
      </c>
      <c r="E10" s="663">
        <v>14.2</v>
      </c>
      <c r="F10" s="664">
        <v>941</v>
      </c>
      <c r="G10" s="467">
        <v>80.89</v>
      </c>
      <c r="H10" s="782"/>
      <c r="I10" s="260"/>
    </row>
    <row r="11" spans="1:9" s="261" customFormat="1" ht="20.25" customHeight="1">
      <c r="A11" s="307">
        <v>5</v>
      </c>
      <c r="B11" s="466" t="s">
        <v>7099</v>
      </c>
      <c r="C11" s="307" t="s">
        <v>7100</v>
      </c>
      <c r="D11" s="466">
        <v>5.85</v>
      </c>
      <c r="E11" s="663">
        <v>19.2</v>
      </c>
      <c r="F11" s="664">
        <v>680</v>
      </c>
      <c r="G11" s="467">
        <v>40</v>
      </c>
      <c r="H11" s="782"/>
      <c r="I11" s="260"/>
    </row>
    <row r="12" spans="1:9" s="261" customFormat="1" ht="20.25" customHeight="1">
      <c r="A12" s="307">
        <v>6</v>
      </c>
      <c r="B12" s="466" t="s">
        <v>7101</v>
      </c>
      <c r="C12" s="307" t="s">
        <v>7102</v>
      </c>
      <c r="D12" s="665">
        <v>6</v>
      </c>
      <c r="E12" s="663">
        <v>15.6</v>
      </c>
      <c r="F12" s="664">
        <v>600</v>
      </c>
      <c r="G12" s="467">
        <v>162.9</v>
      </c>
      <c r="H12" s="782"/>
      <c r="I12" s="260"/>
    </row>
    <row r="13" spans="1:9" s="261" customFormat="1" ht="20.25" customHeight="1">
      <c r="A13" s="307">
        <v>7</v>
      </c>
      <c r="B13" s="466" t="s">
        <v>7103</v>
      </c>
      <c r="C13" s="307" t="s">
        <v>5832</v>
      </c>
      <c r="D13" s="466">
        <v>4.5</v>
      </c>
      <c r="E13" s="663">
        <v>10.5</v>
      </c>
      <c r="F13" s="664">
        <v>1022</v>
      </c>
      <c r="G13" s="467">
        <v>6</v>
      </c>
      <c r="H13" s="782"/>
      <c r="I13" s="260"/>
    </row>
    <row r="14" spans="1:9" s="261" customFormat="1" ht="20.25" customHeight="1">
      <c r="A14" s="307">
        <v>8</v>
      </c>
      <c r="B14" s="466" t="s">
        <v>7104</v>
      </c>
      <c r="C14" s="307" t="s">
        <v>5827</v>
      </c>
      <c r="D14" s="466">
        <v>4.3</v>
      </c>
      <c r="E14" s="663">
        <v>12.43</v>
      </c>
      <c r="F14" s="664">
        <v>1220</v>
      </c>
      <c r="G14" s="467">
        <v>40.44</v>
      </c>
      <c r="H14" s="782"/>
      <c r="I14" s="260"/>
    </row>
    <row r="15" spans="1:9" s="261" customFormat="1" ht="20.25" customHeight="1">
      <c r="A15" s="307">
        <v>9</v>
      </c>
      <c r="B15" s="466" t="s">
        <v>7105</v>
      </c>
      <c r="C15" s="307" t="s">
        <v>7106</v>
      </c>
      <c r="D15" s="665">
        <v>4</v>
      </c>
      <c r="E15" s="663">
        <v>21.3</v>
      </c>
      <c r="F15" s="664">
        <v>809</v>
      </c>
      <c r="G15" s="467">
        <v>45.09</v>
      </c>
      <c r="H15" s="782"/>
      <c r="I15" s="260"/>
    </row>
    <row r="16" spans="1:9" s="261" customFormat="1" ht="20.25" customHeight="1">
      <c r="A16" s="307">
        <v>10</v>
      </c>
      <c r="B16" s="466" t="s">
        <v>7107</v>
      </c>
      <c r="C16" s="307" t="s">
        <v>7108</v>
      </c>
      <c r="D16" s="466">
        <v>3.52</v>
      </c>
      <c r="E16" s="663">
        <v>7.5</v>
      </c>
      <c r="F16" s="664">
        <v>1010</v>
      </c>
      <c r="G16" s="467">
        <v>64.13</v>
      </c>
      <c r="H16" s="782"/>
      <c r="I16" s="260"/>
    </row>
    <row r="17" spans="1:9" s="261" customFormat="1" ht="20.25" customHeight="1">
      <c r="A17" s="307">
        <v>11</v>
      </c>
      <c r="B17" s="466" t="s">
        <v>7109</v>
      </c>
      <c r="C17" s="307" t="s">
        <v>6939</v>
      </c>
      <c r="D17" s="466">
        <v>3.78</v>
      </c>
      <c r="E17" s="663">
        <v>21</v>
      </c>
      <c r="F17" s="664">
        <v>1000</v>
      </c>
      <c r="G17" s="467">
        <v>45.5</v>
      </c>
      <c r="H17" s="782"/>
      <c r="I17" s="260"/>
    </row>
    <row r="18" spans="1:9" s="261" customFormat="1" ht="20.25" customHeight="1">
      <c r="A18" s="307">
        <v>12</v>
      </c>
      <c r="B18" s="466" t="s">
        <v>7110</v>
      </c>
      <c r="C18" s="307" t="s">
        <v>7111</v>
      </c>
      <c r="D18" s="466">
        <v>2.2200000000000002</v>
      </c>
      <c r="E18" s="663">
        <v>12</v>
      </c>
      <c r="F18" s="664">
        <v>1593</v>
      </c>
      <c r="G18" s="467">
        <v>152.1</v>
      </c>
      <c r="H18" s="782"/>
      <c r="I18" s="260"/>
    </row>
    <row r="19" spans="1:9" s="261" customFormat="1" ht="20.25" customHeight="1">
      <c r="A19" s="307">
        <v>13</v>
      </c>
      <c r="B19" s="466" t="s">
        <v>7114</v>
      </c>
      <c r="C19" s="307" t="s">
        <v>6750</v>
      </c>
      <c r="D19" s="666">
        <v>5.8869999999999996</v>
      </c>
      <c r="E19" s="663">
        <v>14</v>
      </c>
      <c r="F19" s="664">
        <v>400</v>
      </c>
      <c r="G19" s="467">
        <v>10.06</v>
      </c>
      <c r="H19" s="782"/>
      <c r="I19" s="260"/>
    </row>
    <row r="20" spans="1:9" s="261" customFormat="1" ht="20.25" customHeight="1">
      <c r="A20" s="307">
        <v>14</v>
      </c>
      <c r="B20" s="466" t="s">
        <v>7115</v>
      </c>
      <c r="C20" s="307" t="s">
        <v>5852</v>
      </c>
      <c r="D20" s="666">
        <v>7.4870000000000001</v>
      </c>
      <c r="E20" s="663">
        <v>12</v>
      </c>
      <c r="F20" s="664">
        <v>800</v>
      </c>
      <c r="G20" s="467">
        <v>20.75</v>
      </c>
      <c r="H20" s="783"/>
      <c r="I20" s="260"/>
    </row>
    <row r="21" spans="1:9" s="261" customFormat="1" ht="20.25" customHeight="1">
      <c r="A21" s="307">
        <v>15</v>
      </c>
      <c r="B21" s="267" t="s">
        <v>7118</v>
      </c>
      <c r="C21" s="268" t="s">
        <v>6874</v>
      </c>
      <c r="D21" s="267">
        <v>1.6</v>
      </c>
      <c r="E21" s="667">
        <v>8.6999999999999993</v>
      </c>
      <c r="F21" s="668">
        <v>1105</v>
      </c>
      <c r="G21" s="295">
        <v>18</v>
      </c>
      <c r="H21" s="784" t="s">
        <v>7045</v>
      </c>
      <c r="I21" s="260"/>
    </row>
    <row r="22" spans="1:9" s="261" customFormat="1" ht="20.25" customHeight="1">
      <c r="A22" s="307">
        <v>16</v>
      </c>
      <c r="B22" s="267" t="s">
        <v>7119</v>
      </c>
      <c r="C22" s="268" t="s">
        <v>7120</v>
      </c>
      <c r="D22" s="267">
        <v>1.1200000000000001</v>
      </c>
      <c r="E22" s="667">
        <v>13</v>
      </c>
      <c r="F22" s="668">
        <v>345</v>
      </c>
      <c r="G22" s="295">
        <v>3.6</v>
      </c>
      <c r="H22" s="784"/>
      <c r="I22" s="260"/>
    </row>
    <row r="23" spans="1:9" s="261" customFormat="1" ht="20.25" customHeight="1">
      <c r="A23" s="307">
        <v>17</v>
      </c>
      <c r="B23" s="267" t="s">
        <v>7121</v>
      </c>
      <c r="C23" s="268" t="s">
        <v>7122</v>
      </c>
      <c r="D23" s="267">
        <v>0.54500000000000004</v>
      </c>
      <c r="E23" s="667">
        <v>9</v>
      </c>
      <c r="F23" s="668">
        <v>192.5</v>
      </c>
      <c r="G23" s="295"/>
      <c r="H23" s="785"/>
      <c r="I23" s="260"/>
    </row>
    <row r="24" spans="1:9" s="261" customFormat="1" ht="20.25" customHeight="1">
      <c r="A24" s="307">
        <v>18</v>
      </c>
      <c r="B24" s="267" t="s">
        <v>7123</v>
      </c>
      <c r="C24" s="268" t="s">
        <v>7106</v>
      </c>
      <c r="D24" s="267">
        <v>6.7000000000000004E-2</v>
      </c>
      <c r="E24" s="667"/>
      <c r="F24" s="668">
        <v>6</v>
      </c>
      <c r="G24" s="295"/>
      <c r="H24" s="786" t="s">
        <v>7043</v>
      </c>
      <c r="I24" s="260"/>
    </row>
    <row r="25" spans="1:9" s="261" customFormat="1" ht="20.25" customHeight="1">
      <c r="A25" s="307">
        <v>19</v>
      </c>
      <c r="B25" s="466" t="s">
        <v>7125</v>
      </c>
      <c r="C25" s="307" t="s">
        <v>7106</v>
      </c>
      <c r="D25" s="466">
        <v>0.107</v>
      </c>
      <c r="E25" s="663"/>
      <c r="F25" s="664">
        <v>7.2</v>
      </c>
      <c r="G25" s="467"/>
      <c r="H25" s="784"/>
      <c r="I25" s="260"/>
    </row>
    <row r="26" spans="1:9" s="261" customFormat="1" ht="20.25" customHeight="1">
      <c r="A26" s="307">
        <v>20</v>
      </c>
      <c r="B26" s="267" t="s">
        <v>7116</v>
      </c>
      <c r="C26" s="268" t="s">
        <v>7106</v>
      </c>
      <c r="D26" s="267">
        <v>0.16500000000000001</v>
      </c>
      <c r="E26" s="667">
        <v>251</v>
      </c>
      <c r="F26" s="668">
        <v>93</v>
      </c>
      <c r="G26" s="295"/>
      <c r="H26" s="784"/>
      <c r="I26" s="260"/>
    </row>
    <row r="27" spans="1:9" s="261" customFormat="1" ht="20.25" customHeight="1">
      <c r="A27" s="307">
        <v>21</v>
      </c>
      <c r="B27" s="466" t="s">
        <v>7127</v>
      </c>
      <c r="C27" s="307" t="s">
        <v>5928</v>
      </c>
      <c r="D27" s="466">
        <v>0.309</v>
      </c>
      <c r="E27" s="663">
        <v>350</v>
      </c>
      <c r="F27" s="664">
        <v>5.0999999999999996</v>
      </c>
      <c r="G27" s="467"/>
      <c r="H27" s="784"/>
      <c r="I27" s="260"/>
    </row>
    <row r="28" spans="1:9" s="261" customFormat="1" ht="20.25" customHeight="1">
      <c r="A28" s="307">
        <v>22</v>
      </c>
      <c r="B28" s="466" t="s">
        <v>7128</v>
      </c>
      <c r="C28" s="307" t="s">
        <v>5928</v>
      </c>
      <c r="D28" s="466">
        <v>0.24099999999999999</v>
      </c>
      <c r="E28" s="663">
        <v>332</v>
      </c>
      <c r="F28" s="664">
        <v>6.35</v>
      </c>
      <c r="G28" s="467"/>
      <c r="H28" s="785"/>
      <c r="I28" s="260"/>
    </row>
    <row r="29" spans="1:9" s="261" customFormat="1">
      <c r="A29" s="662" t="s">
        <v>5900</v>
      </c>
      <c r="B29" s="468" t="s">
        <v>7132</v>
      </c>
      <c r="C29" s="469"/>
      <c r="D29" s="470"/>
      <c r="E29" s="470"/>
      <c r="F29" s="470"/>
      <c r="G29" s="470"/>
      <c r="H29" s="470"/>
      <c r="I29" s="414"/>
    </row>
    <row r="30" spans="1:9" s="261" customFormat="1" ht="33">
      <c r="A30" s="268">
        <v>1</v>
      </c>
      <c r="B30" s="267" t="s">
        <v>7133</v>
      </c>
      <c r="C30" s="290" t="s">
        <v>8007</v>
      </c>
      <c r="D30" s="266"/>
      <c r="E30" s="266"/>
      <c r="F30" s="266"/>
      <c r="G30" s="266"/>
      <c r="H30" s="266"/>
      <c r="I30" s="260"/>
    </row>
    <row r="31" spans="1:9" s="261" customFormat="1" ht="33.75" customHeight="1">
      <c r="A31" s="268">
        <v>2</v>
      </c>
      <c r="B31" s="267" t="s">
        <v>7134</v>
      </c>
      <c r="C31" s="290" t="s">
        <v>6874</v>
      </c>
      <c r="D31" s="266"/>
      <c r="E31" s="266"/>
      <c r="F31" s="266"/>
      <c r="G31" s="266"/>
      <c r="H31" s="266"/>
      <c r="I31" s="260"/>
    </row>
    <row r="32" spans="1:9" s="261" customFormat="1" ht="33.75" customHeight="1">
      <c r="A32" s="268">
        <v>3</v>
      </c>
      <c r="B32" s="267" t="s">
        <v>7135</v>
      </c>
      <c r="C32" s="290" t="s">
        <v>8008</v>
      </c>
      <c r="D32" s="266"/>
      <c r="E32" s="266"/>
      <c r="F32" s="266"/>
      <c r="G32" s="266"/>
      <c r="H32" s="266"/>
      <c r="I32" s="260"/>
    </row>
    <row r="33" spans="1:9" s="261" customFormat="1" ht="33.75" customHeight="1">
      <c r="A33" s="268">
        <v>4</v>
      </c>
      <c r="B33" s="267" t="s">
        <v>7136</v>
      </c>
      <c r="C33" s="488" t="s">
        <v>7113</v>
      </c>
      <c r="D33" s="266"/>
      <c r="E33" s="266"/>
      <c r="F33" s="266"/>
      <c r="G33" s="266"/>
      <c r="H33" s="266"/>
      <c r="I33" s="260"/>
    </row>
    <row r="34" spans="1:9" s="261" customFormat="1" ht="33">
      <c r="A34" s="268">
        <v>5</v>
      </c>
      <c r="B34" s="267" t="s">
        <v>7137</v>
      </c>
      <c r="C34" s="290" t="s">
        <v>8009</v>
      </c>
      <c r="D34" s="266"/>
      <c r="E34" s="266"/>
      <c r="F34" s="266"/>
      <c r="G34" s="266"/>
      <c r="H34" s="266"/>
      <c r="I34" s="260"/>
    </row>
    <row r="35" spans="1:9" s="261" customFormat="1" ht="30.75" customHeight="1">
      <c r="A35" s="268">
        <v>6</v>
      </c>
      <c r="B35" s="267" t="s">
        <v>7138</v>
      </c>
      <c r="C35" s="290" t="s">
        <v>7454</v>
      </c>
      <c r="D35" s="266"/>
      <c r="E35" s="266"/>
      <c r="F35" s="266"/>
      <c r="G35" s="266"/>
      <c r="H35" s="266"/>
      <c r="I35" s="260"/>
    </row>
    <row r="36" spans="1:9" s="261" customFormat="1" ht="30.75" customHeight="1">
      <c r="A36" s="268">
        <v>7</v>
      </c>
      <c r="B36" s="267" t="s">
        <v>7139</v>
      </c>
      <c r="C36" s="290" t="s">
        <v>6866</v>
      </c>
      <c r="D36" s="266"/>
      <c r="E36" s="266"/>
      <c r="F36" s="266"/>
      <c r="G36" s="266"/>
      <c r="H36" s="266"/>
      <c r="I36" s="260"/>
    </row>
    <row r="37" spans="1:9" s="261" customFormat="1" ht="30.75" customHeight="1">
      <c r="A37" s="268">
        <v>8</v>
      </c>
      <c r="B37" s="267" t="s">
        <v>5836</v>
      </c>
      <c r="C37" s="290" t="s">
        <v>8010</v>
      </c>
      <c r="D37" s="266"/>
      <c r="E37" s="266"/>
      <c r="F37" s="266"/>
      <c r="G37" s="266"/>
      <c r="H37" s="266"/>
      <c r="I37" s="260"/>
    </row>
    <row r="38" spans="1:9" s="261" customFormat="1" ht="30.75" customHeight="1">
      <c r="A38" s="268">
        <v>9</v>
      </c>
      <c r="B38" s="267" t="s">
        <v>7140</v>
      </c>
      <c r="C38" s="290" t="s">
        <v>5832</v>
      </c>
      <c r="D38" s="266"/>
      <c r="E38" s="266"/>
      <c r="F38" s="266"/>
      <c r="G38" s="266"/>
      <c r="H38" s="266"/>
      <c r="I38" s="260"/>
    </row>
    <row r="39" spans="1:9" s="261" customFormat="1" ht="30.75" customHeight="1">
      <c r="A39" s="268">
        <v>10</v>
      </c>
      <c r="B39" s="267" t="s">
        <v>7141</v>
      </c>
      <c r="C39" s="268" t="s">
        <v>5888</v>
      </c>
      <c r="D39" s="266"/>
      <c r="E39" s="266"/>
      <c r="F39" s="266"/>
      <c r="G39" s="266"/>
      <c r="H39" s="266"/>
      <c r="I39" s="260"/>
    </row>
    <row r="40" spans="1:9" ht="30.75" customHeight="1">
      <c r="A40" s="268">
        <v>11</v>
      </c>
      <c r="B40" s="277" t="s">
        <v>8450</v>
      </c>
      <c r="C40" s="260" t="s">
        <v>8451</v>
      </c>
      <c r="D40" s="284"/>
      <c r="E40" s="284"/>
      <c r="F40" s="355"/>
      <c r="G40" s="355"/>
      <c r="H40" s="355"/>
      <c r="I40" s="356"/>
    </row>
  </sheetData>
  <mergeCells count="10">
    <mergeCell ref="H7:H20"/>
    <mergeCell ref="H21:H23"/>
    <mergeCell ref="H24:H28"/>
    <mergeCell ref="A1:I1"/>
    <mergeCell ref="A2:I2"/>
    <mergeCell ref="A4:A5"/>
    <mergeCell ref="B4:B5"/>
    <mergeCell ref="C4:C5"/>
    <mergeCell ref="D4:H4"/>
    <mergeCell ref="I4:I5"/>
  </mergeCells>
  <pageMargins left="0.7" right="0.45" top="0.5" bottom="0.5" header="0.05" footer="0.05"/>
  <pageSetup paperSize="9" scale="82"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61"/>
  <sheetViews>
    <sheetView zoomScale="70" zoomScaleNormal="70" zoomScaleSheetLayoutView="85" workbookViewId="0">
      <selection sqref="A1:H1"/>
    </sheetView>
  </sheetViews>
  <sheetFormatPr defaultColWidth="20" defaultRowHeight="16.5"/>
  <cols>
    <col min="1" max="1" width="7.5703125" style="633" customWidth="1"/>
    <col min="2" max="2" width="35.85546875" style="669" customWidth="1"/>
    <col min="3" max="3" width="36.140625" style="633" customWidth="1"/>
    <col min="4" max="4" width="35.7109375" style="696" customWidth="1"/>
    <col min="5" max="5" width="32.28515625" style="697" customWidth="1"/>
    <col min="6" max="6" width="35.7109375" style="697" customWidth="1"/>
    <col min="7" max="7" width="14.42578125" style="698" customWidth="1"/>
    <col min="8" max="8" width="14" style="699" customWidth="1"/>
    <col min="9" max="16384" width="20" style="669"/>
  </cols>
  <sheetData>
    <row r="1" spans="1:8" ht="100.5" customHeight="1">
      <c r="A1" s="804" t="s">
        <v>9123</v>
      </c>
      <c r="B1" s="805"/>
      <c r="C1" s="805"/>
      <c r="D1" s="805"/>
      <c r="E1" s="805"/>
      <c r="F1" s="805"/>
      <c r="G1" s="805"/>
      <c r="H1" s="805"/>
    </row>
    <row r="2" spans="1:8">
      <c r="A2" s="806" t="s">
        <v>474</v>
      </c>
      <c r="B2" s="806" t="s">
        <v>922</v>
      </c>
      <c r="C2" s="806" t="s">
        <v>5069</v>
      </c>
      <c r="D2" s="807" t="s">
        <v>3919</v>
      </c>
      <c r="E2" s="806" t="s">
        <v>147</v>
      </c>
      <c r="F2" s="806"/>
      <c r="G2" s="806" t="s">
        <v>3917</v>
      </c>
      <c r="H2" s="806"/>
    </row>
    <row r="3" spans="1:8">
      <c r="A3" s="806"/>
      <c r="B3" s="806"/>
      <c r="C3" s="806"/>
      <c r="D3" s="807"/>
      <c r="E3" s="634" t="s">
        <v>583</v>
      </c>
      <c r="F3" s="634" t="s">
        <v>584</v>
      </c>
      <c r="G3" s="670" t="s">
        <v>585</v>
      </c>
      <c r="H3" s="671" t="s">
        <v>586</v>
      </c>
    </row>
    <row r="4" spans="1:8">
      <c r="A4" s="801" t="s">
        <v>8516</v>
      </c>
      <c r="B4" s="801"/>
      <c r="C4" s="801"/>
      <c r="D4" s="801"/>
      <c r="E4" s="801"/>
      <c r="F4" s="801"/>
      <c r="G4" s="672">
        <f>G5+G1234</f>
        <v>3782784.0199999996</v>
      </c>
      <c r="H4" s="671"/>
    </row>
    <row r="5" spans="1:8" ht="42" customHeight="1">
      <c r="A5" s="801" t="s">
        <v>9049</v>
      </c>
      <c r="B5" s="801"/>
      <c r="C5" s="801"/>
      <c r="D5" s="801"/>
      <c r="E5" s="801"/>
      <c r="F5" s="801"/>
      <c r="G5" s="672">
        <f>G6+G959+G1159</f>
        <v>1472002.8800000001</v>
      </c>
      <c r="H5" s="671"/>
    </row>
    <row r="6" spans="1:8">
      <c r="A6" s="801" t="s">
        <v>9048</v>
      </c>
      <c r="B6" s="801"/>
      <c r="C6" s="634"/>
      <c r="D6" s="631"/>
      <c r="E6" s="634"/>
      <c r="F6" s="631"/>
      <c r="G6" s="672">
        <f>SUM(G7:G958)</f>
        <v>706023.88000000012</v>
      </c>
      <c r="H6" s="671"/>
    </row>
    <row r="7" spans="1:8" s="288" customFormat="1" ht="33">
      <c r="A7" s="287">
        <v>1</v>
      </c>
      <c r="B7" s="275" t="s">
        <v>3976</v>
      </c>
      <c r="C7" s="705" t="s">
        <v>8517</v>
      </c>
      <c r="D7" s="418" t="str">
        <f t="shared" ref="D7:D65" si="0">"UBND "&amp;C7</f>
        <v>UBND Phường Chợ Quán</v>
      </c>
      <c r="E7" s="287" t="s">
        <v>3977</v>
      </c>
      <c r="F7" s="287" t="s">
        <v>384</v>
      </c>
      <c r="G7" s="415">
        <v>25</v>
      </c>
      <c r="H7" s="369" t="s">
        <v>3978</v>
      </c>
    </row>
    <row r="8" spans="1:8" s="288" customFormat="1">
      <c r="A8" s="287">
        <v>2</v>
      </c>
      <c r="B8" s="275" t="s">
        <v>454</v>
      </c>
      <c r="C8" s="705" t="s">
        <v>5107</v>
      </c>
      <c r="D8" s="418" t="str">
        <f t="shared" si="0"/>
        <v>UBND Phường An Hội Đông</v>
      </c>
      <c r="E8" s="287" t="s">
        <v>269</v>
      </c>
      <c r="F8" s="287" t="s">
        <v>453</v>
      </c>
      <c r="G8" s="415">
        <v>390</v>
      </c>
      <c r="H8" s="287">
        <v>2.4</v>
      </c>
    </row>
    <row r="9" spans="1:8" s="288" customFormat="1" ht="33">
      <c r="A9" s="287">
        <v>3</v>
      </c>
      <c r="B9" s="275" t="s">
        <v>462</v>
      </c>
      <c r="C9" s="705" t="s">
        <v>5107</v>
      </c>
      <c r="D9" s="418" t="str">
        <f t="shared" si="0"/>
        <v>UBND Phường An Hội Đông</v>
      </c>
      <c r="E9" s="287" t="s">
        <v>4532</v>
      </c>
      <c r="F9" s="287" t="s">
        <v>597</v>
      </c>
      <c r="G9" s="415">
        <v>340</v>
      </c>
      <c r="H9" s="287">
        <v>3.7</v>
      </c>
    </row>
    <row r="10" spans="1:8" s="288" customFormat="1">
      <c r="A10" s="287">
        <v>4</v>
      </c>
      <c r="B10" s="275" t="s">
        <v>4534</v>
      </c>
      <c r="C10" s="705" t="s">
        <v>5107</v>
      </c>
      <c r="D10" s="418" t="str">
        <f t="shared" si="0"/>
        <v>UBND Phường An Hội Đông</v>
      </c>
      <c r="E10" s="287" t="s">
        <v>597</v>
      </c>
      <c r="F10" s="287" t="s">
        <v>4535</v>
      </c>
      <c r="G10" s="415">
        <v>310</v>
      </c>
      <c r="H10" s="287">
        <v>6</v>
      </c>
    </row>
    <row r="11" spans="1:8" s="288" customFormat="1" ht="33">
      <c r="A11" s="287">
        <v>5</v>
      </c>
      <c r="B11" s="275" t="s">
        <v>449</v>
      </c>
      <c r="C11" s="705" t="s">
        <v>5105</v>
      </c>
      <c r="D11" s="418" t="str">
        <f t="shared" si="0"/>
        <v>UBND Phường An Hội Tây</v>
      </c>
      <c r="E11" s="287" t="s">
        <v>4528</v>
      </c>
      <c r="F11" s="287" t="s">
        <v>450</v>
      </c>
      <c r="G11" s="415">
        <v>127</v>
      </c>
      <c r="H11" s="287">
        <v>1.5</v>
      </c>
    </row>
    <row r="12" spans="1:8" s="288" customFormat="1" ht="49.5">
      <c r="A12" s="287">
        <v>6</v>
      </c>
      <c r="B12" s="275" t="s">
        <v>450</v>
      </c>
      <c r="C12" s="705" t="s">
        <v>5105</v>
      </c>
      <c r="D12" s="418" t="str">
        <f t="shared" si="0"/>
        <v>UBND Phường An Hội Tây</v>
      </c>
      <c r="E12" s="287" t="s">
        <v>275</v>
      </c>
      <c r="F12" s="287" t="s">
        <v>597</v>
      </c>
      <c r="G12" s="415">
        <v>846</v>
      </c>
      <c r="H12" s="287">
        <v>6</v>
      </c>
    </row>
    <row r="13" spans="1:8" s="288" customFormat="1">
      <c r="A13" s="287">
        <v>7</v>
      </c>
      <c r="B13" s="275" t="s">
        <v>3920</v>
      </c>
      <c r="C13" s="705" t="s">
        <v>5070</v>
      </c>
      <c r="D13" s="418" t="str">
        <f t="shared" si="0"/>
        <v>UBND Phường An Khánh</v>
      </c>
      <c r="E13" s="287" t="s">
        <v>484</v>
      </c>
      <c r="F13" s="287" t="s">
        <v>433</v>
      </c>
      <c r="G13" s="415">
        <v>105</v>
      </c>
      <c r="H13" s="287" t="s">
        <v>152</v>
      </c>
    </row>
    <row r="14" spans="1:8" s="288" customFormat="1">
      <c r="A14" s="287">
        <v>8</v>
      </c>
      <c r="B14" s="275" t="s">
        <v>3921</v>
      </c>
      <c r="C14" s="705" t="s">
        <v>5070</v>
      </c>
      <c r="D14" s="418" t="str">
        <f t="shared" si="0"/>
        <v>UBND Phường An Khánh</v>
      </c>
      <c r="E14" s="287" t="s">
        <v>484</v>
      </c>
      <c r="F14" s="287" t="s">
        <v>433</v>
      </c>
      <c r="G14" s="415">
        <v>90</v>
      </c>
      <c r="H14" s="287" t="s">
        <v>152</v>
      </c>
    </row>
    <row r="15" spans="1:8" s="288" customFormat="1">
      <c r="A15" s="287">
        <v>9</v>
      </c>
      <c r="B15" s="275" t="s">
        <v>3922</v>
      </c>
      <c r="C15" s="705" t="s">
        <v>5070</v>
      </c>
      <c r="D15" s="418" t="str">
        <f t="shared" si="0"/>
        <v>UBND Phường An Khánh</v>
      </c>
      <c r="E15" s="287" t="s">
        <v>484</v>
      </c>
      <c r="F15" s="287" t="s">
        <v>433</v>
      </c>
      <c r="G15" s="415">
        <v>88</v>
      </c>
      <c r="H15" s="287" t="s">
        <v>153</v>
      </c>
    </row>
    <row r="16" spans="1:8" s="288" customFormat="1">
      <c r="A16" s="287">
        <v>10</v>
      </c>
      <c r="B16" s="275" t="s">
        <v>3923</v>
      </c>
      <c r="C16" s="705" t="s">
        <v>5070</v>
      </c>
      <c r="D16" s="418" t="str">
        <f t="shared" si="0"/>
        <v>UBND Phường An Khánh</v>
      </c>
      <c r="E16" s="287" t="s">
        <v>484</v>
      </c>
      <c r="F16" s="287" t="s">
        <v>433</v>
      </c>
      <c r="G16" s="415">
        <v>87</v>
      </c>
      <c r="H16" s="287" t="s">
        <v>154</v>
      </c>
    </row>
    <row r="17" spans="1:8" s="288" customFormat="1">
      <c r="A17" s="287">
        <v>11</v>
      </c>
      <c r="B17" s="275" t="s">
        <v>3924</v>
      </c>
      <c r="C17" s="705" t="s">
        <v>5070</v>
      </c>
      <c r="D17" s="418" t="str">
        <f t="shared" si="0"/>
        <v>UBND Phường An Khánh</v>
      </c>
      <c r="E17" s="287" t="s">
        <v>376</v>
      </c>
      <c r="F17" s="287" t="s">
        <v>433</v>
      </c>
      <c r="G17" s="415">
        <v>570</v>
      </c>
      <c r="H17" s="287" t="s">
        <v>155</v>
      </c>
    </row>
    <row r="18" spans="1:8" s="288" customFormat="1">
      <c r="A18" s="287">
        <v>12</v>
      </c>
      <c r="B18" s="275" t="s">
        <v>480</v>
      </c>
      <c r="C18" s="705" t="s">
        <v>5070</v>
      </c>
      <c r="D18" s="418" t="str">
        <f t="shared" si="0"/>
        <v>UBND Phường An Khánh</v>
      </c>
      <c r="E18" s="287" t="s">
        <v>3607</v>
      </c>
      <c r="F18" s="287" t="s">
        <v>576</v>
      </c>
      <c r="G18" s="415">
        <v>2200</v>
      </c>
      <c r="H18" s="287" t="s">
        <v>150</v>
      </c>
    </row>
    <row r="19" spans="1:8" s="288" customFormat="1">
      <c r="A19" s="287">
        <v>13</v>
      </c>
      <c r="B19" s="275" t="s">
        <v>3214</v>
      </c>
      <c r="C19" s="705" t="s">
        <v>5070</v>
      </c>
      <c r="D19" s="418" t="str">
        <f t="shared" si="0"/>
        <v>UBND Phường An Khánh</v>
      </c>
      <c r="E19" s="287" t="s">
        <v>576</v>
      </c>
      <c r="F19" s="287" t="s">
        <v>3590</v>
      </c>
      <c r="G19" s="415">
        <v>1600</v>
      </c>
      <c r="H19" s="287" t="s">
        <v>156</v>
      </c>
    </row>
    <row r="20" spans="1:8" s="288" customFormat="1">
      <c r="A20" s="287">
        <v>14</v>
      </c>
      <c r="B20" s="275" t="s">
        <v>377</v>
      </c>
      <c r="C20" s="705" t="s">
        <v>5070</v>
      </c>
      <c r="D20" s="418" t="str">
        <f t="shared" si="0"/>
        <v>UBND Phường An Khánh</v>
      </c>
      <c r="E20" s="287" t="s">
        <v>3609</v>
      </c>
      <c r="F20" s="287" t="s">
        <v>433</v>
      </c>
      <c r="G20" s="415">
        <v>1100</v>
      </c>
      <c r="H20" s="287" t="s">
        <v>156</v>
      </c>
    </row>
    <row r="21" spans="1:8" s="288" customFormat="1">
      <c r="A21" s="287">
        <v>15</v>
      </c>
      <c r="B21" s="275" t="s">
        <v>3636</v>
      </c>
      <c r="C21" s="705" t="s">
        <v>5070</v>
      </c>
      <c r="D21" s="418" t="str">
        <f t="shared" si="0"/>
        <v>UBND Phường An Khánh</v>
      </c>
      <c r="E21" s="287" t="s">
        <v>375</v>
      </c>
      <c r="F21" s="287" t="s">
        <v>378</v>
      </c>
      <c r="G21" s="415">
        <v>450</v>
      </c>
      <c r="H21" s="419" t="s">
        <v>179</v>
      </c>
    </row>
    <row r="22" spans="1:8" s="288" customFormat="1">
      <c r="A22" s="287">
        <v>16</v>
      </c>
      <c r="B22" s="275" t="s">
        <v>3637</v>
      </c>
      <c r="C22" s="705" t="s">
        <v>5070</v>
      </c>
      <c r="D22" s="418" t="str">
        <f t="shared" si="0"/>
        <v>UBND Phường An Khánh</v>
      </c>
      <c r="E22" s="287" t="s">
        <v>3925</v>
      </c>
      <c r="F22" s="287" t="s">
        <v>433</v>
      </c>
      <c r="G22" s="415">
        <v>650</v>
      </c>
      <c r="H22" s="287" t="s">
        <v>154</v>
      </c>
    </row>
    <row r="23" spans="1:8" s="288" customFormat="1">
      <c r="A23" s="287">
        <v>17</v>
      </c>
      <c r="B23" s="275" t="s">
        <v>483</v>
      </c>
      <c r="C23" s="705" t="s">
        <v>5070</v>
      </c>
      <c r="D23" s="418" t="str">
        <f t="shared" si="0"/>
        <v>UBND Phường An Khánh</v>
      </c>
      <c r="E23" s="287" t="s">
        <v>3611</v>
      </c>
      <c r="F23" s="287" t="s">
        <v>484</v>
      </c>
      <c r="G23" s="415">
        <v>401</v>
      </c>
      <c r="H23" s="287" t="s">
        <v>154</v>
      </c>
    </row>
    <row r="24" spans="1:8" s="288" customFormat="1">
      <c r="A24" s="287">
        <v>18</v>
      </c>
      <c r="B24" s="275" t="s">
        <v>3218</v>
      </c>
      <c r="C24" s="705" t="s">
        <v>5070</v>
      </c>
      <c r="D24" s="418" t="str">
        <f t="shared" si="0"/>
        <v>UBND Phường An Khánh</v>
      </c>
      <c r="E24" s="287" t="s">
        <v>3381</v>
      </c>
      <c r="F24" s="287" t="s">
        <v>433</v>
      </c>
      <c r="G24" s="415">
        <v>269</v>
      </c>
      <c r="H24" s="420" t="s">
        <v>986</v>
      </c>
    </row>
    <row r="25" spans="1:8" s="288" customFormat="1">
      <c r="A25" s="287">
        <v>19</v>
      </c>
      <c r="B25" s="275" t="s">
        <v>487</v>
      </c>
      <c r="C25" s="705" t="s">
        <v>5070</v>
      </c>
      <c r="D25" s="418" t="str">
        <f t="shared" si="0"/>
        <v>UBND Phường An Khánh</v>
      </c>
      <c r="E25" s="287" t="s">
        <v>488</v>
      </c>
      <c r="F25" s="287" t="s">
        <v>433</v>
      </c>
      <c r="G25" s="415">
        <v>1100</v>
      </c>
      <c r="H25" s="287" t="s">
        <v>162</v>
      </c>
    </row>
    <row r="26" spans="1:8" s="288" customFormat="1">
      <c r="A26" s="287">
        <v>20</v>
      </c>
      <c r="B26" s="275" t="s">
        <v>491</v>
      </c>
      <c r="C26" s="705" t="s">
        <v>5070</v>
      </c>
      <c r="D26" s="418" t="str">
        <f t="shared" si="0"/>
        <v>UBND Phường An Khánh</v>
      </c>
      <c r="E26" s="287" t="s">
        <v>492</v>
      </c>
      <c r="F26" s="287" t="s">
        <v>433</v>
      </c>
      <c r="G26" s="415">
        <v>2100</v>
      </c>
      <c r="H26" s="287" t="s">
        <v>150</v>
      </c>
    </row>
    <row r="27" spans="1:8" s="288" customFormat="1">
      <c r="A27" s="287">
        <v>21</v>
      </c>
      <c r="B27" s="275" t="s">
        <v>493</v>
      </c>
      <c r="C27" s="705" t="s">
        <v>5070</v>
      </c>
      <c r="D27" s="418" t="str">
        <f t="shared" si="0"/>
        <v>UBND Phường An Khánh</v>
      </c>
      <c r="E27" s="287" t="s">
        <v>494</v>
      </c>
      <c r="F27" s="287" t="s">
        <v>433</v>
      </c>
      <c r="G27" s="415">
        <v>1360</v>
      </c>
      <c r="H27" s="287" t="s">
        <v>153</v>
      </c>
    </row>
    <row r="28" spans="1:8" s="288" customFormat="1">
      <c r="A28" s="287">
        <v>22</v>
      </c>
      <c r="B28" s="275" t="s">
        <v>478</v>
      </c>
      <c r="C28" s="705" t="s">
        <v>5070</v>
      </c>
      <c r="D28" s="418" t="str">
        <f t="shared" si="0"/>
        <v>UBND Phường An Khánh</v>
      </c>
      <c r="E28" s="287" t="s">
        <v>476</v>
      </c>
      <c r="F28" s="287" t="s">
        <v>433</v>
      </c>
      <c r="G28" s="415">
        <v>1000</v>
      </c>
      <c r="H28" s="287" t="s">
        <v>155</v>
      </c>
    </row>
    <row r="29" spans="1:8" s="288" customFormat="1">
      <c r="A29" s="287">
        <v>23</v>
      </c>
      <c r="B29" s="275" t="s">
        <v>495</v>
      </c>
      <c r="C29" s="705" t="s">
        <v>5070</v>
      </c>
      <c r="D29" s="418" t="str">
        <f t="shared" si="0"/>
        <v>UBND Phường An Khánh</v>
      </c>
      <c r="E29" s="287" t="s">
        <v>496</v>
      </c>
      <c r="F29" s="287" t="s">
        <v>433</v>
      </c>
      <c r="G29" s="415">
        <v>1000</v>
      </c>
      <c r="H29" s="287" t="s">
        <v>150</v>
      </c>
    </row>
    <row r="30" spans="1:8" s="288" customFormat="1">
      <c r="A30" s="287">
        <v>24</v>
      </c>
      <c r="B30" s="275" t="s">
        <v>497</v>
      </c>
      <c r="C30" s="705" t="s">
        <v>5070</v>
      </c>
      <c r="D30" s="418" t="str">
        <f t="shared" si="0"/>
        <v>UBND Phường An Khánh</v>
      </c>
      <c r="E30" s="287" t="s">
        <v>433</v>
      </c>
      <c r="F30" s="287" t="s">
        <v>407</v>
      </c>
      <c r="G30" s="415">
        <v>1200</v>
      </c>
      <c r="H30" s="287" t="s">
        <v>156</v>
      </c>
    </row>
    <row r="31" spans="1:8" s="288" customFormat="1">
      <c r="A31" s="287">
        <v>25</v>
      </c>
      <c r="B31" s="275" t="s">
        <v>499</v>
      </c>
      <c r="C31" s="705" t="s">
        <v>5070</v>
      </c>
      <c r="D31" s="418" t="str">
        <f t="shared" si="0"/>
        <v>UBND Phường An Khánh</v>
      </c>
      <c r="E31" s="287" t="s">
        <v>433</v>
      </c>
      <c r="F31" s="287" t="s">
        <v>407</v>
      </c>
      <c r="G31" s="415">
        <v>1500</v>
      </c>
      <c r="H31" s="287" t="s">
        <v>150</v>
      </c>
    </row>
    <row r="32" spans="1:8" s="288" customFormat="1">
      <c r="A32" s="287">
        <v>26</v>
      </c>
      <c r="B32" s="275" t="s">
        <v>500</v>
      </c>
      <c r="C32" s="705" t="s">
        <v>5070</v>
      </c>
      <c r="D32" s="418" t="str">
        <f t="shared" si="0"/>
        <v>UBND Phường An Khánh</v>
      </c>
      <c r="E32" s="287" t="s">
        <v>433</v>
      </c>
      <c r="F32" s="287" t="s">
        <v>407</v>
      </c>
      <c r="G32" s="415">
        <v>400</v>
      </c>
      <c r="H32" s="287" t="s">
        <v>156</v>
      </c>
    </row>
    <row r="33" spans="1:11" s="288" customFormat="1">
      <c r="A33" s="287">
        <v>27</v>
      </c>
      <c r="B33" s="275" t="s">
        <v>505</v>
      </c>
      <c r="C33" s="705" t="s">
        <v>5070</v>
      </c>
      <c r="D33" s="418" t="str">
        <f t="shared" si="0"/>
        <v>UBND Phường An Khánh</v>
      </c>
      <c r="E33" s="287" t="s">
        <v>433</v>
      </c>
      <c r="F33" s="287" t="s">
        <v>504</v>
      </c>
      <c r="G33" s="415">
        <v>1000</v>
      </c>
      <c r="H33" s="287" t="s">
        <v>157</v>
      </c>
    </row>
    <row r="34" spans="1:11" s="288" customFormat="1">
      <c r="A34" s="287">
        <v>28</v>
      </c>
      <c r="B34" s="275" t="s">
        <v>506</v>
      </c>
      <c r="C34" s="705" t="s">
        <v>5070</v>
      </c>
      <c r="D34" s="418" t="str">
        <f t="shared" si="0"/>
        <v>UBND Phường An Khánh</v>
      </c>
      <c r="E34" s="287" t="s">
        <v>433</v>
      </c>
      <c r="F34" s="287" t="s">
        <v>407</v>
      </c>
      <c r="G34" s="415">
        <v>2000</v>
      </c>
      <c r="H34" s="287" t="s">
        <v>153</v>
      </c>
    </row>
    <row r="35" spans="1:11" s="288" customFormat="1">
      <c r="A35" s="287">
        <v>29</v>
      </c>
      <c r="B35" s="275" t="s">
        <v>507</v>
      </c>
      <c r="C35" s="705" t="s">
        <v>5070</v>
      </c>
      <c r="D35" s="418" t="str">
        <f t="shared" si="0"/>
        <v>UBND Phường An Khánh</v>
      </c>
      <c r="E35" s="287" t="s">
        <v>433</v>
      </c>
      <c r="F35" s="287" t="s">
        <v>407</v>
      </c>
      <c r="G35" s="415">
        <v>1000</v>
      </c>
      <c r="H35" s="287" t="s">
        <v>156</v>
      </c>
    </row>
    <row r="36" spans="1:11" s="288" customFormat="1">
      <c r="A36" s="287">
        <v>30</v>
      </c>
      <c r="B36" s="275" t="s">
        <v>3224</v>
      </c>
      <c r="C36" s="705" t="s">
        <v>5070</v>
      </c>
      <c r="D36" s="418" t="str">
        <f t="shared" si="0"/>
        <v>UBND Phường An Khánh</v>
      </c>
      <c r="E36" s="287" t="s">
        <v>1123</v>
      </c>
      <c r="F36" s="287" t="s">
        <v>407</v>
      </c>
      <c r="G36" s="415">
        <v>1200</v>
      </c>
      <c r="H36" s="287" t="s">
        <v>153</v>
      </c>
    </row>
    <row r="37" spans="1:11" s="288" customFormat="1">
      <c r="A37" s="287">
        <v>31</v>
      </c>
      <c r="B37" s="275" t="s">
        <v>476</v>
      </c>
      <c r="C37" s="705" t="s">
        <v>5070</v>
      </c>
      <c r="D37" s="418" t="str">
        <f t="shared" si="0"/>
        <v>UBND Phường An Khánh</v>
      </c>
      <c r="E37" s="287" t="s">
        <v>477</v>
      </c>
      <c r="F37" s="287" t="s">
        <v>478</v>
      </c>
      <c r="G37" s="415">
        <v>1100</v>
      </c>
      <c r="H37" s="287" t="s">
        <v>150</v>
      </c>
    </row>
    <row r="38" spans="1:11" s="288" customFormat="1">
      <c r="A38" s="287">
        <v>32</v>
      </c>
      <c r="B38" s="275" t="s">
        <v>479</v>
      </c>
      <c r="C38" s="705" t="s">
        <v>5070</v>
      </c>
      <c r="D38" s="418" t="str">
        <f t="shared" si="0"/>
        <v>UBND Phường An Khánh</v>
      </c>
      <c r="E38" s="287" t="s">
        <v>3608</v>
      </c>
      <c r="F38" s="287" t="s">
        <v>433</v>
      </c>
      <c r="G38" s="415">
        <v>1500</v>
      </c>
      <c r="H38" s="287" t="s">
        <v>151</v>
      </c>
    </row>
    <row r="39" spans="1:11" s="288" customFormat="1" ht="33">
      <c r="A39" s="287">
        <v>33</v>
      </c>
      <c r="B39" s="275" t="s">
        <v>423</v>
      </c>
      <c r="C39" s="705" t="s">
        <v>5096</v>
      </c>
      <c r="D39" s="418" t="str">
        <f t="shared" si="0"/>
        <v>UBND Phường An Lạc</v>
      </c>
      <c r="E39" s="287" t="s">
        <v>1089</v>
      </c>
      <c r="F39" s="287" t="s">
        <v>358</v>
      </c>
      <c r="G39" s="415">
        <v>2400</v>
      </c>
      <c r="H39" s="420" t="s">
        <v>1090</v>
      </c>
    </row>
    <row r="40" spans="1:11" s="288" customFormat="1">
      <c r="A40" s="287">
        <v>34</v>
      </c>
      <c r="B40" s="275" t="s">
        <v>424</v>
      </c>
      <c r="C40" s="705" t="s">
        <v>5096</v>
      </c>
      <c r="D40" s="418" t="str">
        <f t="shared" si="0"/>
        <v>UBND Phường An Lạc</v>
      </c>
      <c r="E40" s="287" t="s">
        <v>423</v>
      </c>
      <c r="F40" s="287" t="s">
        <v>1091</v>
      </c>
      <c r="G40" s="415">
        <v>580</v>
      </c>
      <c r="H40" s="420" t="s">
        <v>149</v>
      </c>
    </row>
    <row r="41" spans="1:11" s="288" customFormat="1">
      <c r="A41" s="287">
        <v>35</v>
      </c>
      <c r="B41" s="275" t="s">
        <v>425</v>
      </c>
      <c r="C41" s="705" t="s">
        <v>5096</v>
      </c>
      <c r="D41" s="418" t="str">
        <f t="shared" si="0"/>
        <v>UBND Phường An Lạc</v>
      </c>
      <c r="E41" s="287" t="s">
        <v>423</v>
      </c>
      <c r="F41" s="287" t="s">
        <v>1092</v>
      </c>
      <c r="G41" s="415">
        <v>500</v>
      </c>
      <c r="H41" s="420" t="s">
        <v>1093</v>
      </c>
    </row>
    <row r="42" spans="1:11" s="288" customFormat="1">
      <c r="A42" s="287">
        <v>36</v>
      </c>
      <c r="B42" s="275" t="s">
        <v>1054</v>
      </c>
      <c r="C42" s="705" t="s">
        <v>5096</v>
      </c>
      <c r="D42" s="418" t="str">
        <f t="shared" si="0"/>
        <v>UBND Phường An Lạc</v>
      </c>
      <c r="E42" s="287" t="s">
        <v>388</v>
      </c>
      <c r="F42" s="287" t="s">
        <v>4411</v>
      </c>
      <c r="G42" s="415">
        <v>540</v>
      </c>
      <c r="H42" s="420" t="s">
        <v>207</v>
      </c>
    </row>
    <row r="43" spans="1:11" s="288" customFormat="1" ht="33">
      <c r="A43" s="287">
        <v>37</v>
      </c>
      <c r="B43" s="275" t="s">
        <v>1062</v>
      </c>
      <c r="C43" s="705" t="s">
        <v>5096</v>
      </c>
      <c r="D43" s="418" t="str">
        <f t="shared" si="0"/>
        <v>UBND Phường An Lạc</v>
      </c>
      <c r="E43" s="287" t="s">
        <v>358</v>
      </c>
      <c r="F43" s="287" t="s">
        <v>1063</v>
      </c>
      <c r="G43" s="415">
        <v>350</v>
      </c>
      <c r="H43" s="420" t="s">
        <v>1064</v>
      </c>
    </row>
    <row r="44" spans="1:11" s="288" customFormat="1" ht="33">
      <c r="A44" s="287">
        <v>38</v>
      </c>
      <c r="B44" s="275" t="s">
        <v>1065</v>
      </c>
      <c r="C44" s="705" t="s">
        <v>5096</v>
      </c>
      <c r="D44" s="418" t="str">
        <f t="shared" si="0"/>
        <v>UBND Phường An Lạc</v>
      </c>
      <c r="E44" s="287" t="s">
        <v>1066</v>
      </c>
      <c r="F44" s="287" t="s">
        <v>388</v>
      </c>
      <c r="G44" s="415">
        <v>430</v>
      </c>
      <c r="H44" s="420" t="s">
        <v>312</v>
      </c>
    </row>
    <row r="45" spans="1:11" s="288" customFormat="1">
      <c r="A45" s="287">
        <v>39</v>
      </c>
      <c r="B45" s="275" t="s">
        <v>1067</v>
      </c>
      <c r="C45" s="705" t="s">
        <v>5096</v>
      </c>
      <c r="D45" s="418" t="str">
        <f t="shared" si="0"/>
        <v>UBND Phường An Lạc</v>
      </c>
      <c r="E45" s="287" t="s">
        <v>1054</v>
      </c>
      <c r="F45" s="287" t="s">
        <v>4412</v>
      </c>
      <c r="G45" s="415">
        <v>320</v>
      </c>
      <c r="H45" s="420">
        <v>3</v>
      </c>
    </row>
    <row r="46" spans="1:11" s="288" customFormat="1">
      <c r="A46" s="287">
        <v>40</v>
      </c>
      <c r="B46" s="275" t="s">
        <v>1069</v>
      </c>
      <c r="C46" s="705" t="s">
        <v>5096</v>
      </c>
      <c r="D46" s="418" t="str">
        <f t="shared" si="0"/>
        <v>UBND Phường An Lạc</v>
      </c>
      <c r="E46" s="287" t="s">
        <v>1054</v>
      </c>
      <c r="F46" s="287" t="s">
        <v>1070</v>
      </c>
      <c r="G46" s="415">
        <v>174</v>
      </c>
      <c r="H46" s="420">
        <v>3</v>
      </c>
    </row>
    <row r="47" spans="1:11" s="288" customFormat="1">
      <c r="A47" s="287">
        <v>41</v>
      </c>
      <c r="B47" s="275" t="s">
        <v>4413</v>
      </c>
      <c r="C47" s="705" t="s">
        <v>5096</v>
      </c>
      <c r="D47" s="418" t="str">
        <f t="shared" si="0"/>
        <v>UBND Phường An Lạc</v>
      </c>
      <c r="E47" s="287" t="s">
        <v>390</v>
      </c>
      <c r="F47" s="287" t="s">
        <v>4414</v>
      </c>
      <c r="G47" s="415">
        <v>160</v>
      </c>
      <c r="H47" s="421" t="s">
        <v>4415</v>
      </c>
    </row>
    <row r="48" spans="1:11" s="288" customFormat="1" ht="33">
      <c r="A48" s="287">
        <v>42</v>
      </c>
      <c r="B48" s="275" t="s">
        <v>4417</v>
      </c>
      <c r="C48" s="705" t="s">
        <v>5096</v>
      </c>
      <c r="D48" s="418" t="str">
        <f t="shared" si="0"/>
        <v>UBND Phường An Lạc</v>
      </c>
      <c r="E48" s="287" t="s">
        <v>358</v>
      </c>
      <c r="F48" s="287" t="s">
        <v>4418</v>
      </c>
      <c r="G48" s="415">
        <v>150</v>
      </c>
      <c r="H48" s="421" t="s">
        <v>162</v>
      </c>
      <c r="K48" s="288" t="s">
        <v>8454</v>
      </c>
    </row>
    <row r="49" spans="1:8" s="288" customFormat="1" ht="33">
      <c r="A49" s="287">
        <v>43</v>
      </c>
      <c r="B49" s="275" t="s">
        <v>4422</v>
      </c>
      <c r="C49" s="705" t="s">
        <v>5096</v>
      </c>
      <c r="D49" s="418" t="str">
        <f t="shared" si="0"/>
        <v>UBND Phường An Lạc</v>
      </c>
      <c r="E49" s="287" t="s">
        <v>4423</v>
      </c>
      <c r="F49" s="287" t="s">
        <v>367</v>
      </c>
      <c r="G49" s="415">
        <v>160</v>
      </c>
      <c r="H49" s="421" t="s">
        <v>4424</v>
      </c>
    </row>
    <row r="50" spans="1:8" s="288" customFormat="1" ht="33">
      <c r="A50" s="287">
        <v>44</v>
      </c>
      <c r="B50" s="275" t="s">
        <v>451</v>
      </c>
      <c r="C50" s="705" t="s">
        <v>5106</v>
      </c>
      <c r="D50" s="418" t="str">
        <f t="shared" si="0"/>
        <v>UBND Phường An Nhơn</v>
      </c>
      <c r="E50" s="287" t="s">
        <v>265</v>
      </c>
      <c r="F50" s="287" t="s">
        <v>463</v>
      </c>
      <c r="G50" s="415">
        <v>783</v>
      </c>
      <c r="H50" s="287">
        <v>10</v>
      </c>
    </row>
    <row r="51" spans="1:8" s="288" customFormat="1">
      <c r="A51" s="287">
        <v>45</v>
      </c>
      <c r="B51" s="275" t="s">
        <v>266</v>
      </c>
      <c r="C51" s="705" t="s">
        <v>5106</v>
      </c>
      <c r="D51" s="418" t="str">
        <f t="shared" si="0"/>
        <v>UBND Phường An Nhơn</v>
      </c>
      <c r="E51" s="287" t="s">
        <v>452</v>
      </c>
      <c r="F51" s="287" t="s">
        <v>597</v>
      </c>
      <c r="G51" s="415">
        <v>670</v>
      </c>
      <c r="H51" s="287">
        <v>17.5</v>
      </c>
    </row>
    <row r="52" spans="1:8" s="288" customFormat="1" ht="33">
      <c r="A52" s="287">
        <v>46</v>
      </c>
      <c r="B52" s="275" t="s">
        <v>271</v>
      </c>
      <c r="C52" s="705" t="s">
        <v>5106</v>
      </c>
      <c r="D52" s="418" t="str">
        <f t="shared" si="0"/>
        <v>UBND Phường An Nhơn</v>
      </c>
      <c r="E52" s="287" t="s">
        <v>3565</v>
      </c>
      <c r="F52" s="287" t="s">
        <v>3410</v>
      </c>
      <c r="G52" s="415">
        <v>127</v>
      </c>
      <c r="H52" s="287">
        <v>7</v>
      </c>
    </row>
    <row r="53" spans="1:8" s="288" customFormat="1" ht="49.5">
      <c r="A53" s="287">
        <v>47</v>
      </c>
      <c r="B53" s="275" t="s">
        <v>3018</v>
      </c>
      <c r="C53" s="705" t="s">
        <v>5106</v>
      </c>
      <c r="D53" s="418" t="str">
        <f t="shared" si="0"/>
        <v>UBND Phường An Nhơn</v>
      </c>
      <c r="E53" s="287" t="s">
        <v>4531</v>
      </c>
      <c r="F53" s="287" t="s">
        <v>597</v>
      </c>
      <c r="G53" s="415">
        <v>555</v>
      </c>
      <c r="H53" s="287">
        <v>20</v>
      </c>
    </row>
    <row r="54" spans="1:8" s="288" customFormat="1" ht="49.5">
      <c r="A54" s="287">
        <v>48</v>
      </c>
      <c r="B54" s="275" t="s">
        <v>456</v>
      </c>
      <c r="C54" s="705" t="s">
        <v>5106</v>
      </c>
      <c r="D54" s="418" t="str">
        <f t="shared" si="0"/>
        <v>UBND Phường An Nhơn</v>
      </c>
      <c r="E54" s="287" t="s">
        <v>3567</v>
      </c>
      <c r="F54" s="287" t="s">
        <v>272</v>
      </c>
      <c r="G54" s="415">
        <v>288</v>
      </c>
      <c r="H54" s="287">
        <v>6.5</v>
      </c>
    </row>
    <row r="55" spans="1:8" s="288" customFormat="1" ht="33">
      <c r="A55" s="287">
        <v>49</v>
      </c>
      <c r="B55" s="275" t="s">
        <v>458</v>
      </c>
      <c r="C55" s="705" t="s">
        <v>5106</v>
      </c>
      <c r="D55" s="418" t="str">
        <f t="shared" si="0"/>
        <v>UBND Phường An Nhơn</v>
      </c>
      <c r="E55" s="287" t="s">
        <v>273</v>
      </c>
      <c r="F55" s="287" t="s">
        <v>456</v>
      </c>
      <c r="G55" s="415">
        <v>58</v>
      </c>
      <c r="H55" s="287">
        <v>3.9</v>
      </c>
    </row>
    <row r="56" spans="1:8" s="288" customFormat="1" ht="49.5">
      <c r="A56" s="287">
        <v>50</v>
      </c>
      <c r="B56" s="275" t="s">
        <v>459</v>
      </c>
      <c r="C56" s="705" t="s">
        <v>5106</v>
      </c>
      <c r="D56" s="418" t="str">
        <f t="shared" si="0"/>
        <v>UBND Phường An Nhơn</v>
      </c>
      <c r="E56" s="287" t="s">
        <v>3568</v>
      </c>
      <c r="F56" s="287" t="s">
        <v>274</v>
      </c>
      <c r="G56" s="415">
        <v>180</v>
      </c>
      <c r="H56" s="287">
        <v>6</v>
      </c>
    </row>
    <row r="57" spans="1:8" s="288" customFormat="1">
      <c r="A57" s="287">
        <v>51</v>
      </c>
      <c r="B57" s="275" t="s">
        <v>463</v>
      </c>
      <c r="C57" s="705" t="s">
        <v>5106</v>
      </c>
      <c r="D57" s="418" t="str">
        <f t="shared" si="0"/>
        <v>UBND Phường An Nhơn</v>
      </c>
      <c r="E57" s="287" t="s">
        <v>3569</v>
      </c>
      <c r="F57" s="287" t="s">
        <v>597</v>
      </c>
      <c r="G57" s="415">
        <v>360</v>
      </c>
      <c r="H57" s="287">
        <v>11</v>
      </c>
    </row>
    <row r="58" spans="1:8" s="288" customFormat="1" ht="33">
      <c r="A58" s="287">
        <v>52</v>
      </c>
      <c r="B58" s="275" t="s">
        <v>2938</v>
      </c>
      <c r="C58" s="705" t="s">
        <v>5106</v>
      </c>
      <c r="D58" s="418" t="str">
        <f t="shared" si="0"/>
        <v>UBND Phường An Nhơn</v>
      </c>
      <c r="E58" s="287" t="s">
        <v>4533</v>
      </c>
      <c r="F58" s="287" t="s">
        <v>597</v>
      </c>
      <c r="G58" s="415">
        <v>320</v>
      </c>
      <c r="H58" s="287">
        <v>14</v>
      </c>
    </row>
    <row r="59" spans="1:8" s="288" customFormat="1">
      <c r="A59" s="287">
        <v>53</v>
      </c>
      <c r="B59" s="275" t="s">
        <v>503</v>
      </c>
      <c r="C59" s="705" t="s">
        <v>5074</v>
      </c>
      <c r="D59" s="418" t="str">
        <f t="shared" si="0"/>
        <v>UBND Phường An Phú Đông</v>
      </c>
      <c r="E59" s="287" t="s">
        <v>433</v>
      </c>
      <c r="F59" s="287" t="s">
        <v>433</v>
      </c>
      <c r="G59" s="415">
        <v>900</v>
      </c>
      <c r="H59" s="287" t="s">
        <v>150</v>
      </c>
    </row>
    <row r="60" spans="1:8" s="288" customFormat="1" ht="33">
      <c r="A60" s="287">
        <v>54</v>
      </c>
      <c r="B60" s="275" t="s">
        <v>3965</v>
      </c>
      <c r="C60" s="705" t="s">
        <v>5074</v>
      </c>
      <c r="D60" s="418" t="str">
        <f t="shared" si="0"/>
        <v>UBND Phường An Phú Đông</v>
      </c>
      <c r="E60" s="287" t="s">
        <v>387</v>
      </c>
      <c r="F60" s="287" t="s">
        <v>433</v>
      </c>
      <c r="G60" s="415">
        <v>80</v>
      </c>
      <c r="H60" s="287" t="s">
        <v>199</v>
      </c>
    </row>
    <row r="61" spans="1:8" s="288" customFormat="1">
      <c r="A61" s="287">
        <v>55</v>
      </c>
      <c r="B61" s="275" t="s">
        <v>4339</v>
      </c>
      <c r="C61" s="705" t="s">
        <v>5074</v>
      </c>
      <c r="D61" s="418" t="str">
        <f t="shared" si="0"/>
        <v>UBND Phường An Phú Đông</v>
      </c>
      <c r="E61" s="287" t="s">
        <v>998</v>
      </c>
      <c r="F61" s="287" t="s">
        <v>606</v>
      </c>
      <c r="G61" s="415">
        <v>250</v>
      </c>
      <c r="H61" s="287" t="s">
        <v>4340</v>
      </c>
    </row>
    <row r="62" spans="1:8" s="288" customFormat="1">
      <c r="A62" s="287">
        <v>56</v>
      </c>
      <c r="B62" s="275" t="s">
        <v>4341</v>
      </c>
      <c r="C62" s="705" t="s">
        <v>5074</v>
      </c>
      <c r="D62" s="418" t="str">
        <f t="shared" si="0"/>
        <v>UBND Phường An Phú Đông</v>
      </c>
      <c r="E62" s="287" t="s">
        <v>433</v>
      </c>
      <c r="F62" s="287" t="s">
        <v>4342</v>
      </c>
      <c r="G62" s="415">
        <v>200</v>
      </c>
      <c r="H62" s="287" t="s">
        <v>4333</v>
      </c>
    </row>
    <row r="63" spans="1:8" s="288" customFormat="1" ht="33">
      <c r="A63" s="287">
        <v>57</v>
      </c>
      <c r="B63" s="275" t="s">
        <v>4343</v>
      </c>
      <c r="C63" s="705" t="s">
        <v>5074</v>
      </c>
      <c r="D63" s="418" t="str">
        <f t="shared" si="0"/>
        <v>UBND Phường An Phú Đông</v>
      </c>
      <c r="E63" s="287" t="s">
        <v>433</v>
      </c>
      <c r="F63" s="287" t="s">
        <v>4344</v>
      </c>
      <c r="G63" s="415">
        <v>315</v>
      </c>
      <c r="H63" s="287" t="s">
        <v>4345</v>
      </c>
    </row>
    <row r="64" spans="1:8" s="288" customFormat="1">
      <c r="A64" s="287">
        <v>58</v>
      </c>
      <c r="B64" s="275" t="s">
        <v>4346</v>
      </c>
      <c r="C64" s="705" t="s">
        <v>5074</v>
      </c>
      <c r="D64" s="418" t="str">
        <f t="shared" si="0"/>
        <v>UBND Phường An Phú Đông</v>
      </c>
      <c r="E64" s="287" t="s">
        <v>594</v>
      </c>
      <c r="F64" s="287" t="s">
        <v>4347</v>
      </c>
      <c r="G64" s="415">
        <v>140</v>
      </c>
      <c r="H64" s="287" t="s">
        <v>4348</v>
      </c>
    </row>
    <row r="65" spans="1:8" s="288" customFormat="1">
      <c r="A65" s="287">
        <v>59</v>
      </c>
      <c r="B65" s="275" t="s">
        <v>4349</v>
      </c>
      <c r="C65" s="705" t="s">
        <v>5074</v>
      </c>
      <c r="D65" s="418" t="str">
        <f t="shared" si="0"/>
        <v>UBND Phường An Phú Đông</v>
      </c>
      <c r="E65" s="287" t="s">
        <v>4350</v>
      </c>
      <c r="F65" s="287" t="s">
        <v>4351</v>
      </c>
      <c r="G65" s="415">
        <v>75</v>
      </c>
      <c r="H65" s="287" t="s">
        <v>964</v>
      </c>
    </row>
    <row r="66" spans="1:8" s="288" customFormat="1" ht="33">
      <c r="A66" s="287">
        <v>60</v>
      </c>
      <c r="B66" s="275" t="s">
        <v>4352</v>
      </c>
      <c r="C66" s="705" t="s">
        <v>5074</v>
      </c>
      <c r="D66" s="418" t="str">
        <f t="shared" ref="D66:D124" si="1">"UBND "&amp;C66</f>
        <v>UBND Phường An Phú Đông</v>
      </c>
      <c r="E66" s="287" t="s">
        <v>4353</v>
      </c>
      <c r="F66" s="287" t="s">
        <v>407</v>
      </c>
      <c r="G66" s="415">
        <v>150</v>
      </c>
      <c r="H66" s="287" t="s">
        <v>188</v>
      </c>
    </row>
    <row r="67" spans="1:8" s="288" customFormat="1" ht="33">
      <c r="A67" s="287">
        <v>61</v>
      </c>
      <c r="B67" s="275" t="s">
        <v>4354</v>
      </c>
      <c r="C67" s="705" t="s">
        <v>5074</v>
      </c>
      <c r="D67" s="418" t="str">
        <f t="shared" si="1"/>
        <v>UBND Phường An Phú Đông</v>
      </c>
      <c r="E67" s="287" t="s">
        <v>600</v>
      </c>
      <c r="F67" s="287" t="s">
        <v>4355</v>
      </c>
      <c r="G67" s="415">
        <v>70</v>
      </c>
      <c r="H67" s="287" t="s">
        <v>210</v>
      </c>
    </row>
    <row r="68" spans="1:8" s="288" customFormat="1" ht="33">
      <c r="A68" s="287">
        <v>62</v>
      </c>
      <c r="B68" s="275" t="s">
        <v>4357</v>
      </c>
      <c r="C68" s="705" t="s">
        <v>5074</v>
      </c>
      <c r="D68" s="418" t="str">
        <f t="shared" si="1"/>
        <v>UBND Phường An Phú Đông</v>
      </c>
      <c r="E68" s="287" t="s">
        <v>596</v>
      </c>
      <c r="F68" s="287" t="s">
        <v>4358</v>
      </c>
      <c r="G68" s="415">
        <v>160</v>
      </c>
      <c r="H68" s="287" t="s">
        <v>221</v>
      </c>
    </row>
    <row r="69" spans="1:8" s="288" customFormat="1">
      <c r="A69" s="287">
        <v>63</v>
      </c>
      <c r="B69" s="275" t="s">
        <v>4359</v>
      </c>
      <c r="C69" s="705" t="s">
        <v>5074</v>
      </c>
      <c r="D69" s="418" t="str">
        <f t="shared" si="1"/>
        <v>UBND Phường An Phú Đông</v>
      </c>
      <c r="E69" s="287" t="s">
        <v>1010</v>
      </c>
      <c r="F69" s="287" t="s">
        <v>4360</v>
      </c>
      <c r="G69" s="415">
        <v>100</v>
      </c>
      <c r="H69" s="287" t="s">
        <v>964</v>
      </c>
    </row>
    <row r="70" spans="1:8" s="288" customFormat="1">
      <c r="A70" s="287">
        <v>64</v>
      </c>
      <c r="B70" s="277" t="s">
        <v>4361</v>
      </c>
      <c r="C70" s="705" t="s">
        <v>5074</v>
      </c>
      <c r="D70" s="418" t="str">
        <f t="shared" si="1"/>
        <v>UBND Phường An Phú Đông</v>
      </c>
      <c r="E70" s="505" t="s">
        <v>433</v>
      </c>
      <c r="F70" s="505" t="s">
        <v>4362</v>
      </c>
      <c r="G70" s="415">
        <v>100</v>
      </c>
      <c r="H70" s="370" t="s">
        <v>4363</v>
      </c>
    </row>
    <row r="71" spans="1:8" s="288" customFormat="1">
      <c r="A71" s="287">
        <v>65</v>
      </c>
      <c r="B71" s="277" t="s">
        <v>4364</v>
      </c>
      <c r="C71" s="705" t="s">
        <v>5074</v>
      </c>
      <c r="D71" s="418" t="str">
        <f t="shared" si="1"/>
        <v>UBND Phường An Phú Đông</v>
      </c>
      <c r="E71" s="505" t="s">
        <v>4365</v>
      </c>
      <c r="F71" s="505" t="s">
        <v>433</v>
      </c>
      <c r="G71" s="415">
        <v>85</v>
      </c>
      <c r="H71" s="370" t="s">
        <v>4366</v>
      </c>
    </row>
    <row r="72" spans="1:8" s="288" customFormat="1">
      <c r="A72" s="287">
        <v>66</v>
      </c>
      <c r="B72" s="275" t="s">
        <v>1023</v>
      </c>
      <c r="C72" s="705" t="s">
        <v>5074</v>
      </c>
      <c r="D72" s="418" t="str">
        <f t="shared" si="1"/>
        <v>UBND Phường An Phú Đông</v>
      </c>
      <c r="E72" s="287" t="s">
        <v>3374</v>
      </c>
      <c r="F72" s="287" t="s">
        <v>433</v>
      </c>
      <c r="G72" s="415">
        <v>506.1</v>
      </c>
      <c r="H72" s="287" t="s">
        <v>999</v>
      </c>
    </row>
    <row r="73" spans="1:8" s="288" customFormat="1">
      <c r="A73" s="287">
        <v>67</v>
      </c>
      <c r="B73" s="275" t="s">
        <v>613</v>
      </c>
      <c r="C73" s="705" t="s">
        <v>5074</v>
      </c>
      <c r="D73" s="418" t="str">
        <f t="shared" si="1"/>
        <v>UBND Phường An Phú Đông</v>
      </c>
      <c r="E73" s="287" t="s">
        <v>3374</v>
      </c>
      <c r="F73" s="287" t="s">
        <v>433</v>
      </c>
      <c r="G73" s="415">
        <v>555.4</v>
      </c>
      <c r="H73" s="287" t="s">
        <v>1022</v>
      </c>
    </row>
    <row r="74" spans="1:8" s="288" customFormat="1">
      <c r="A74" s="287">
        <v>68</v>
      </c>
      <c r="B74" s="275" t="s">
        <v>612</v>
      </c>
      <c r="C74" s="705" t="s">
        <v>5074</v>
      </c>
      <c r="D74" s="418" t="str">
        <f t="shared" si="1"/>
        <v>UBND Phường An Phú Đông</v>
      </c>
      <c r="E74" s="287" t="s">
        <v>621</v>
      </c>
      <c r="F74" s="287" t="s">
        <v>433</v>
      </c>
      <c r="G74" s="415">
        <v>404.7</v>
      </c>
      <c r="H74" s="287" t="s">
        <v>1021</v>
      </c>
    </row>
    <row r="75" spans="1:8" s="288" customFormat="1">
      <c r="A75" s="287">
        <v>69</v>
      </c>
      <c r="B75" s="275" t="s">
        <v>605</v>
      </c>
      <c r="C75" s="705" t="s">
        <v>5074</v>
      </c>
      <c r="D75" s="418" t="str">
        <f t="shared" si="1"/>
        <v>UBND Phường An Phú Đông</v>
      </c>
      <c r="E75" s="287" t="s">
        <v>387</v>
      </c>
      <c r="F75" s="287" t="s">
        <v>614</v>
      </c>
      <c r="G75" s="415">
        <v>472</v>
      </c>
      <c r="H75" s="287" t="s">
        <v>1003</v>
      </c>
    </row>
    <row r="76" spans="1:8" s="288" customFormat="1">
      <c r="A76" s="287">
        <v>70</v>
      </c>
      <c r="B76" s="275" t="s">
        <v>1020</v>
      </c>
      <c r="C76" s="705" t="s">
        <v>5074</v>
      </c>
      <c r="D76" s="418" t="str">
        <f t="shared" si="1"/>
        <v>UBND Phường An Phú Đông</v>
      </c>
      <c r="E76" s="287" t="s">
        <v>387</v>
      </c>
      <c r="F76" s="287" t="s">
        <v>433</v>
      </c>
      <c r="G76" s="415">
        <v>143.30000000000001</v>
      </c>
      <c r="H76" s="287" t="s">
        <v>1019</v>
      </c>
    </row>
    <row r="77" spans="1:8" s="288" customFormat="1">
      <c r="A77" s="287">
        <v>71</v>
      </c>
      <c r="B77" s="275" t="s">
        <v>602</v>
      </c>
      <c r="C77" s="705" t="s">
        <v>5074</v>
      </c>
      <c r="D77" s="418" t="str">
        <f t="shared" si="1"/>
        <v>UBND Phường An Phú Đông</v>
      </c>
      <c r="E77" s="287" t="s">
        <v>603</v>
      </c>
      <c r="F77" s="287" t="s">
        <v>604</v>
      </c>
      <c r="G77" s="415">
        <v>497.9</v>
      </c>
      <c r="H77" s="287" t="s">
        <v>189</v>
      </c>
    </row>
    <row r="78" spans="1:8" s="288" customFormat="1">
      <c r="A78" s="287">
        <v>72</v>
      </c>
      <c r="B78" s="275" t="s">
        <v>4368</v>
      </c>
      <c r="C78" s="705" t="s">
        <v>5074</v>
      </c>
      <c r="D78" s="418" t="str">
        <f t="shared" si="1"/>
        <v>UBND Phường An Phú Đông</v>
      </c>
      <c r="E78" s="287" t="s">
        <v>602</v>
      </c>
      <c r="F78" s="287" t="s">
        <v>433</v>
      </c>
      <c r="G78" s="415">
        <v>330</v>
      </c>
      <c r="H78" s="287" t="s">
        <v>205</v>
      </c>
    </row>
    <row r="79" spans="1:8" s="288" customFormat="1">
      <c r="A79" s="287">
        <v>73</v>
      </c>
      <c r="B79" s="275" t="s">
        <v>1017</v>
      </c>
      <c r="C79" s="705" t="s">
        <v>5074</v>
      </c>
      <c r="D79" s="418" t="str">
        <f t="shared" si="1"/>
        <v>UBND Phường An Phú Đông</v>
      </c>
      <c r="E79" s="287" t="s">
        <v>387</v>
      </c>
      <c r="F79" s="287" t="s">
        <v>433</v>
      </c>
      <c r="G79" s="415">
        <v>620</v>
      </c>
      <c r="H79" s="287" t="s">
        <v>228</v>
      </c>
    </row>
    <row r="80" spans="1:8" s="288" customFormat="1">
      <c r="A80" s="287">
        <v>74</v>
      </c>
      <c r="B80" s="275" t="s">
        <v>600</v>
      </c>
      <c r="C80" s="705" t="s">
        <v>5074</v>
      </c>
      <c r="D80" s="418" t="str">
        <f t="shared" si="1"/>
        <v>UBND Phường An Phú Đông</v>
      </c>
      <c r="E80" s="287" t="s">
        <v>1011</v>
      </c>
      <c r="F80" s="287" t="s">
        <v>433</v>
      </c>
      <c r="G80" s="415">
        <v>2500</v>
      </c>
      <c r="H80" s="287" t="s">
        <v>1016</v>
      </c>
    </row>
    <row r="81" spans="1:8" s="288" customFormat="1">
      <c r="A81" s="287">
        <v>75</v>
      </c>
      <c r="B81" s="275" t="s">
        <v>620</v>
      </c>
      <c r="C81" s="705" t="s">
        <v>5074</v>
      </c>
      <c r="D81" s="418" t="str">
        <f t="shared" si="1"/>
        <v>UBND Phường An Phú Đông</v>
      </c>
      <c r="E81" s="287" t="s">
        <v>621</v>
      </c>
      <c r="F81" s="287" t="s">
        <v>1015</v>
      </c>
      <c r="G81" s="415">
        <v>1123</v>
      </c>
      <c r="H81" s="287" t="s">
        <v>295</v>
      </c>
    </row>
    <row r="82" spans="1:8" s="288" customFormat="1">
      <c r="A82" s="287">
        <v>76</v>
      </c>
      <c r="B82" s="275" t="s">
        <v>1014</v>
      </c>
      <c r="C82" s="705" t="s">
        <v>5074</v>
      </c>
      <c r="D82" s="418" t="str">
        <f t="shared" si="1"/>
        <v>UBND Phường An Phú Đông</v>
      </c>
      <c r="E82" s="287" t="s">
        <v>387</v>
      </c>
      <c r="F82" s="287" t="s">
        <v>461</v>
      </c>
      <c r="G82" s="415">
        <v>321.5</v>
      </c>
      <c r="H82" s="287" t="s">
        <v>1013</v>
      </c>
    </row>
    <row r="83" spans="1:8" s="288" customFormat="1">
      <c r="A83" s="287">
        <v>77</v>
      </c>
      <c r="B83" s="275" t="s">
        <v>1012</v>
      </c>
      <c r="C83" s="705" t="s">
        <v>5074</v>
      </c>
      <c r="D83" s="418" t="str">
        <f t="shared" si="1"/>
        <v>UBND Phường An Phú Đông</v>
      </c>
      <c r="E83" s="287" t="s">
        <v>597</v>
      </c>
      <c r="F83" s="287" t="s">
        <v>1011</v>
      </c>
      <c r="G83" s="415">
        <v>1000</v>
      </c>
      <c r="H83" s="287" t="s">
        <v>226</v>
      </c>
    </row>
    <row r="84" spans="1:8" s="288" customFormat="1">
      <c r="A84" s="287">
        <v>78</v>
      </c>
      <c r="B84" s="275" t="s">
        <v>1010</v>
      </c>
      <c r="C84" s="705" t="s">
        <v>5074</v>
      </c>
      <c r="D84" s="418" t="str">
        <f t="shared" si="1"/>
        <v>UBND Phường An Phú Đông</v>
      </c>
      <c r="E84" s="287" t="s">
        <v>387</v>
      </c>
      <c r="F84" s="287" t="s">
        <v>461</v>
      </c>
      <c r="G84" s="415">
        <v>816.34</v>
      </c>
      <c r="H84" s="287" t="s">
        <v>219</v>
      </c>
    </row>
    <row r="85" spans="1:8" s="288" customFormat="1">
      <c r="A85" s="287">
        <v>79</v>
      </c>
      <c r="B85" s="275" t="s">
        <v>595</v>
      </c>
      <c r="C85" s="705" t="s">
        <v>5074</v>
      </c>
      <c r="D85" s="418" t="str">
        <f t="shared" si="1"/>
        <v>UBND Phường An Phú Đông</v>
      </c>
      <c r="E85" s="287" t="s">
        <v>591</v>
      </c>
      <c r="F85" s="287" t="s">
        <v>461</v>
      </c>
      <c r="G85" s="415">
        <v>1135</v>
      </c>
      <c r="H85" s="287" t="s">
        <v>1008</v>
      </c>
    </row>
    <row r="86" spans="1:8" s="288" customFormat="1">
      <c r="A86" s="287">
        <v>80</v>
      </c>
      <c r="B86" s="275" t="s">
        <v>596</v>
      </c>
      <c r="C86" s="705" t="s">
        <v>5074</v>
      </c>
      <c r="D86" s="418" t="str">
        <f t="shared" si="1"/>
        <v>UBND Phường An Phú Đông</v>
      </c>
      <c r="E86" s="287" t="s">
        <v>387</v>
      </c>
      <c r="F86" s="287" t="s">
        <v>595</v>
      </c>
      <c r="G86" s="415">
        <v>1907.5</v>
      </c>
      <c r="H86" s="287" t="s">
        <v>1007</v>
      </c>
    </row>
    <row r="87" spans="1:8" s="288" customFormat="1">
      <c r="A87" s="287">
        <v>81</v>
      </c>
      <c r="B87" s="275" t="s">
        <v>1006</v>
      </c>
      <c r="C87" s="705" t="s">
        <v>5074</v>
      </c>
      <c r="D87" s="418" t="str">
        <f t="shared" si="1"/>
        <v>UBND Phường An Phú Đông</v>
      </c>
      <c r="E87" s="287" t="s">
        <v>387</v>
      </c>
      <c r="F87" s="287" t="s">
        <v>433</v>
      </c>
      <c r="G87" s="415">
        <v>661.3</v>
      </c>
      <c r="H87" s="287" t="s">
        <v>1005</v>
      </c>
    </row>
    <row r="88" spans="1:8" s="288" customFormat="1">
      <c r="A88" s="287">
        <v>82</v>
      </c>
      <c r="B88" s="275" t="s">
        <v>616</v>
      </c>
      <c r="C88" s="705" t="s">
        <v>5074</v>
      </c>
      <c r="D88" s="418" t="str">
        <f t="shared" si="1"/>
        <v>UBND Phường An Phú Đông</v>
      </c>
      <c r="E88" s="287" t="s">
        <v>4369</v>
      </c>
      <c r="F88" s="287" t="s">
        <v>433</v>
      </c>
      <c r="G88" s="415">
        <v>650</v>
      </c>
      <c r="H88" s="287" t="s">
        <v>1005</v>
      </c>
    </row>
    <row r="89" spans="1:8" s="288" customFormat="1">
      <c r="A89" s="287">
        <v>83</v>
      </c>
      <c r="B89" s="275" t="s">
        <v>1004</v>
      </c>
      <c r="C89" s="705" t="s">
        <v>5074</v>
      </c>
      <c r="D89" s="418" t="str">
        <f t="shared" si="1"/>
        <v>UBND Phường An Phú Đông</v>
      </c>
      <c r="E89" s="287" t="s">
        <v>1002</v>
      </c>
      <c r="F89" s="287" t="s">
        <v>433</v>
      </c>
      <c r="G89" s="415">
        <v>290</v>
      </c>
      <c r="H89" s="287" t="s">
        <v>1003</v>
      </c>
    </row>
    <row r="90" spans="1:8" s="288" customFormat="1">
      <c r="A90" s="287">
        <v>84</v>
      </c>
      <c r="B90" s="275" t="s">
        <v>615</v>
      </c>
      <c r="C90" s="705" t="s">
        <v>5074</v>
      </c>
      <c r="D90" s="418" t="str">
        <f t="shared" si="1"/>
        <v>UBND Phường An Phú Đông</v>
      </c>
      <c r="E90" s="287" t="s">
        <v>1002</v>
      </c>
      <c r="F90" s="287" t="s">
        <v>433</v>
      </c>
      <c r="G90" s="415">
        <v>276.89999999999998</v>
      </c>
      <c r="H90" s="287" t="s">
        <v>179</v>
      </c>
    </row>
    <row r="91" spans="1:8" s="288" customFormat="1">
      <c r="A91" s="287">
        <v>85</v>
      </c>
      <c r="B91" s="275" t="s">
        <v>994</v>
      </c>
      <c r="C91" s="705" t="s">
        <v>5074</v>
      </c>
      <c r="D91" s="418" t="str">
        <f t="shared" si="1"/>
        <v>UBND Phường An Phú Đông</v>
      </c>
      <c r="E91" s="287" t="s">
        <v>595</v>
      </c>
      <c r="F91" s="287" t="s">
        <v>433</v>
      </c>
      <c r="G91" s="415">
        <v>2397.5</v>
      </c>
      <c r="H91" s="287" t="s">
        <v>999</v>
      </c>
    </row>
    <row r="92" spans="1:8" s="288" customFormat="1">
      <c r="A92" s="287">
        <v>86</v>
      </c>
      <c r="B92" s="275" t="s">
        <v>588</v>
      </c>
      <c r="C92" s="705" t="s">
        <v>5074</v>
      </c>
      <c r="D92" s="418" t="str">
        <f t="shared" si="1"/>
        <v>UBND Phường An Phú Đông</v>
      </c>
      <c r="E92" s="287" t="s">
        <v>998</v>
      </c>
      <c r="F92" s="287" t="s">
        <v>461</v>
      </c>
      <c r="G92" s="415">
        <v>634.4</v>
      </c>
      <c r="H92" s="287" t="s">
        <v>997</v>
      </c>
    </row>
    <row r="93" spans="1:8" s="288" customFormat="1">
      <c r="A93" s="287">
        <v>87</v>
      </c>
      <c r="B93" s="275" t="s">
        <v>594</v>
      </c>
      <c r="C93" s="705" t="s">
        <v>5074</v>
      </c>
      <c r="D93" s="418" t="str">
        <f t="shared" si="1"/>
        <v>UBND Phường An Phú Đông</v>
      </c>
      <c r="E93" s="287" t="s">
        <v>2522</v>
      </c>
      <c r="F93" s="287" t="s">
        <v>433</v>
      </c>
      <c r="G93" s="415">
        <v>1215.4000000000001</v>
      </c>
      <c r="H93" s="287" t="s">
        <v>995</v>
      </c>
    </row>
    <row r="94" spans="1:8" s="288" customFormat="1">
      <c r="A94" s="287">
        <v>88</v>
      </c>
      <c r="B94" s="275" t="s">
        <v>591</v>
      </c>
      <c r="C94" s="705" t="s">
        <v>5074</v>
      </c>
      <c r="D94" s="418" t="str">
        <f t="shared" si="1"/>
        <v>UBND Phường An Phú Đông</v>
      </c>
      <c r="E94" s="287" t="s">
        <v>990</v>
      </c>
      <c r="F94" s="287" t="s">
        <v>994</v>
      </c>
      <c r="G94" s="415">
        <v>1376</v>
      </c>
      <c r="H94" s="419" t="s">
        <v>1064</v>
      </c>
    </row>
    <row r="95" spans="1:8" s="288" customFormat="1">
      <c r="A95" s="287">
        <v>89</v>
      </c>
      <c r="B95" s="275" t="s">
        <v>993</v>
      </c>
      <c r="C95" s="705" t="s">
        <v>5074</v>
      </c>
      <c r="D95" s="418" t="str">
        <f t="shared" si="1"/>
        <v>UBND Phường An Phú Đông</v>
      </c>
      <c r="E95" s="287" t="s">
        <v>976</v>
      </c>
      <c r="F95" s="287" t="s">
        <v>2512</v>
      </c>
      <c r="G95" s="415">
        <v>650</v>
      </c>
      <c r="H95" s="287" t="s">
        <v>312</v>
      </c>
    </row>
    <row r="96" spans="1:8" s="288" customFormat="1">
      <c r="A96" s="287">
        <v>90</v>
      </c>
      <c r="B96" s="275" t="s">
        <v>992</v>
      </c>
      <c r="C96" s="705" t="s">
        <v>5074</v>
      </c>
      <c r="D96" s="418" t="str">
        <f t="shared" si="1"/>
        <v>UBND Phường An Phú Đông</v>
      </c>
      <c r="E96" s="287" t="s">
        <v>4370</v>
      </c>
      <c r="F96" s="287" t="s">
        <v>461</v>
      </c>
      <c r="G96" s="415">
        <v>956.5</v>
      </c>
      <c r="H96" s="421" t="s">
        <v>997</v>
      </c>
    </row>
    <row r="97" spans="1:8" s="288" customFormat="1">
      <c r="A97" s="287">
        <v>91</v>
      </c>
      <c r="B97" s="275" t="s">
        <v>4371</v>
      </c>
      <c r="C97" s="705" t="s">
        <v>5074</v>
      </c>
      <c r="D97" s="418" t="str">
        <f t="shared" si="1"/>
        <v>UBND Phường An Phú Đông</v>
      </c>
      <c r="E97" s="287" t="s">
        <v>4372</v>
      </c>
      <c r="F97" s="287" t="s">
        <v>594</v>
      </c>
      <c r="G97" s="415">
        <v>950</v>
      </c>
      <c r="H97" s="420" t="s">
        <v>989</v>
      </c>
    </row>
    <row r="98" spans="1:8" s="288" customFormat="1">
      <c r="A98" s="287">
        <v>92</v>
      </c>
      <c r="B98" s="275" t="s">
        <v>4373</v>
      </c>
      <c r="C98" s="705" t="s">
        <v>5074</v>
      </c>
      <c r="D98" s="418" t="str">
        <f t="shared" si="1"/>
        <v>UBND Phường An Phú Đông</v>
      </c>
      <c r="E98" s="287" t="s">
        <v>4374</v>
      </c>
      <c r="F98" s="287" t="s">
        <v>433</v>
      </c>
      <c r="G98" s="415">
        <v>1050</v>
      </c>
      <c r="H98" s="420" t="s">
        <v>989</v>
      </c>
    </row>
    <row r="99" spans="1:8" s="288" customFormat="1">
      <c r="A99" s="287">
        <v>93</v>
      </c>
      <c r="B99" s="275" t="s">
        <v>617</v>
      </c>
      <c r="C99" s="705" t="s">
        <v>5074</v>
      </c>
      <c r="D99" s="418" t="str">
        <f t="shared" si="1"/>
        <v>UBND Phường An Phú Đông</v>
      </c>
      <c r="E99" s="287" t="s">
        <v>3574</v>
      </c>
      <c r="F99" s="287" t="s">
        <v>433</v>
      </c>
      <c r="G99" s="415">
        <v>679.9</v>
      </c>
      <c r="H99" s="287" t="s">
        <v>988</v>
      </c>
    </row>
    <row r="100" spans="1:8" s="288" customFormat="1">
      <c r="A100" s="287">
        <v>94</v>
      </c>
      <c r="B100" s="275" t="s">
        <v>4375</v>
      </c>
      <c r="C100" s="705" t="s">
        <v>5074</v>
      </c>
      <c r="D100" s="418" t="str">
        <f t="shared" si="1"/>
        <v>UBND Phường An Phú Đông</v>
      </c>
      <c r="E100" s="287" t="s">
        <v>4376</v>
      </c>
      <c r="F100" s="287" t="s">
        <v>433</v>
      </c>
      <c r="G100" s="415">
        <v>200</v>
      </c>
      <c r="H100" s="287" t="s">
        <v>226</v>
      </c>
    </row>
    <row r="101" spans="1:8" s="288" customFormat="1">
      <c r="A101" s="287">
        <v>95</v>
      </c>
      <c r="B101" s="275" t="s">
        <v>4377</v>
      </c>
      <c r="C101" s="705" t="s">
        <v>5074</v>
      </c>
      <c r="D101" s="418" t="str">
        <f t="shared" si="1"/>
        <v>UBND Phường An Phú Đông</v>
      </c>
      <c r="E101" s="287" t="s">
        <v>4378</v>
      </c>
      <c r="F101" s="287" t="s">
        <v>601</v>
      </c>
      <c r="G101" s="415">
        <v>700</v>
      </c>
      <c r="H101" s="420" t="s">
        <v>226</v>
      </c>
    </row>
    <row r="102" spans="1:8" s="288" customFormat="1">
      <c r="A102" s="287">
        <v>96</v>
      </c>
      <c r="B102" s="275" t="s">
        <v>618</v>
      </c>
      <c r="C102" s="705" t="s">
        <v>5074</v>
      </c>
      <c r="D102" s="418" t="str">
        <f t="shared" si="1"/>
        <v>UBND Phường An Phú Đông</v>
      </c>
      <c r="E102" s="287" t="s">
        <v>387</v>
      </c>
      <c r="F102" s="287" t="s">
        <v>433</v>
      </c>
      <c r="G102" s="415">
        <v>637.5</v>
      </c>
      <c r="H102" s="287" t="s">
        <v>986</v>
      </c>
    </row>
    <row r="103" spans="1:8" s="288" customFormat="1">
      <c r="A103" s="287">
        <v>97</v>
      </c>
      <c r="B103" s="275" t="s">
        <v>4386</v>
      </c>
      <c r="C103" s="705" t="s">
        <v>5074</v>
      </c>
      <c r="D103" s="418" t="str">
        <f t="shared" si="1"/>
        <v>UBND Phường An Phú Đông</v>
      </c>
      <c r="E103" s="287" t="s">
        <v>4387</v>
      </c>
      <c r="F103" s="287" t="s">
        <v>461</v>
      </c>
      <c r="G103" s="415">
        <v>1390</v>
      </c>
      <c r="H103" s="421" t="s">
        <v>4388</v>
      </c>
    </row>
    <row r="104" spans="1:8" s="288" customFormat="1">
      <c r="A104" s="287">
        <v>98</v>
      </c>
      <c r="B104" s="275" t="s">
        <v>2527</v>
      </c>
      <c r="C104" s="705" t="s">
        <v>5074</v>
      </c>
      <c r="D104" s="418" t="str">
        <f t="shared" si="1"/>
        <v>UBND Phường An Phú Đông</v>
      </c>
      <c r="E104" s="287" t="s">
        <v>387</v>
      </c>
      <c r="F104" s="287" t="s">
        <v>597</v>
      </c>
      <c r="G104" s="415">
        <v>481</v>
      </c>
      <c r="H104" s="420" t="s">
        <v>179</v>
      </c>
    </row>
    <row r="105" spans="1:8" s="288" customFormat="1">
      <c r="A105" s="287">
        <v>99</v>
      </c>
      <c r="B105" s="275" t="s">
        <v>2514</v>
      </c>
      <c r="C105" s="705" t="s">
        <v>5074</v>
      </c>
      <c r="D105" s="418" t="str">
        <f t="shared" si="1"/>
        <v>UBND Phường An Phú Đông</v>
      </c>
      <c r="E105" s="287" t="s">
        <v>976</v>
      </c>
      <c r="F105" s="287" t="s">
        <v>4389</v>
      </c>
      <c r="G105" s="415">
        <v>485</v>
      </c>
      <c r="H105" s="420" t="s">
        <v>1005</v>
      </c>
    </row>
    <row r="106" spans="1:8" s="288" customFormat="1" ht="33">
      <c r="A106" s="287">
        <v>100</v>
      </c>
      <c r="B106" s="275" t="s">
        <v>4390</v>
      </c>
      <c r="C106" s="705" t="s">
        <v>5074</v>
      </c>
      <c r="D106" s="418" t="str">
        <f t="shared" si="1"/>
        <v>UBND Phường An Phú Đông</v>
      </c>
      <c r="E106" s="287" t="s">
        <v>4391</v>
      </c>
      <c r="F106" s="287" t="s">
        <v>433</v>
      </c>
      <c r="G106" s="415">
        <v>220</v>
      </c>
      <c r="H106" s="420" t="s">
        <v>4392</v>
      </c>
    </row>
    <row r="107" spans="1:8" s="288" customFormat="1">
      <c r="A107" s="287">
        <v>101</v>
      </c>
      <c r="B107" s="275" t="s">
        <v>4393</v>
      </c>
      <c r="C107" s="705" t="s">
        <v>5074</v>
      </c>
      <c r="D107" s="418" t="str">
        <f t="shared" si="1"/>
        <v>UBND Phường An Phú Đông</v>
      </c>
      <c r="E107" s="287" t="s">
        <v>4394</v>
      </c>
      <c r="F107" s="287" t="s">
        <v>433</v>
      </c>
      <c r="G107" s="415">
        <v>240</v>
      </c>
      <c r="H107" s="420" t="s">
        <v>4333</v>
      </c>
    </row>
    <row r="108" spans="1:8" s="288" customFormat="1">
      <c r="A108" s="287">
        <v>102</v>
      </c>
      <c r="B108" s="275" t="s">
        <v>4341</v>
      </c>
      <c r="C108" s="705" t="s">
        <v>5074</v>
      </c>
      <c r="D108" s="418" t="str">
        <f t="shared" si="1"/>
        <v>UBND Phường An Phú Đông</v>
      </c>
      <c r="E108" s="287" t="s">
        <v>4399</v>
      </c>
      <c r="F108" s="287" t="s">
        <v>433</v>
      </c>
      <c r="G108" s="415">
        <v>185</v>
      </c>
      <c r="H108" s="420" t="s">
        <v>188</v>
      </c>
    </row>
    <row r="109" spans="1:8" s="288" customFormat="1">
      <c r="A109" s="287">
        <v>103</v>
      </c>
      <c r="B109" s="275" t="s">
        <v>925</v>
      </c>
      <c r="C109" s="705" t="s">
        <v>5074</v>
      </c>
      <c r="D109" s="418" t="str">
        <f t="shared" si="1"/>
        <v>UBND Phường An Phú Đông</v>
      </c>
      <c r="E109" s="287" t="s">
        <v>4400</v>
      </c>
      <c r="F109" s="287" t="s">
        <v>433</v>
      </c>
      <c r="G109" s="415">
        <v>330</v>
      </c>
      <c r="H109" s="420" t="s">
        <v>188</v>
      </c>
    </row>
    <row r="110" spans="1:8" s="288" customFormat="1">
      <c r="A110" s="287">
        <v>104</v>
      </c>
      <c r="B110" s="275" t="s">
        <v>4401</v>
      </c>
      <c r="C110" s="705" t="s">
        <v>5074</v>
      </c>
      <c r="D110" s="418" t="str">
        <f t="shared" si="1"/>
        <v>UBND Phường An Phú Đông</v>
      </c>
      <c r="E110" s="287" t="s">
        <v>614</v>
      </c>
      <c r="F110" s="287" t="s">
        <v>4402</v>
      </c>
      <c r="G110" s="415">
        <v>60</v>
      </c>
      <c r="H110" s="420" t="s">
        <v>207</v>
      </c>
    </row>
    <row r="111" spans="1:8" s="288" customFormat="1">
      <c r="A111" s="287">
        <v>105</v>
      </c>
      <c r="B111" s="275" t="s">
        <v>2525</v>
      </c>
      <c r="C111" s="705" t="s">
        <v>5074</v>
      </c>
      <c r="D111" s="418" t="str">
        <f t="shared" si="1"/>
        <v>UBND Phường An Phú Đông</v>
      </c>
      <c r="E111" s="287" t="s">
        <v>433</v>
      </c>
      <c r="F111" s="287" t="s">
        <v>602</v>
      </c>
      <c r="G111" s="415">
        <v>350</v>
      </c>
      <c r="H111" s="420" t="s">
        <v>4345</v>
      </c>
    </row>
    <row r="112" spans="1:8" s="288" customFormat="1">
      <c r="A112" s="287">
        <v>106</v>
      </c>
      <c r="B112" s="277" t="s">
        <v>2507</v>
      </c>
      <c r="C112" s="705" t="s">
        <v>5074</v>
      </c>
      <c r="D112" s="418" t="str">
        <f t="shared" si="1"/>
        <v>UBND Phường An Phú Đông</v>
      </c>
      <c r="E112" s="505" t="s">
        <v>2507</v>
      </c>
      <c r="F112" s="505" t="s">
        <v>4403</v>
      </c>
      <c r="G112" s="415">
        <v>125</v>
      </c>
      <c r="H112" s="420" t="s">
        <v>183</v>
      </c>
    </row>
    <row r="113" spans="1:8" s="288" customFormat="1">
      <c r="A113" s="287">
        <v>107</v>
      </c>
      <c r="B113" s="275" t="s">
        <v>4327</v>
      </c>
      <c r="C113" s="705" t="s">
        <v>5092</v>
      </c>
      <c r="D113" s="418" t="str">
        <f t="shared" si="1"/>
        <v>UBND Phường Bình Đông</v>
      </c>
      <c r="E113" s="287" t="s">
        <v>3554</v>
      </c>
      <c r="F113" s="287" t="s">
        <v>3400</v>
      </c>
      <c r="G113" s="415">
        <v>443</v>
      </c>
      <c r="H113" s="287">
        <v>4.5</v>
      </c>
    </row>
    <row r="114" spans="1:8" s="288" customFormat="1">
      <c r="A114" s="287">
        <v>108</v>
      </c>
      <c r="B114" s="275" t="s">
        <v>51</v>
      </c>
      <c r="C114" s="705" t="s">
        <v>5092</v>
      </c>
      <c r="D114" s="418" t="str">
        <f t="shared" si="1"/>
        <v>UBND Phường Bình Đông</v>
      </c>
      <c r="E114" s="287" t="s">
        <v>50</v>
      </c>
      <c r="F114" s="287" t="s">
        <v>52</v>
      </c>
      <c r="G114" s="415">
        <v>3500</v>
      </c>
      <c r="H114" s="287" t="s">
        <v>176</v>
      </c>
    </row>
    <row r="115" spans="1:8" s="288" customFormat="1">
      <c r="A115" s="287">
        <v>109</v>
      </c>
      <c r="B115" s="275" t="s">
        <v>432</v>
      </c>
      <c r="C115" s="705" t="s">
        <v>5101</v>
      </c>
      <c r="D115" s="418" t="str">
        <f t="shared" si="1"/>
        <v>UBND Phường Bình Lợi Trung</v>
      </c>
      <c r="E115" s="287" t="s">
        <v>3395</v>
      </c>
      <c r="F115" s="287" t="s">
        <v>433</v>
      </c>
      <c r="G115" s="415">
        <v>364</v>
      </c>
      <c r="H115" s="287">
        <v>37.9</v>
      </c>
    </row>
    <row r="116" spans="1:8" s="288" customFormat="1">
      <c r="A116" s="287">
        <v>110</v>
      </c>
      <c r="B116" s="275" t="s">
        <v>3498</v>
      </c>
      <c r="C116" s="705" t="s">
        <v>5101</v>
      </c>
      <c r="D116" s="418" t="str">
        <f t="shared" si="1"/>
        <v>UBND Phường Bình Lợi Trung</v>
      </c>
      <c r="E116" s="287" t="s">
        <v>4434</v>
      </c>
      <c r="F116" s="287" t="s">
        <v>436</v>
      </c>
      <c r="G116" s="415">
        <v>140</v>
      </c>
      <c r="H116" s="287">
        <v>2.5</v>
      </c>
    </row>
    <row r="117" spans="1:8" s="288" customFormat="1" ht="33">
      <c r="A117" s="287">
        <v>111</v>
      </c>
      <c r="B117" s="275" t="s">
        <v>4440</v>
      </c>
      <c r="C117" s="705" t="s">
        <v>5101</v>
      </c>
      <c r="D117" s="418" t="str">
        <f t="shared" si="1"/>
        <v>UBND Phường Bình Lợi Trung</v>
      </c>
      <c r="E117" s="287" t="s">
        <v>4441</v>
      </c>
      <c r="F117" s="287" t="s">
        <v>4442</v>
      </c>
      <c r="G117" s="415">
        <v>35</v>
      </c>
      <c r="H117" s="287">
        <v>2</v>
      </c>
    </row>
    <row r="118" spans="1:8" s="288" customFormat="1">
      <c r="A118" s="287">
        <v>112</v>
      </c>
      <c r="B118" s="275" t="s">
        <v>4443</v>
      </c>
      <c r="C118" s="705" t="s">
        <v>5101</v>
      </c>
      <c r="D118" s="418" t="str">
        <f t="shared" si="1"/>
        <v>UBND Phường Bình Lợi Trung</v>
      </c>
      <c r="E118" s="287" t="s">
        <v>4444</v>
      </c>
      <c r="F118" s="287" t="s">
        <v>4445</v>
      </c>
      <c r="G118" s="415">
        <v>66.099999999999994</v>
      </c>
      <c r="H118" s="287">
        <v>10.1</v>
      </c>
    </row>
    <row r="119" spans="1:8" s="288" customFormat="1">
      <c r="A119" s="287">
        <v>113</v>
      </c>
      <c r="B119" s="275" t="s">
        <v>4449</v>
      </c>
      <c r="C119" s="705" t="s">
        <v>5101</v>
      </c>
      <c r="D119" s="418" t="str">
        <f t="shared" si="1"/>
        <v>UBND Phường Bình Lợi Trung</v>
      </c>
      <c r="E119" s="287" t="s">
        <v>4450</v>
      </c>
      <c r="F119" s="287" t="s">
        <v>4451</v>
      </c>
      <c r="G119" s="415">
        <v>358</v>
      </c>
      <c r="H119" s="287">
        <v>4.5999999999999996</v>
      </c>
    </row>
    <row r="120" spans="1:8" s="288" customFormat="1">
      <c r="A120" s="287">
        <v>114</v>
      </c>
      <c r="B120" s="275" t="s">
        <v>4452</v>
      </c>
      <c r="C120" s="705" t="s">
        <v>5101</v>
      </c>
      <c r="D120" s="418" t="str">
        <f t="shared" si="1"/>
        <v>UBND Phường Bình Lợi Trung</v>
      </c>
      <c r="E120" s="287" t="s">
        <v>4445</v>
      </c>
      <c r="F120" s="287" t="s">
        <v>4453</v>
      </c>
      <c r="G120" s="415">
        <v>169.5</v>
      </c>
      <c r="H120" s="287">
        <v>13.02</v>
      </c>
    </row>
    <row r="121" spans="1:8" s="288" customFormat="1">
      <c r="A121" s="287">
        <v>115</v>
      </c>
      <c r="B121" s="275" t="s">
        <v>4457</v>
      </c>
      <c r="C121" s="705" t="s">
        <v>5101</v>
      </c>
      <c r="D121" s="418" t="str">
        <f t="shared" si="1"/>
        <v>UBND Phường Bình Lợi Trung</v>
      </c>
      <c r="E121" s="287" t="s">
        <v>4445</v>
      </c>
      <c r="F121" s="287" t="s">
        <v>4458</v>
      </c>
      <c r="G121" s="415">
        <v>290</v>
      </c>
      <c r="H121" s="287">
        <v>5.5</v>
      </c>
    </row>
    <row r="122" spans="1:8" s="288" customFormat="1">
      <c r="A122" s="287">
        <v>116</v>
      </c>
      <c r="B122" s="275" t="s">
        <v>4459</v>
      </c>
      <c r="C122" s="705" t="s">
        <v>5104</v>
      </c>
      <c r="D122" s="418" t="str">
        <f t="shared" si="1"/>
        <v>UBND Phường Bình Quới</v>
      </c>
      <c r="E122" s="287" t="s">
        <v>4460</v>
      </c>
      <c r="F122" s="287" t="s">
        <v>433</v>
      </c>
      <c r="G122" s="415">
        <v>453.5</v>
      </c>
      <c r="H122" s="287" t="s">
        <v>4461</v>
      </c>
    </row>
    <row r="123" spans="1:8" s="288" customFormat="1">
      <c r="A123" s="287">
        <v>117</v>
      </c>
      <c r="B123" s="275" t="s">
        <v>4462</v>
      </c>
      <c r="C123" s="705" t="s">
        <v>5104</v>
      </c>
      <c r="D123" s="418" t="str">
        <f t="shared" si="1"/>
        <v>UBND Phường Bình Quới</v>
      </c>
      <c r="E123" s="287" t="s">
        <v>4463</v>
      </c>
      <c r="F123" s="287" t="s">
        <v>4464</v>
      </c>
      <c r="G123" s="415">
        <v>478.7</v>
      </c>
      <c r="H123" s="287" t="s">
        <v>4465</v>
      </c>
    </row>
    <row r="124" spans="1:8" s="288" customFormat="1">
      <c r="A124" s="287">
        <v>118</v>
      </c>
      <c r="B124" s="275" t="s">
        <v>4466</v>
      </c>
      <c r="C124" s="705" t="s">
        <v>5104</v>
      </c>
      <c r="D124" s="418" t="str">
        <f t="shared" si="1"/>
        <v>UBND Phường Bình Quới</v>
      </c>
      <c r="E124" s="287" t="s">
        <v>4467</v>
      </c>
      <c r="F124" s="287" t="s">
        <v>4468</v>
      </c>
      <c r="G124" s="415">
        <v>563.29999999999995</v>
      </c>
      <c r="H124" s="287" t="s">
        <v>4469</v>
      </c>
    </row>
    <row r="125" spans="1:8" s="288" customFormat="1">
      <c r="A125" s="287">
        <v>119</v>
      </c>
      <c r="B125" s="275" t="s">
        <v>4470</v>
      </c>
      <c r="C125" s="705" t="s">
        <v>5104</v>
      </c>
      <c r="D125" s="418" t="str">
        <f t="shared" ref="D125:D182" si="2">"UBND "&amp;C125</f>
        <v>UBND Phường Bình Quới</v>
      </c>
      <c r="E125" s="287" t="s">
        <v>4468</v>
      </c>
      <c r="F125" s="287" t="s">
        <v>433</v>
      </c>
      <c r="G125" s="415">
        <v>227.1</v>
      </c>
      <c r="H125" s="287" t="s">
        <v>4471</v>
      </c>
    </row>
    <row r="126" spans="1:8" s="288" customFormat="1">
      <c r="A126" s="287">
        <v>120</v>
      </c>
      <c r="B126" s="275" t="s">
        <v>4472</v>
      </c>
      <c r="C126" s="705" t="s">
        <v>5104</v>
      </c>
      <c r="D126" s="418" t="str">
        <f t="shared" si="2"/>
        <v>UBND Phường Bình Quới</v>
      </c>
      <c r="E126" s="287" t="s">
        <v>4473</v>
      </c>
      <c r="F126" s="287" t="s">
        <v>4474</v>
      </c>
      <c r="G126" s="415">
        <v>474.1</v>
      </c>
      <c r="H126" s="287" t="s">
        <v>4475</v>
      </c>
    </row>
    <row r="127" spans="1:8" s="288" customFormat="1">
      <c r="A127" s="287">
        <v>121</v>
      </c>
      <c r="B127" s="275" t="s">
        <v>4476</v>
      </c>
      <c r="C127" s="705" t="s">
        <v>5104</v>
      </c>
      <c r="D127" s="418" t="str">
        <f t="shared" si="2"/>
        <v>UBND Phường Bình Quới</v>
      </c>
      <c r="E127" s="287" t="s">
        <v>4474</v>
      </c>
      <c r="F127" s="287" t="s">
        <v>4477</v>
      </c>
      <c r="G127" s="415">
        <v>327.2</v>
      </c>
      <c r="H127" s="287" t="s">
        <v>4478</v>
      </c>
    </row>
    <row r="128" spans="1:8" s="288" customFormat="1">
      <c r="A128" s="287">
        <v>122</v>
      </c>
      <c r="B128" s="275" t="s">
        <v>4479</v>
      </c>
      <c r="C128" s="705" t="s">
        <v>5104</v>
      </c>
      <c r="D128" s="418" t="str">
        <f t="shared" si="2"/>
        <v>UBND Phường Bình Quới</v>
      </c>
      <c r="E128" s="287" t="s">
        <v>4480</v>
      </c>
      <c r="F128" s="287" t="s">
        <v>433</v>
      </c>
      <c r="G128" s="415">
        <v>255.1</v>
      </c>
      <c r="H128" s="287" t="s">
        <v>4481</v>
      </c>
    </row>
    <row r="129" spans="1:8" s="288" customFormat="1">
      <c r="A129" s="287">
        <v>123</v>
      </c>
      <c r="B129" s="275" t="s">
        <v>3973</v>
      </c>
      <c r="C129" s="705" t="s">
        <v>5104</v>
      </c>
      <c r="D129" s="418" t="str">
        <f t="shared" si="2"/>
        <v>UBND Phường Bình Quới</v>
      </c>
      <c r="E129" s="287" t="s">
        <v>4482</v>
      </c>
      <c r="F129" s="287" t="s">
        <v>433</v>
      </c>
      <c r="G129" s="415">
        <v>506.5</v>
      </c>
      <c r="H129" s="287" t="s">
        <v>4483</v>
      </c>
    </row>
    <row r="130" spans="1:8" s="288" customFormat="1">
      <c r="A130" s="287">
        <v>124</v>
      </c>
      <c r="B130" s="275" t="s">
        <v>4484</v>
      </c>
      <c r="C130" s="705" t="s">
        <v>5104</v>
      </c>
      <c r="D130" s="418" t="str">
        <f t="shared" si="2"/>
        <v>UBND Phường Bình Quới</v>
      </c>
      <c r="E130" s="287" t="s">
        <v>4485</v>
      </c>
      <c r="F130" s="287" t="s">
        <v>433</v>
      </c>
      <c r="G130" s="415">
        <v>151.30000000000001</v>
      </c>
      <c r="H130" s="287" t="s">
        <v>4486</v>
      </c>
    </row>
    <row r="131" spans="1:8" s="288" customFormat="1">
      <c r="A131" s="287">
        <v>125</v>
      </c>
      <c r="B131" s="275" t="s">
        <v>4487</v>
      </c>
      <c r="C131" s="705" t="s">
        <v>5104</v>
      </c>
      <c r="D131" s="418" t="str">
        <f t="shared" si="2"/>
        <v>UBND Phường Bình Quới</v>
      </c>
      <c r="E131" s="287" t="s">
        <v>4488</v>
      </c>
      <c r="F131" s="287" t="s">
        <v>433</v>
      </c>
      <c r="G131" s="415">
        <v>159.5</v>
      </c>
      <c r="H131" s="287" t="s">
        <v>4489</v>
      </c>
    </row>
    <row r="132" spans="1:8" s="288" customFormat="1">
      <c r="A132" s="287">
        <v>126</v>
      </c>
      <c r="B132" s="275" t="s">
        <v>2640</v>
      </c>
      <c r="C132" s="705" t="s">
        <v>5104</v>
      </c>
      <c r="D132" s="418" t="str">
        <f t="shared" si="2"/>
        <v>UBND Phường Bình Quới</v>
      </c>
      <c r="E132" s="287" t="s">
        <v>4490</v>
      </c>
      <c r="F132" s="287" t="s">
        <v>433</v>
      </c>
      <c r="G132" s="415">
        <v>622.6</v>
      </c>
      <c r="H132" s="287" t="s">
        <v>4491</v>
      </c>
    </row>
    <row r="133" spans="1:8" s="288" customFormat="1">
      <c r="A133" s="287">
        <v>127</v>
      </c>
      <c r="B133" s="275" t="s">
        <v>4492</v>
      </c>
      <c r="C133" s="705" t="s">
        <v>5104</v>
      </c>
      <c r="D133" s="418" t="str">
        <f t="shared" si="2"/>
        <v>UBND Phường Bình Quới</v>
      </c>
      <c r="E133" s="287" t="s">
        <v>3386</v>
      </c>
      <c r="F133" s="287" t="s">
        <v>2640</v>
      </c>
      <c r="G133" s="415">
        <v>74.7</v>
      </c>
      <c r="H133" s="287" t="s">
        <v>4493</v>
      </c>
    </row>
    <row r="134" spans="1:8" s="288" customFormat="1">
      <c r="A134" s="287">
        <v>128</v>
      </c>
      <c r="B134" s="275" t="s">
        <v>4494</v>
      </c>
      <c r="C134" s="705" t="s">
        <v>5104</v>
      </c>
      <c r="D134" s="418" t="str">
        <f t="shared" si="2"/>
        <v>UBND Phường Bình Quới</v>
      </c>
      <c r="E134" s="287" t="s">
        <v>4495</v>
      </c>
      <c r="F134" s="287" t="s">
        <v>433</v>
      </c>
      <c r="G134" s="415">
        <v>355.3</v>
      </c>
      <c r="H134" s="287" t="s">
        <v>4496</v>
      </c>
    </row>
    <row r="135" spans="1:8" s="288" customFormat="1">
      <c r="A135" s="287">
        <v>129</v>
      </c>
      <c r="B135" s="275" t="s">
        <v>4497</v>
      </c>
      <c r="C135" s="705" t="s">
        <v>5104</v>
      </c>
      <c r="D135" s="418" t="str">
        <f t="shared" si="2"/>
        <v>UBND Phường Bình Quới</v>
      </c>
      <c r="E135" s="287" t="s">
        <v>4498</v>
      </c>
      <c r="F135" s="287" t="s">
        <v>433</v>
      </c>
      <c r="G135" s="415">
        <v>361.2</v>
      </c>
      <c r="H135" s="287" t="s">
        <v>4499</v>
      </c>
    </row>
    <row r="136" spans="1:8" s="288" customFormat="1">
      <c r="A136" s="287">
        <v>130</v>
      </c>
      <c r="B136" s="275" t="s">
        <v>2852</v>
      </c>
      <c r="C136" s="705" t="s">
        <v>5104</v>
      </c>
      <c r="D136" s="418" t="str">
        <f t="shared" si="2"/>
        <v>UBND Phường Bình Quới</v>
      </c>
      <c r="E136" s="287" t="s">
        <v>4500</v>
      </c>
      <c r="F136" s="287" t="s">
        <v>433</v>
      </c>
      <c r="G136" s="415">
        <v>710.4</v>
      </c>
      <c r="H136" s="287" t="s">
        <v>4501</v>
      </c>
    </row>
    <row r="137" spans="1:8" s="288" customFormat="1">
      <c r="A137" s="287">
        <v>131</v>
      </c>
      <c r="B137" s="275" t="s">
        <v>4502</v>
      </c>
      <c r="C137" s="705" t="s">
        <v>5104</v>
      </c>
      <c r="D137" s="418" t="str">
        <f t="shared" si="2"/>
        <v>UBND Phường Bình Quới</v>
      </c>
      <c r="E137" s="287" t="s">
        <v>4503</v>
      </c>
      <c r="F137" s="287" t="s">
        <v>2852</v>
      </c>
      <c r="G137" s="415">
        <v>164.2</v>
      </c>
      <c r="H137" s="287" t="s">
        <v>4504</v>
      </c>
    </row>
    <row r="138" spans="1:8" s="288" customFormat="1">
      <c r="A138" s="287">
        <v>132</v>
      </c>
      <c r="B138" s="275" t="s">
        <v>4505</v>
      </c>
      <c r="C138" s="705" t="s">
        <v>5104</v>
      </c>
      <c r="D138" s="418" t="str">
        <f t="shared" si="2"/>
        <v>UBND Phường Bình Quới</v>
      </c>
      <c r="E138" s="287" t="s">
        <v>4506</v>
      </c>
      <c r="F138" s="287" t="s">
        <v>433</v>
      </c>
      <c r="G138" s="415">
        <v>1176.3</v>
      </c>
      <c r="H138" s="287" t="s">
        <v>4507</v>
      </c>
    </row>
    <row r="139" spans="1:8" s="288" customFormat="1">
      <c r="A139" s="287">
        <v>133</v>
      </c>
      <c r="B139" s="275" t="s">
        <v>4508</v>
      </c>
      <c r="C139" s="705" t="s">
        <v>5104</v>
      </c>
      <c r="D139" s="418" t="str">
        <f t="shared" si="2"/>
        <v>UBND Phường Bình Quới</v>
      </c>
      <c r="E139" s="287" t="s">
        <v>4509</v>
      </c>
      <c r="F139" s="287" t="s">
        <v>4510</v>
      </c>
      <c r="G139" s="415">
        <v>341.4</v>
      </c>
      <c r="H139" s="287" t="s">
        <v>4511</v>
      </c>
    </row>
    <row r="140" spans="1:8" s="288" customFormat="1">
      <c r="A140" s="287">
        <v>134</v>
      </c>
      <c r="B140" s="275" t="s">
        <v>4512</v>
      </c>
      <c r="C140" s="705" t="s">
        <v>5104</v>
      </c>
      <c r="D140" s="418" t="str">
        <f t="shared" si="2"/>
        <v>UBND Phường Bình Quới</v>
      </c>
      <c r="E140" s="287" t="s">
        <v>4513</v>
      </c>
      <c r="F140" s="287" t="s">
        <v>4510</v>
      </c>
      <c r="G140" s="415">
        <v>136.19999999999999</v>
      </c>
      <c r="H140" s="287" t="s">
        <v>4514</v>
      </c>
    </row>
    <row r="141" spans="1:8" s="288" customFormat="1">
      <c r="A141" s="287">
        <v>135</v>
      </c>
      <c r="B141" s="275" t="s">
        <v>4515</v>
      </c>
      <c r="C141" s="705" t="s">
        <v>5104</v>
      </c>
      <c r="D141" s="418" t="str">
        <f t="shared" si="2"/>
        <v>UBND Phường Bình Quới</v>
      </c>
      <c r="E141" s="287" t="s">
        <v>4516</v>
      </c>
      <c r="F141" s="287" t="s">
        <v>4510</v>
      </c>
      <c r="G141" s="415">
        <v>538.20000000000005</v>
      </c>
      <c r="H141" s="287" t="s">
        <v>4517</v>
      </c>
    </row>
    <row r="142" spans="1:8" s="288" customFormat="1">
      <c r="A142" s="287">
        <v>136</v>
      </c>
      <c r="B142" s="275" t="s">
        <v>4518</v>
      </c>
      <c r="C142" s="705" t="s">
        <v>5104</v>
      </c>
      <c r="D142" s="418" t="str">
        <f t="shared" si="2"/>
        <v>UBND Phường Bình Quới</v>
      </c>
      <c r="E142" s="287" t="s">
        <v>4519</v>
      </c>
      <c r="F142" s="287" t="s">
        <v>4510</v>
      </c>
      <c r="G142" s="415">
        <v>531.6</v>
      </c>
      <c r="H142" s="287" t="s">
        <v>4517</v>
      </c>
    </row>
    <row r="143" spans="1:8" s="288" customFormat="1">
      <c r="A143" s="287">
        <v>137</v>
      </c>
      <c r="B143" s="275" t="s">
        <v>4520</v>
      </c>
      <c r="C143" s="705" t="s">
        <v>5104</v>
      </c>
      <c r="D143" s="418" t="str">
        <f t="shared" si="2"/>
        <v>UBND Phường Bình Quới</v>
      </c>
      <c r="E143" s="287" t="s">
        <v>4521</v>
      </c>
      <c r="F143" s="287" t="s">
        <v>4510</v>
      </c>
      <c r="G143" s="415">
        <v>253.44</v>
      </c>
      <c r="H143" s="287" t="s">
        <v>4522</v>
      </c>
    </row>
    <row r="144" spans="1:8" s="288" customFormat="1">
      <c r="A144" s="287">
        <v>138</v>
      </c>
      <c r="B144" s="275" t="s">
        <v>4523</v>
      </c>
      <c r="C144" s="705" t="s">
        <v>5104</v>
      </c>
      <c r="D144" s="418" t="str">
        <f t="shared" si="2"/>
        <v>UBND Phường Bình Quới</v>
      </c>
      <c r="E144" s="287" t="s">
        <v>4524</v>
      </c>
      <c r="F144" s="287" t="s">
        <v>4510</v>
      </c>
      <c r="G144" s="415">
        <v>475.9</v>
      </c>
      <c r="H144" s="287" t="s">
        <v>4525</v>
      </c>
    </row>
    <row r="145" spans="1:8" s="288" customFormat="1" ht="33">
      <c r="A145" s="287">
        <v>139</v>
      </c>
      <c r="B145" s="275" t="s">
        <v>4409</v>
      </c>
      <c r="C145" s="705" t="s">
        <v>5098</v>
      </c>
      <c r="D145" s="418" t="str">
        <f t="shared" si="2"/>
        <v>UBND Phường Bình Tân</v>
      </c>
      <c r="E145" s="287" t="s">
        <v>1041</v>
      </c>
      <c r="F145" s="287" t="s">
        <v>1040</v>
      </c>
      <c r="G145" s="415">
        <v>700</v>
      </c>
      <c r="H145" s="287">
        <v>10</v>
      </c>
    </row>
    <row r="146" spans="1:8" s="288" customFormat="1" ht="33">
      <c r="A146" s="287">
        <v>140</v>
      </c>
      <c r="B146" s="275" t="s">
        <v>417</v>
      </c>
      <c r="C146" s="705" t="s">
        <v>5098</v>
      </c>
      <c r="D146" s="418" t="str">
        <f t="shared" si="2"/>
        <v>UBND Phường Bình Tân</v>
      </c>
      <c r="E146" s="287" t="s">
        <v>1041</v>
      </c>
      <c r="F146" s="287" t="s">
        <v>1043</v>
      </c>
      <c r="G146" s="415">
        <v>1100</v>
      </c>
      <c r="H146" s="420" t="s">
        <v>149</v>
      </c>
    </row>
    <row r="147" spans="1:8" s="288" customFormat="1">
      <c r="A147" s="287">
        <v>141</v>
      </c>
      <c r="B147" s="275" t="s">
        <v>415</v>
      </c>
      <c r="C147" s="705" t="s">
        <v>5098</v>
      </c>
      <c r="D147" s="418" t="str">
        <f t="shared" si="2"/>
        <v>UBND Phường Bình Tân</v>
      </c>
      <c r="E147" s="287" t="s">
        <v>1049</v>
      </c>
      <c r="F147" s="287" t="s">
        <v>3436</v>
      </c>
      <c r="G147" s="415">
        <v>610</v>
      </c>
      <c r="H147" s="420" t="s">
        <v>224</v>
      </c>
    </row>
    <row r="148" spans="1:8" s="288" customFormat="1">
      <c r="A148" s="287">
        <v>142</v>
      </c>
      <c r="B148" s="275" t="s">
        <v>3503</v>
      </c>
      <c r="C148" s="705" t="s">
        <v>5102</v>
      </c>
      <c r="D148" s="418" t="str">
        <f t="shared" si="2"/>
        <v>UBND Phường Bình Thạnh</v>
      </c>
      <c r="E148" s="287" t="s">
        <v>387</v>
      </c>
      <c r="F148" s="287" t="s">
        <v>437</v>
      </c>
      <c r="G148" s="415">
        <v>143</v>
      </c>
      <c r="H148" s="287">
        <v>2.2999999999999998</v>
      </c>
    </row>
    <row r="149" spans="1:8" s="288" customFormat="1" ht="33">
      <c r="A149" s="287">
        <v>143</v>
      </c>
      <c r="B149" s="275" t="s">
        <v>4446</v>
      </c>
      <c r="C149" s="705" t="s">
        <v>5102</v>
      </c>
      <c r="D149" s="418" t="str">
        <f t="shared" si="2"/>
        <v>UBND Phường Bình Thạnh</v>
      </c>
      <c r="E149" s="287" t="s">
        <v>4447</v>
      </c>
      <c r="F149" s="287" t="s">
        <v>4448</v>
      </c>
      <c r="G149" s="415">
        <v>31</v>
      </c>
      <c r="H149" s="287">
        <v>3.5</v>
      </c>
    </row>
    <row r="150" spans="1:8" s="288" customFormat="1" ht="33">
      <c r="A150" s="287">
        <v>144</v>
      </c>
      <c r="B150" s="275" t="s">
        <v>4454</v>
      </c>
      <c r="C150" s="705" t="s">
        <v>5102</v>
      </c>
      <c r="D150" s="418" t="str">
        <f t="shared" si="2"/>
        <v>UBND Phường Bình Thạnh</v>
      </c>
      <c r="E150" s="287" t="s">
        <v>4455</v>
      </c>
      <c r="F150" s="287" t="s">
        <v>4456</v>
      </c>
      <c r="G150" s="415">
        <v>94</v>
      </c>
      <c r="H150" s="287">
        <v>16</v>
      </c>
    </row>
    <row r="151" spans="1:8" s="288" customFormat="1" ht="33">
      <c r="A151" s="287">
        <v>145</v>
      </c>
      <c r="B151" s="275" t="s">
        <v>408</v>
      </c>
      <c r="C151" s="705" t="s">
        <v>5093</v>
      </c>
      <c r="D151" s="418" t="str">
        <f t="shared" si="2"/>
        <v>UBND Phường Bình Thới</v>
      </c>
      <c r="E151" s="287" t="s">
        <v>409</v>
      </c>
      <c r="F151" s="287" t="s">
        <v>410</v>
      </c>
      <c r="G151" s="415">
        <v>713</v>
      </c>
      <c r="H151" s="287">
        <v>5.9</v>
      </c>
    </row>
    <row r="152" spans="1:8" s="288" customFormat="1" ht="33">
      <c r="A152" s="287">
        <v>146</v>
      </c>
      <c r="B152" s="275" t="s">
        <v>4410</v>
      </c>
      <c r="C152" s="705" t="s">
        <v>5099</v>
      </c>
      <c r="D152" s="418" t="str">
        <f t="shared" si="2"/>
        <v>UBND Phường Bình Trị Đông</v>
      </c>
      <c r="E152" s="287" t="s">
        <v>1094</v>
      </c>
      <c r="F152" s="287" t="s">
        <v>1095</v>
      </c>
      <c r="G152" s="415">
        <v>1930</v>
      </c>
      <c r="H152" s="420" t="s">
        <v>220</v>
      </c>
    </row>
    <row r="153" spans="1:8" s="288" customFormat="1" ht="33">
      <c r="A153" s="287">
        <v>147</v>
      </c>
      <c r="B153" s="275" t="s">
        <v>1077</v>
      </c>
      <c r="C153" s="705" t="s">
        <v>5099</v>
      </c>
      <c r="D153" s="418" t="str">
        <f t="shared" si="2"/>
        <v>UBND Phường Bình Trị Đông</v>
      </c>
      <c r="E153" s="287" t="s">
        <v>1096</v>
      </c>
      <c r="F153" s="287" t="s">
        <v>1097</v>
      </c>
      <c r="G153" s="415">
        <v>910</v>
      </c>
      <c r="H153" s="420" t="s">
        <v>986</v>
      </c>
    </row>
    <row r="154" spans="1:8" s="288" customFormat="1" ht="33">
      <c r="A154" s="287">
        <v>148</v>
      </c>
      <c r="B154" s="275" t="s">
        <v>1071</v>
      </c>
      <c r="C154" s="705" t="s">
        <v>5099</v>
      </c>
      <c r="D154" s="418" t="str">
        <f t="shared" si="2"/>
        <v>UBND Phường Bình Trị Đông</v>
      </c>
      <c r="E154" s="287" t="s">
        <v>1072</v>
      </c>
      <c r="F154" s="287" t="s">
        <v>1073</v>
      </c>
      <c r="G154" s="415">
        <v>200</v>
      </c>
      <c r="H154" s="420" t="s">
        <v>1074</v>
      </c>
    </row>
    <row r="155" spans="1:8" s="288" customFormat="1">
      <c r="A155" s="287">
        <v>149</v>
      </c>
      <c r="B155" s="275" t="s">
        <v>3442</v>
      </c>
      <c r="C155" s="705" t="s">
        <v>5071</v>
      </c>
      <c r="D155" s="418" t="str">
        <f t="shared" si="2"/>
        <v>UBND Phường Bình Trưng</v>
      </c>
      <c r="E155" s="287" t="s">
        <v>520</v>
      </c>
      <c r="F155" s="287" t="s">
        <v>407</v>
      </c>
      <c r="G155" s="415">
        <v>1800</v>
      </c>
      <c r="H155" s="287" t="s">
        <v>150</v>
      </c>
    </row>
    <row r="156" spans="1:8" s="288" customFormat="1" ht="33">
      <c r="A156" s="287">
        <v>150</v>
      </c>
      <c r="B156" s="275" t="s">
        <v>3444</v>
      </c>
      <c r="C156" s="705" t="s">
        <v>5071</v>
      </c>
      <c r="D156" s="418" t="str">
        <f t="shared" si="2"/>
        <v>UBND Phường Bình Trưng</v>
      </c>
      <c r="E156" s="287" t="s">
        <v>520</v>
      </c>
      <c r="F156" s="287" t="s">
        <v>407</v>
      </c>
      <c r="G156" s="415">
        <v>1300</v>
      </c>
      <c r="H156" s="287" t="s">
        <v>157</v>
      </c>
    </row>
    <row r="157" spans="1:8" s="288" customFormat="1">
      <c r="A157" s="287">
        <v>151</v>
      </c>
      <c r="B157" s="275" t="s">
        <v>3217</v>
      </c>
      <c r="C157" s="705" t="s">
        <v>5071</v>
      </c>
      <c r="D157" s="418" t="str">
        <f t="shared" si="2"/>
        <v>UBND Phường Bình Trưng</v>
      </c>
      <c r="E157" s="287" t="s">
        <v>485</v>
      </c>
      <c r="F157" s="287" t="s">
        <v>3516</v>
      </c>
      <c r="G157" s="415">
        <v>1700</v>
      </c>
      <c r="H157" s="287" t="s">
        <v>158</v>
      </c>
    </row>
    <row r="158" spans="1:8" s="288" customFormat="1">
      <c r="A158" s="287">
        <v>152</v>
      </c>
      <c r="B158" s="275" t="s">
        <v>3638</v>
      </c>
      <c r="C158" s="705" t="s">
        <v>5071</v>
      </c>
      <c r="D158" s="418" t="str">
        <f t="shared" si="2"/>
        <v>UBND Phường Bình Trưng</v>
      </c>
      <c r="E158" s="287" t="s">
        <v>485</v>
      </c>
      <c r="F158" s="287" t="s">
        <v>3926</v>
      </c>
      <c r="G158" s="415">
        <v>1800</v>
      </c>
      <c r="H158" s="287" t="s">
        <v>156</v>
      </c>
    </row>
    <row r="159" spans="1:8" s="288" customFormat="1">
      <c r="A159" s="287">
        <v>153</v>
      </c>
      <c r="B159" s="275" t="s">
        <v>3926</v>
      </c>
      <c r="C159" s="705" t="s">
        <v>5071</v>
      </c>
      <c r="D159" s="418" t="str">
        <f t="shared" si="2"/>
        <v>UBND Phường Bình Trưng</v>
      </c>
      <c r="E159" s="287" t="s">
        <v>485</v>
      </c>
      <c r="F159" s="287" t="s">
        <v>486</v>
      </c>
      <c r="G159" s="415">
        <v>2000</v>
      </c>
      <c r="H159" s="287" t="s">
        <v>156</v>
      </c>
    </row>
    <row r="160" spans="1:8" s="288" customFormat="1" ht="33">
      <c r="A160" s="287">
        <v>154</v>
      </c>
      <c r="B160" s="275" t="s">
        <v>3445</v>
      </c>
      <c r="C160" s="705" t="s">
        <v>5071</v>
      </c>
      <c r="D160" s="418" t="str">
        <f t="shared" si="2"/>
        <v>UBND Phường Bình Trưng</v>
      </c>
      <c r="E160" s="287" t="s">
        <v>508</v>
      </c>
      <c r="F160" s="287" t="s">
        <v>1123</v>
      </c>
      <c r="G160" s="415">
        <v>1000</v>
      </c>
      <c r="H160" s="287" t="s">
        <v>150</v>
      </c>
    </row>
    <row r="161" spans="1:8" s="288" customFormat="1">
      <c r="A161" s="287">
        <v>155</v>
      </c>
      <c r="B161" s="275" t="s">
        <v>509</v>
      </c>
      <c r="C161" s="705" t="s">
        <v>5071</v>
      </c>
      <c r="D161" s="418" t="str">
        <f t="shared" si="2"/>
        <v>UBND Phường Bình Trưng</v>
      </c>
      <c r="E161" s="287" t="s">
        <v>508</v>
      </c>
      <c r="F161" s="287" t="s">
        <v>407</v>
      </c>
      <c r="G161" s="415">
        <v>1000</v>
      </c>
      <c r="H161" s="287" t="s">
        <v>150</v>
      </c>
    </row>
    <row r="162" spans="1:8" s="288" customFormat="1">
      <c r="A162" s="287">
        <v>156</v>
      </c>
      <c r="B162" s="275" t="s">
        <v>511</v>
      </c>
      <c r="C162" s="705" t="s">
        <v>5071</v>
      </c>
      <c r="D162" s="418" t="str">
        <f t="shared" si="2"/>
        <v>UBND Phường Bình Trưng</v>
      </c>
      <c r="E162" s="287" t="s">
        <v>508</v>
      </c>
      <c r="F162" s="287" t="s">
        <v>407</v>
      </c>
      <c r="G162" s="415">
        <v>900</v>
      </c>
      <c r="H162" s="287" t="s">
        <v>150</v>
      </c>
    </row>
    <row r="163" spans="1:8" s="673" customFormat="1">
      <c r="A163" s="287">
        <v>157</v>
      </c>
      <c r="B163" s="275" t="s">
        <v>512</v>
      </c>
      <c r="C163" s="705" t="s">
        <v>5071</v>
      </c>
      <c r="D163" s="418" t="str">
        <f t="shared" si="2"/>
        <v>UBND Phường Bình Trưng</v>
      </c>
      <c r="E163" s="287" t="s">
        <v>508</v>
      </c>
      <c r="F163" s="287" t="s">
        <v>407</v>
      </c>
      <c r="G163" s="415">
        <v>1200</v>
      </c>
      <c r="H163" s="287" t="s">
        <v>150</v>
      </c>
    </row>
    <row r="164" spans="1:8" s="673" customFormat="1" ht="33">
      <c r="A164" s="287">
        <v>158</v>
      </c>
      <c r="B164" s="275" t="s">
        <v>3446</v>
      </c>
      <c r="C164" s="705" t="s">
        <v>5071</v>
      </c>
      <c r="D164" s="418" t="str">
        <f t="shared" si="2"/>
        <v>UBND Phường Bình Trưng</v>
      </c>
      <c r="E164" s="287" t="s">
        <v>1123</v>
      </c>
      <c r="F164" s="287" t="s">
        <v>407</v>
      </c>
      <c r="G164" s="415">
        <v>1000</v>
      </c>
      <c r="H164" s="287" t="s">
        <v>150</v>
      </c>
    </row>
    <row r="165" spans="1:8" s="673" customFormat="1" ht="33">
      <c r="A165" s="287">
        <v>159</v>
      </c>
      <c r="B165" s="275" t="s">
        <v>3447</v>
      </c>
      <c r="C165" s="705" t="s">
        <v>5071</v>
      </c>
      <c r="D165" s="418" t="str">
        <f t="shared" si="2"/>
        <v>UBND Phường Bình Trưng</v>
      </c>
      <c r="E165" s="287" t="s">
        <v>1123</v>
      </c>
      <c r="F165" s="287" t="s">
        <v>407</v>
      </c>
      <c r="G165" s="415">
        <v>700</v>
      </c>
      <c r="H165" s="287" t="s">
        <v>150</v>
      </c>
    </row>
    <row r="166" spans="1:8" s="673" customFormat="1">
      <c r="A166" s="287">
        <v>160</v>
      </c>
      <c r="B166" s="275" t="s">
        <v>3443</v>
      </c>
      <c r="C166" s="705" t="s">
        <v>5072</v>
      </c>
      <c r="D166" s="418" t="str">
        <f t="shared" si="2"/>
        <v>UBND Phường Cát Lái</v>
      </c>
      <c r="E166" s="287" t="s">
        <v>520</v>
      </c>
      <c r="F166" s="287" t="s">
        <v>407</v>
      </c>
      <c r="G166" s="415">
        <v>3500</v>
      </c>
      <c r="H166" s="287" t="s">
        <v>150</v>
      </c>
    </row>
    <row r="167" spans="1:8" s="673" customFormat="1">
      <c r="A167" s="287">
        <v>161</v>
      </c>
      <c r="B167" s="275" t="s">
        <v>3215</v>
      </c>
      <c r="C167" s="705" t="s">
        <v>5072</v>
      </c>
      <c r="D167" s="418" t="str">
        <f t="shared" si="2"/>
        <v>UBND Phường Cát Lái</v>
      </c>
      <c r="E167" s="287" t="s">
        <v>3612</v>
      </c>
      <c r="F167" s="287" t="s">
        <v>482</v>
      </c>
      <c r="G167" s="415">
        <v>1300</v>
      </c>
      <c r="H167" s="287" t="s">
        <v>159</v>
      </c>
    </row>
    <row r="168" spans="1:8" s="673" customFormat="1">
      <c r="A168" s="287">
        <v>162</v>
      </c>
      <c r="B168" s="275" t="s">
        <v>540</v>
      </c>
      <c r="C168" s="705" t="s">
        <v>5072</v>
      </c>
      <c r="D168" s="418" t="str">
        <f t="shared" si="2"/>
        <v>UBND Phường Cát Lái</v>
      </c>
      <c r="E168" s="287" t="s">
        <v>3613</v>
      </c>
      <c r="F168" s="287" t="s">
        <v>3614</v>
      </c>
      <c r="G168" s="415">
        <v>4500</v>
      </c>
      <c r="H168" s="287" t="s">
        <v>160</v>
      </c>
    </row>
    <row r="169" spans="1:8" s="673" customFormat="1">
      <c r="A169" s="287">
        <v>163</v>
      </c>
      <c r="B169" s="275" t="s">
        <v>501</v>
      </c>
      <c r="C169" s="705" t="s">
        <v>5072</v>
      </c>
      <c r="D169" s="418" t="str">
        <f t="shared" si="2"/>
        <v>UBND Phường Cát Lái</v>
      </c>
      <c r="E169" s="287" t="s">
        <v>433</v>
      </c>
      <c r="F169" s="287" t="s">
        <v>407</v>
      </c>
      <c r="G169" s="415">
        <v>400</v>
      </c>
      <c r="H169" s="287" t="s">
        <v>163</v>
      </c>
    </row>
    <row r="170" spans="1:8" s="673" customFormat="1">
      <c r="A170" s="287">
        <v>164</v>
      </c>
      <c r="B170" s="275" t="s">
        <v>502</v>
      </c>
      <c r="C170" s="705" t="s">
        <v>5072</v>
      </c>
      <c r="D170" s="418" t="str">
        <f t="shared" si="2"/>
        <v>UBND Phường Cát Lái</v>
      </c>
      <c r="E170" s="287" t="s">
        <v>433</v>
      </c>
      <c r="F170" s="287" t="s">
        <v>407</v>
      </c>
      <c r="G170" s="415">
        <v>500</v>
      </c>
      <c r="H170" s="287" t="s">
        <v>150</v>
      </c>
    </row>
    <row r="171" spans="1:8" s="673" customFormat="1" ht="33">
      <c r="A171" s="287">
        <v>165</v>
      </c>
      <c r="B171" s="275" t="s">
        <v>3927</v>
      </c>
      <c r="C171" s="705" t="s">
        <v>5072</v>
      </c>
      <c r="D171" s="418" t="str">
        <f t="shared" si="2"/>
        <v>UBND Phường Cát Lái</v>
      </c>
      <c r="E171" s="287" t="s">
        <v>433</v>
      </c>
      <c r="F171" s="287" t="s">
        <v>504</v>
      </c>
      <c r="G171" s="415">
        <v>800</v>
      </c>
      <c r="H171" s="287" t="s">
        <v>163</v>
      </c>
    </row>
    <row r="172" spans="1:8" s="673" customFormat="1">
      <c r="A172" s="287">
        <v>166</v>
      </c>
      <c r="B172" s="275" t="s">
        <v>547</v>
      </c>
      <c r="C172" s="705" t="s">
        <v>5072</v>
      </c>
      <c r="D172" s="418" t="str">
        <f t="shared" si="2"/>
        <v>UBND Phường Cát Lái</v>
      </c>
      <c r="E172" s="287" t="s">
        <v>433</v>
      </c>
      <c r="F172" s="287" t="s">
        <v>407</v>
      </c>
      <c r="G172" s="415">
        <v>800</v>
      </c>
      <c r="H172" s="287" t="s">
        <v>154</v>
      </c>
    </row>
    <row r="173" spans="1:8" s="673" customFormat="1">
      <c r="A173" s="287">
        <v>167</v>
      </c>
      <c r="B173" s="275" t="s">
        <v>548</v>
      </c>
      <c r="C173" s="705" t="s">
        <v>5072</v>
      </c>
      <c r="D173" s="418" t="str">
        <f t="shared" si="2"/>
        <v>UBND Phường Cát Lái</v>
      </c>
      <c r="E173" s="287" t="s">
        <v>433</v>
      </c>
      <c r="F173" s="287" t="s">
        <v>407</v>
      </c>
      <c r="G173" s="415">
        <v>2600</v>
      </c>
      <c r="H173" s="287" t="s">
        <v>150</v>
      </c>
    </row>
    <row r="174" spans="1:8" s="673" customFormat="1">
      <c r="A174" s="287">
        <v>168</v>
      </c>
      <c r="B174" s="275" t="s">
        <v>549</v>
      </c>
      <c r="C174" s="705" t="s">
        <v>5072</v>
      </c>
      <c r="D174" s="418" t="str">
        <f t="shared" si="2"/>
        <v>UBND Phường Cát Lái</v>
      </c>
      <c r="E174" s="287" t="s">
        <v>433</v>
      </c>
      <c r="F174" s="287" t="s">
        <v>407</v>
      </c>
      <c r="G174" s="415">
        <v>1000</v>
      </c>
      <c r="H174" s="287" t="s">
        <v>157</v>
      </c>
    </row>
    <row r="175" spans="1:8" s="673" customFormat="1">
      <c r="A175" s="287">
        <v>169</v>
      </c>
      <c r="B175" s="275" t="s">
        <v>4324</v>
      </c>
      <c r="C175" s="705" t="s">
        <v>5090</v>
      </c>
      <c r="D175" s="418" t="str">
        <f t="shared" si="2"/>
        <v>UBND Phường Chánh Hưng</v>
      </c>
      <c r="E175" s="287" t="s">
        <v>396</v>
      </c>
      <c r="F175" s="287" t="s">
        <v>3399</v>
      </c>
      <c r="G175" s="415">
        <v>858</v>
      </c>
      <c r="H175" s="419" t="s">
        <v>189</v>
      </c>
    </row>
    <row r="176" spans="1:8" s="673" customFormat="1">
      <c r="A176" s="287">
        <v>170</v>
      </c>
      <c r="B176" s="275" t="s">
        <v>4326</v>
      </c>
      <c r="C176" s="705" t="s">
        <v>5090</v>
      </c>
      <c r="D176" s="418" t="str">
        <f t="shared" si="2"/>
        <v>UBND Phường Chánh Hưng</v>
      </c>
      <c r="E176" s="287" t="s">
        <v>1119</v>
      </c>
      <c r="F176" s="287" t="s">
        <v>384</v>
      </c>
      <c r="G176" s="415">
        <v>775</v>
      </c>
      <c r="H176" s="287">
        <v>11.6</v>
      </c>
    </row>
    <row r="177" spans="1:8" s="673" customFormat="1" ht="33">
      <c r="A177" s="287">
        <v>171</v>
      </c>
      <c r="B177" s="275" t="s">
        <v>394</v>
      </c>
      <c r="C177" s="705" t="s">
        <v>5090</v>
      </c>
      <c r="D177" s="418" t="str">
        <f t="shared" si="2"/>
        <v>UBND Phường Chánh Hưng</v>
      </c>
      <c r="E177" s="287" t="s">
        <v>3197</v>
      </c>
      <c r="F177" s="287" t="s">
        <v>395</v>
      </c>
      <c r="G177" s="415">
        <v>231</v>
      </c>
      <c r="H177" s="287">
        <v>4.0999999999999996</v>
      </c>
    </row>
    <row r="178" spans="1:8" s="673" customFormat="1">
      <c r="A178" s="287">
        <v>172</v>
      </c>
      <c r="B178" s="275" t="s">
        <v>399</v>
      </c>
      <c r="C178" s="705" t="s">
        <v>5090</v>
      </c>
      <c r="D178" s="418" t="str">
        <f t="shared" si="2"/>
        <v>UBND Phường Chánh Hưng</v>
      </c>
      <c r="E178" s="287" t="s">
        <v>3398</v>
      </c>
      <c r="F178" s="287" t="s">
        <v>396</v>
      </c>
      <c r="G178" s="415">
        <v>320</v>
      </c>
      <c r="H178" s="287">
        <v>6.5</v>
      </c>
    </row>
    <row r="179" spans="1:8" s="673" customFormat="1">
      <c r="A179" s="287">
        <v>173</v>
      </c>
      <c r="B179" s="275" t="s">
        <v>400</v>
      </c>
      <c r="C179" s="705" t="s">
        <v>5090</v>
      </c>
      <c r="D179" s="418" t="str">
        <f t="shared" si="2"/>
        <v>UBND Phường Chánh Hưng</v>
      </c>
      <c r="E179" s="287" t="s">
        <v>3551</v>
      </c>
      <c r="F179" s="287" t="s">
        <v>396</v>
      </c>
      <c r="G179" s="415">
        <v>292</v>
      </c>
      <c r="H179" s="287">
        <v>5.8</v>
      </c>
    </row>
    <row r="180" spans="1:8" s="673" customFormat="1" ht="33">
      <c r="A180" s="287">
        <v>174</v>
      </c>
      <c r="B180" s="275" t="s">
        <v>401</v>
      </c>
      <c r="C180" s="705" t="s">
        <v>5090</v>
      </c>
      <c r="D180" s="418" t="str">
        <f t="shared" si="2"/>
        <v>UBND Phường Chánh Hưng</v>
      </c>
      <c r="E180" s="287" t="s">
        <v>3552</v>
      </c>
      <c r="F180" s="287" t="s">
        <v>396</v>
      </c>
      <c r="G180" s="415">
        <v>163</v>
      </c>
      <c r="H180" s="287">
        <v>8.3000000000000007</v>
      </c>
    </row>
    <row r="181" spans="1:8" s="673" customFormat="1">
      <c r="A181" s="287">
        <v>175</v>
      </c>
      <c r="B181" s="275" t="s">
        <v>403</v>
      </c>
      <c r="C181" s="705" t="s">
        <v>5090</v>
      </c>
      <c r="D181" s="418" t="str">
        <f t="shared" si="2"/>
        <v>UBND Phường Chánh Hưng</v>
      </c>
      <c r="E181" s="287" t="s">
        <v>1119</v>
      </c>
      <c r="F181" s="287" t="s">
        <v>3587</v>
      </c>
      <c r="G181" s="415">
        <v>1240</v>
      </c>
      <c r="H181" s="287">
        <v>11</v>
      </c>
    </row>
    <row r="182" spans="1:8" s="673" customFormat="1">
      <c r="A182" s="287">
        <v>176</v>
      </c>
      <c r="B182" s="275" t="s">
        <v>3267</v>
      </c>
      <c r="C182" s="705" t="s">
        <v>5090</v>
      </c>
      <c r="D182" s="418" t="str">
        <f t="shared" si="2"/>
        <v>UBND Phường Chánh Hưng</v>
      </c>
      <c r="E182" s="287" t="s">
        <v>60</v>
      </c>
      <c r="F182" s="287" t="s">
        <v>407</v>
      </c>
      <c r="G182" s="415">
        <v>400</v>
      </c>
      <c r="H182" s="287" t="s">
        <v>156</v>
      </c>
    </row>
    <row r="183" spans="1:8" s="673" customFormat="1">
      <c r="A183" s="287">
        <v>177</v>
      </c>
      <c r="B183" s="275" t="s">
        <v>4380</v>
      </c>
      <c r="C183" s="705" t="s">
        <v>5094</v>
      </c>
      <c r="D183" s="418" t="str">
        <f t="shared" ref="D183:D271" si="3">"UBND "&amp;C183</f>
        <v>UBND Phường Đông Hưng Thuận</v>
      </c>
      <c r="E183" s="287" t="s">
        <v>4381</v>
      </c>
      <c r="F183" s="287" t="s">
        <v>4382</v>
      </c>
      <c r="G183" s="415">
        <v>264</v>
      </c>
      <c r="H183" s="419" t="s">
        <v>189</v>
      </c>
    </row>
    <row r="184" spans="1:8" s="673" customFormat="1">
      <c r="A184" s="287">
        <v>178</v>
      </c>
      <c r="B184" s="275" t="s">
        <v>4383</v>
      </c>
      <c r="C184" s="705" t="s">
        <v>5094</v>
      </c>
      <c r="D184" s="418" t="str">
        <f t="shared" si="3"/>
        <v>UBND Phường Đông Hưng Thuận</v>
      </c>
      <c r="E184" s="287" t="s">
        <v>4384</v>
      </c>
      <c r="F184" s="287" t="s">
        <v>4385</v>
      </c>
      <c r="G184" s="415">
        <v>296</v>
      </c>
      <c r="H184" s="419" t="s">
        <v>189</v>
      </c>
    </row>
    <row r="185" spans="1:8" s="673" customFormat="1">
      <c r="A185" s="287">
        <v>179</v>
      </c>
      <c r="B185" s="275" t="s">
        <v>4395</v>
      </c>
      <c r="C185" s="705" t="s">
        <v>5094</v>
      </c>
      <c r="D185" s="418" t="str">
        <f t="shared" si="3"/>
        <v>UBND Phường Đông Hưng Thuận</v>
      </c>
      <c r="E185" s="287" t="s">
        <v>4396</v>
      </c>
      <c r="F185" s="287" t="s">
        <v>597</v>
      </c>
      <c r="G185" s="415">
        <v>107</v>
      </c>
      <c r="H185" s="420">
        <v>8</v>
      </c>
    </row>
    <row r="186" spans="1:8" s="673" customFormat="1">
      <c r="A186" s="287">
        <v>180</v>
      </c>
      <c r="B186" s="275" t="s">
        <v>4397</v>
      </c>
      <c r="C186" s="705" t="s">
        <v>5094</v>
      </c>
      <c r="D186" s="418" t="str">
        <f t="shared" si="3"/>
        <v>UBND Phường Đông Hưng Thuận</v>
      </c>
      <c r="E186" s="287" t="s">
        <v>4398</v>
      </c>
      <c r="F186" s="287" t="s">
        <v>597</v>
      </c>
      <c r="G186" s="415">
        <v>75</v>
      </c>
      <c r="H186" s="420">
        <v>3</v>
      </c>
    </row>
    <row r="187" spans="1:8" s="673" customFormat="1">
      <c r="A187" s="287">
        <v>181</v>
      </c>
      <c r="B187" s="275" t="s">
        <v>430</v>
      </c>
      <c r="C187" s="705" t="s">
        <v>5100</v>
      </c>
      <c r="D187" s="418" t="str">
        <f t="shared" si="3"/>
        <v>UBND Phường Gia Định</v>
      </c>
      <c r="E187" s="287" t="s">
        <v>1088</v>
      </c>
      <c r="F187" s="287" t="s">
        <v>3402</v>
      </c>
      <c r="G187" s="415">
        <v>1191</v>
      </c>
      <c r="H187" s="287">
        <v>9</v>
      </c>
    </row>
    <row r="188" spans="1:8" s="673" customFormat="1">
      <c r="A188" s="287">
        <v>182</v>
      </c>
      <c r="B188" s="275" t="s">
        <v>4437</v>
      </c>
      <c r="C188" s="705" t="s">
        <v>5100</v>
      </c>
      <c r="D188" s="418" t="str">
        <f t="shared" si="3"/>
        <v>UBND Phường Gia Định</v>
      </c>
      <c r="E188" s="287" t="s">
        <v>4438</v>
      </c>
      <c r="F188" s="287" t="s">
        <v>4439</v>
      </c>
      <c r="G188" s="415">
        <v>55</v>
      </c>
      <c r="H188" s="287">
        <v>1.6</v>
      </c>
    </row>
    <row r="189" spans="1:8" s="673" customFormat="1" ht="33">
      <c r="A189" s="287">
        <v>183</v>
      </c>
      <c r="B189" s="275" t="s">
        <v>267</v>
      </c>
      <c r="C189" s="705" t="s">
        <v>6716</v>
      </c>
      <c r="D189" s="418" t="str">
        <f t="shared" si="3"/>
        <v>UBND Phường Gò Vấp</v>
      </c>
      <c r="E189" s="287" t="s">
        <v>3561</v>
      </c>
      <c r="F189" s="287" t="s">
        <v>4529</v>
      </c>
      <c r="G189" s="415">
        <v>1220</v>
      </c>
      <c r="H189" s="287">
        <v>3</v>
      </c>
    </row>
    <row r="190" spans="1:8" s="673" customFormat="1">
      <c r="A190" s="287">
        <v>184</v>
      </c>
      <c r="B190" s="275" t="s">
        <v>268</v>
      </c>
      <c r="C190" s="705" t="s">
        <v>6716</v>
      </c>
      <c r="D190" s="418" t="str">
        <f t="shared" si="3"/>
        <v>UBND Phường Gò Vấp</v>
      </c>
      <c r="E190" s="287" t="s">
        <v>4530</v>
      </c>
      <c r="F190" s="287" t="s">
        <v>597</v>
      </c>
      <c r="G190" s="415">
        <v>370</v>
      </c>
      <c r="H190" s="287">
        <v>13.6</v>
      </c>
    </row>
    <row r="191" spans="1:8" s="673" customFormat="1">
      <c r="A191" s="287">
        <v>185</v>
      </c>
      <c r="B191" s="275" t="s">
        <v>348</v>
      </c>
      <c r="C191" s="705" t="s">
        <v>5080</v>
      </c>
      <c r="D191" s="418" t="str">
        <f t="shared" si="3"/>
        <v>UBND Phường Hiệp Bình</v>
      </c>
      <c r="E191" s="287" t="s">
        <v>349</v>
      </c>
      <c r="F191" s="287" t="s">
        <v>350</v>
      </c>
      <c r="G191" s="415">
        <v>1800</v>
      </c>
      <c r="H191" s="420" t="s">
        <v>3935</v>
      </c>
    </row>
    <row r="192" spans="1:8" s="673" customFormat="1" ht="33">
      <c r="A192" s="287">
        <v>186</v>
      </c>
      <c r="B192" s="275" t="s">
        <v>256</v>
      </c>
      <c r="C192" s="705" t="s">
        <v>5080</v>
      </c>
      <c r="D192" s="418" t="str">
        <f t="shared" si="3"/>
        <v>UBND Phường Hiệp Bình</v>
      </c>
      <c r="E192" s="287" t="s">
        <v>259</v>
      </c>
      <c r="F192" s="287" t="s">
        <v>258</v>
      </c>
      <c r="G192" s="415">
        <v>1350</v>
      </c>
      <c r="H192" s="287">
        <v>30</v>
      </c>
    </row>
    <row r="193" spans="1:8" s="673" customFormat="1">
      <c r="A193" s="287">
        <v>187</v>
      </c>
      <c r="B193" s="275" t="s">
        <v>3665</v>
      </c>
      <c r="C193" s="705" t="s">
        <v>5080</v>
      </c>
      <c r="D193" s="418" t="str">
        <f t="shared" si="3"/>
        <v>UBND Phường Hiệp Bình</v>
      </c>
      <c r="E193" s="287" t="s">
        <v>256</v>
      </c>
      <c r="F193" s="287" t="s">
        <v>407</v>
      </c>
      <c r="G193" s="415">
        <v>360</v>
      </c>
      <c r="H193" s="287" t="s">
        <v>154</v>
      </c>
    </row>
    <row r="194" spans="1:8" s="673" customFormat="1" ht="33">
      <c r="A194" s="287">
        <v>188</v>
      </c>
      <c r="B194" s="275" t="s">
        <v>661</v>
      </c>
      <c r="C194" s="705" t="s">
        <v>5080</v>
      </c>
      <c r="D194" s="418" t="str">
        <f t="shared" si="3"/>
        <v>UBND Phường Hiệp Bình</v>
      </c>
      <c r="E194" s="287" t="s">
        <v>3937</v>
      </c>
      <c r="F194" s="287" t="s">
        <v>3938</v>
      </c>
      <c r="G194" s="415">
        <v>2670</v>
      </c>
      <c r="H194" s="287" t="s">
        <v>153</v>
      </c>
    </row>
    <row r="195" spans="1:8" s="673" customFormat="1" ht="33">
      <c r="A195" s="287">
        <v>189</v>
      </c>
      <c r="B195" s="275" t="s">
        <v>552</v>
      </c>
      <c r="C195" s="705" t="s">
        <v>5080</v>
      </c>
      <c r="D195" s="418" t="str">
        <f t="shared" si="3"/>
        <v>UBND Phường Hiệp Bình</v>
      </c>
      <c r="E195" s="287" t="s">
        <v>3742</v>
      </c>
      <c r="F195" s="287" t="s">
        <v>433</v>
      </c>
      <c r="G195" s="415">
        <v>555</v>
      </c>
      <c r="H195" s="287" t="s">
        <v>180</v>
      </c>
    </row>
    <row r="196" spans="1:8" s="673" customFormat="1" ht="33">
      <c r="A196" s="287">
        <v>190</v>
      </c>
      <c r="B196" s="275" t="s">
        <v>3244</v>
      </c>
      <c r="C196" s="705" t="s">
        <v>5080</v>
      </c>
      <c r="D196" s="418" t="str">
        <f t="shared" si="3"/>
        <v>UBND Phường Hiệp Bình</v>
      </c>
      <c r="E196" s="287" t="s">
        <v>3743</v>
      </c>
      <c r="F196" s="287" t="s">
        <v>433</v>
      </c>
      <c r="G196" s="415">
        <v>230</v>
      </c>
      <c r="H196" s="287" t="s">
        <v>154</v>
      </c>
    </row>
    <row r="197" spans="1:8" s="673" customFormat="1">
      <c r="A197" s="287">
        <v>191</v>
      </c>
      <c r="B197" s="275" t="s">
        <v>558</v>
      </c>
      <c r="C197" s="705" t="s">
        <v>5080</v>
      </c>
      <c r="D197" s="418" t="str">
        <f t="shared" si="3"/>
        <v>UBND Phường Hiệp Bình</v>
      </c>
      <c r="E197" s="287" t="s">
        <v>331</v>
      </c>
      <c r="F197" s="287" t="s">
        <v>433</v>
      </c>
      <c r="G197" s="415">
        <v>478</v>
      </c>
      <c r="H197" s="287" t="s">
        <v>156</v>
      </c>
    </row>
    <row r="198" spans="1:8" s="673" customFormat="1">
      <c r="A198" s="287">
        <v>192</v>
      </c>
      <c r="B198" s="275" t="s">
        <v>3667</v>
      </c>
      <c r="C198" s="705" t="s">
        <v>5080</v>
      </c>
      <c r="D198" s="418" t="str">
        <f t="shared" si="3"/>
        <v>UBND Phường Hiệp Bình</v>
      </c>
      <c r="E198" s="287" t="s">
        <v>577</v>
      </c>
      <c r="F198" s="287" t="s">
        <v>3764</v>
      </c>
      <c r="G198" s="415">
        <v>900</v>
      </c>
      <c r="H198" s="287" t="s">
        <v>149</v>
      </c>
    </row>
    <row r="199" spans="1:8" s="673" customFormat="1">
      <c r="A199" s="287">
        <v>193</v>
      </c>
      <c r="B199" s="275" t="s">
        <v>572</v>
      </c>
      <c r="C199" s="705" t="s">
        <v>5080</v>
      </c>
      <c r="D199" s="418" t="str">
        <f t="shared" si="3"/>
        <v>UBND Phường Hiệp Bình</v>
      </c>
      <c r="E199" s="287" t="s">
        <v>562</v>
      </c>
      <c r="F199" s="287" t="s">
        <v>3684</v>
      </c>
      <c r="G199" s="415">
        <v>300</v>
      </c>
      <c r="H199" s="287" t="s">
        <v>153</v>
      </c>
    </row>
    <row r="200" spans="1:8" s="673" customFormat="1">
      <c r="A200" s="287">
        <v>194</v>
      </c>
      <c r="B200" s="275" t="s">
        <v>3668</v>
      </c>
      <c r="C200" s="705" t="s">
        <v>5080</v>
      </c>
      <c r="D200" s="418" t="str">
        <f t="shared" si="3"/>
        <v>UBND Phường Hiệp Bình</v>
      </c>
      <c r="E200" s="287" t="s">
        <v>3942</v>
      </c>
      <c r="F200" s="287" t="s">
        <v>3943</v>
      </c>
      <c r="G200" s="415">
        <v>1433</v>
      </c>
      <c r="H200" s="287" t="s">
        <v>183</v>
      </c>
    </row>
    <row r="201" spans="1:8" s="673" customFormat="1">
      <c r="A201" s="287">
        <v>195</v>
      </c>
      <c r="B201" s="275" t="s">
        <v>3673</v>
      </c>
      <c r="C201" s="705" t="s">
        <v>5080</v>
      </c>
      <c r="D201" s="418" t="str">
        <f t="shared" si="3"/>
        <v>UBND Phường Hiệp Bình</v>
      </c>
      <c r="E201" s="287" t="s">
        <v>3946</v>
      </c>
      <c r="F201" s="287" t="s">
        <v>563</v>
      </c>
      <c r="G201" s="415">
        <v>450</v>
      </c>
      <c r="H201" s="287" t="s">
        <v>187</v>
      </c>
    </row>
    <row r="202" spans="1:8" s="673" customFormat="1">
      <c r="A202" s="287">
        <v>196</v>
      </c>
      <c r="B202" s="275" t="s">
        <v>3674</v>
      </c>
      <c r="C202" s="705" t="s">
        <v>5080</v>
      </c>
      <c r="D202" s="418" t="str">
        <f t="shared" si="3"/>
        <v>UBND Phường Hiệp Bình</v>
      </c>
      <c r="E202" s="287" t="s">
        <v>3947</v>
      </c>
      <c r="F202" s="287" t="s">
        <v>3948</v>
      </c>
      <c r="G202" s="415">
        <v>400</v>
      </c>
      <c r="H202" s="287" t="s">
        <v>188</v>
      </c>
    </row>
    <row r="203" spans="1:8" s="673" customFormat="1">
      <c r="A203" s="287">
        <v>197</v>
      </c>
      <c r="B203" s="275" t="s">
        <v>3675</v>
      </c>
      <c r="C203" s="705" t="s">
        <v>5080</v>
      </c>
      <c r="D203" s="418" t="str">
        <f t="shared" si="3"/>
        <v>UBND Phường Hiệp Bình</v>
      </c>
      <c r="E203" s="287" t="s">
        <v>3949</v>
      </c>
      <c r="F203" s="287" t="s">
        <v>433</v>
      </c>
      <c r="G203" s="415">
        <v>500</v>
      </c>
      <c r="H203" s="287" t="s">
        <v>189</v>
      </c>
    </row>
    <row r="204" spans="1:8" s="673" customFormat="1">
      <c r="A204" s="287">
        <v>198</v>
      </c>
      <c r="B204" s="275" t="s">
        <v>3677</v>
      </c>
      <c r="C204" s="705" t="s">
        <v>5080</v>
      </c>
      <c r="D204" s="418" t="str">
        <f t="shared" si="3"/>
        <v>UBND Phường Hiệp Bình</v>
      </c>
      <c r="E204" s="287" t="s">
        <v>3950</v>
      </c>
      <c r="F204" s="287" t="s">
        <v>579</v>
      </c>
      <c r="G204" s="415">
        <v>550</v>
      </c>
      <c r="H204" s="287" t="s">
        <v>190</v>
      </c>
    </row>
    <row r="205" spans="1:8" s="673" customFormat="1">
      <c r="A205" s="287">
        <v>199</v>
      </c>
      <c r="B205" s="275" t="s">
        <v>3678</v>
      </c>
      <c r="C205" s="705" t="s">
        <v>5080</v>
      </c>
      <c r="D205" s="418" t="str">
        <f t="shared" si="3"/>
        <v>UBND Phường Hiệp Bình</v>
      </c>
      <c r="E205" s="287" t="s">
        <v>3951</v>
      </c>
      <c r="F205" s="287" t="s">
        <v>433</v>
      </c>
      <c r="G205" s="415">
        <v>500</v>
      </c>
      <c r="H205" s="287" t="s">
        <v>191</v>
      </c>
    </row>
    <row r="206" spans="1:8" s="673" customFormat="1">
      <c r="A206" s="287">
        <v>200</v>
      </c>
      <c r="B206" s="275" t="s">
        <v>3679</v>
      </c>
      <c r="C206" s="705" t="s">
        <v>5080</v>
      </c>
      <c r="D206" s="418" t="str">
        <f t="shared" si="3"/>
        <v>UBND Phường Hiệp Bình</v>
      </c>
      <c r="E206" s="287" t="s">
        <v>3952</v>
      </c>
      <c r="F206" s="287" t="s">
        <v>433</v>
      </c>
      <c r="G206" s="415">
        <v>180</v>
      </c>
      <c r="H206" s="287" t="s">
        <v>192</v>
      </c>
    </row>
    <row r="207" spans="1:8" s="673" customFormat="1">
      <c r="A207" s="287">
        <v>201</v>
      </c>
      <c r="B207" s="275" t="s">
        <v>3680</v>
      </c>
      <c r="C207" s="705" t="s">
        <v>5080</v>
      </c>
      <c r="D207" s="418" t="str">
        <f t="shared" si="3"/>
        <v>UBND Phường Hiệp Bình</v>
      </c>
      <c r="E207" s="287" t="s">
        <v>3953</v>
      </c>
      <c r="F207" s="287" t="s">
        <v>564</v>
      </c>
      <c r="G207" s="415">
        <v>800</v>
      </c>
      <c r="H207" s="287" t="s">
        <v>193</v>
      </c>
    </row>
    <row r="208" spans="1:8" s="673" customFormat="1">
      <c r="A208" s="287">
        <v>202</v>
      </c>
      <c r="B208" s="275" t="s">
        <v>3681</v>
      </c>
      <c r="C208" s="705" t="s">
        <v>5080</v>
      </c>
      <c r="D208" s="418" t="str">
        <f t="shared" si="3"/>
        <v>UBND Phường Hiệp Bình</v>
      </c>
      <c r="E208" s="287" t="s">
        <v>3475</v>
      </c>
      <c r="F208" s="287" t="s">
        <v>569</v>
      </c>
      <c r="G208" s="415">
        <v>700</v>
      </c>
      <c r="H208" s="287" t="s">
        <v>195</v>
      </c>
    </row>
    <row r="209" spans="1:8" s="673" customFormat="1">
      <c r="A209" s="287">
        <v>203</v>
      </c>
      <c r="B209" s="275" t="s">
        <v>3957</v>
      </c>
      <c r="C209" s="705" t="s">
        <v>5080</v>
      </c>
      <c r="D209" s="418" t="str">
        <f t="shared" si="3"/>
        <v>UBND Phường Hiệp Bình</v>
      </c>
      <c r="E209" s="287" t="s">
        <v>387</v>
      </c>
      <c r="F209" s="287" t="s">
        <v>570</v>
      </c>
      <c r="G209" s="415">
        <v>300</v>
      </c>
      <c r="H209" s="287" t="s">
        <v>571</v>
      </c>
    </row>
    <row r="210" spans="1:8" s="673" customFormat="1">
      <c r="A210" s="287">
        <v>204</v>
      </c>
      <c r="B210" s="275" t="s">
        <v>3684</v>
      </c>
      <c r="C210" s="705" t="s">
        <v>5080</v>
      </c>
      <c r="D210" s="418" t="str">
        <f t="shared" si="3"/>
        <v>UBND Phường Hiệp Bình</v>
      </c>
      <c r="E210" s="287" t="s">
        <v>387</v>
      </c>
      <c r="F210" s="287" t="s">
        <v>572</v>
      </c>
      <c r="G210" s="415">
        <v>800</v>
      </c>
      <c r="H210" s="287" t="s">
        <v>571</v>
      </c>
    </row>
    <row r="211" spans="1:8" s="673" customFormat="1">
      <c r="A211" s="287">
        <v>205</v>
      </c>
      <c r="B211" s="275" t="s">
        <v>2643</v>
      </c>
      <c r="C211" s="705" t="s">
        <v>5080</v>
      </c>
      <c r="D211" s="418" t="str">
        <f t="shared" si="3"/>
        <v>UBND Phường Hiệp Bình</v>
      </c>
      <c r="E211" s="287" t="s">
        <v>387</v>
      </c>
      <c r="F211" s="287" t="s">
        <v>570</v>
      </c>
      <c r="G211" s="415">
        <v>300</v>
      </c>
      <c r="H211" s="287" t="s">
        <v>194</v>
      </c>
    </row>
    <row r="212" spans="1:8" s="673" customFormat="1">
      <c r="A212" s="287">
        <v>206</v>
      </c>
      <c r="B212" s="275" t="s">
        <v>3685</v>
      </c>
      <c r="C212" s="705" t="s">
        <v>5080</v>
      </c>
      <c r="D212" s="418" t="str">
        <f t="shared" si="3"/>
        <v>UBND Phường Hiệp Bình</v>
      </c>
      <c r="E212" s="287" t="s">
        <v>387</v>
      </c>
      <c r="F212" s="287" t="s">
        <v>661</v>
      </c>
      <c r="G212" s="415">
        <v>600</v>
      </c>
      <c r="H212" s="287" t="s">
        <v>518</v>
      </c>
    </row>
    <row r="213" spans="1:8" s="673" customFormat="1">
      <c r="A213" s="287">
        <v>207</v>
      </c>
      <c r="B213" s="275" t="s">
        <v>3686</v>
      </c>
      <c r="C213" s="705" t="s">
        <v>5080</v>
      </c>
      <c r="D213" s="418" t="str">
        <f t="shared" si="3"/>
        <v>UBND Phường Hiệp Bình</v>
      </c>
      <c r="E213" s="287" t="s">
        <v>941</v>
      </c>
      <c r="F213" s="287" t="s">
        <v>661</v>
      </c>
      <c r="G213" s="415">
        <v>400</v>
      </c>
      <c r="H213" s="287" t="s">
        <v>196</v>
      </c>
    </row>
    <row r="214" spans="1:8" s="673" customFormat="1">
      <c r="A214" s="287">
        <v>208</v>
      </c>
      <c r="B214" s="275" t="s">
        <v>3687</v>
      </c>
      <c r="C214" s="705" t="s">
        <v>5080</v>
      </c>
      <c r="D214" s="418" t="str">
        <f t="shared" si="3"/>
        <v>UBND Phường Hiệp Bình</v>
      </c>
      <c r="E214" s="287" t="s">
        <v>3958</v>
      </c>
      <c r="F214" s="287" t="s">
        <v>3959</v>
      </c>
      <c r="G214" s="415">
        <v>135</v>
      </c>
      <c r="H214" s="287" t="s">
        <v>197</v>
      </c>
    </row>
    <row r="215" spans="1:8" s="673" customFormat="1">
      <c r="A215" s="287">
        <v>209</v>
      </c>
      <c r="B215" s="275" t="s">
        <v>3688</v>
      </c>
      <c r="C215" s="705" t="s">
        <v>5080</v>
      </c>
      <c r="D215" s="418" t="str">
        <f t="shared" si="3"/>
        <v>UBND Phường Hiệp Bình</v>
      </c>
      <c r="E215" s="287" t="s">
        <v>3960</v>
      </c>
      <c r="F215" s="287" t="s">
        <v>3961</v>
      </c>
      <c r="G215" s="415">
        <v>350</v>
      </c>
      <c r="H215" s="287" t="s">
        <v>198</v>
      </c>
    </row>
    <row r="216" spans="1:8" s="673" customFormat="1">
      <c r="A216" s="287">
        <v>210</v>
      </c>
      <c r="B216" s="275" t="s">
        <v>3689</v>
      </c>
      <c r="C216" s="705" t="s">
        <v>5080</v>
      </c>
      <c r="D216" s="418" t="str">
        <f t="shared" si="3"/>
        <v>UBND Phường Hiệp Bình</v>
      </c>
      <c r="E216" s="287" t="s">
        <v>3962</v>
      </c>
      <c r="F216" s="287" t="s">
        <v>433</v>
      </c>
      <c r="G216" s="415">
        <v>87</v>
      </c>
      <c r="H216" s="287" t="s">
        <v>162</v>
      </c>
    </row>
    <row r="217" spans="1:8" s="673" customFormat="1">
      <c r="A217" s="287">
        <v>211</v>
      </c>
      <c r="B217" s="275" t="s">
        <v>3690</v>
      </c>
      <c r="C217" s="705" t="s">
        <v>5080</v>
      </c>
      <c r="D217" s="418" t="str">
        <f t="shared" si="3"/>
        <v>UBND Phường Hiệp Bình</v>
      </c>
      <c r="E217" s="287" t="s">
        <v>3963</v>
      </c>
      <c r="F217" s="287" t="s">
        <v>433</v>
      </c>
      <c r="G217" s="415">
        <v>103</v>
      </c>
      <c r="H217" s="287" t="s">
        <v>154</v>
      </c>
    </row>
    <row r="218" spans="1:8" s="673" customFormat="1">
      <c r="A218" s="287">
        <v>212</v>
      </c>
      <c r="B218" s="275" t="s">
        <v>3691</v>
      </c>
      <c r="C218" s="705" t="s">
        <v>5080</v>
      </c>
      <c r="D218" s="418" t="str">
        <f t="shared" si="3"/>
        <v>UBND Phường Hiệp Bình</v>
      </c>
      <c r="E218" s="287" t="s">
        <v>3964</v>
      </c>
      <c r="F218" s="287" t="s">
        <v>433</v>
      </c>
      <c r="G218" s="415">
        <v>61</v>
      </c>
      <c r="H218" s="287" t="s">
        <v>152</v>
      </c>
    </row>
    <row r="219" spans="1:8" s="673" customFormat="1" ht="33">
      <c r="A219" s="287">
        <v>213</v>
      </c>
      <c r="B219" s="275" t="s">
        <v>3966</v>
      </c>
      <c r="C219" s="705" t="s">
        <v>5080</v>
      </c>
      <c r="D219" s="418" t="str">
        <f t="shared" si="3"/>
        <v>UBND Phường Hiệp Bình</v>
      </c>
      <c r="E219" s="287" t="s">
        <v>3967</v>
      </c>
      <c r="F219" s="287" t="s">
        <v>433</v>
      </c>
      <c r="G219" s="415">
        <v>350</v>
      </c>
      <c r="H219" s="287" t="s">
        <v>150</v>
      </c>
    </row>
    <row r="220" spans="1:8" s="673" customFormat="1" ht="33">
      <c r="A220" s="287">
        <v>214</v>
      </c>
      <c r="B220" s="275" t="s">
        <v>3968</v>
      </c>
      <c r="C220" s="705" t="s">
        <v>5080</v>
      </c>
      <c r="D220" s="418" t="str">
        <f t="shared" si="3"/>
        <v>UBND Phường Hiệp Bình</v>
      </c>
      <c r="E220" s="287" t="s">
        <v>3969</v>
      </c>
      <c r="F220" s="287" t="s">
        <v>433</v>
      </c>
      <c r="G220" s="415">
        <v>110</v>
      </c>
      <c r="H220" s="287" t="s">
        <v>150</v>
      </c>
    </row>
    <row r="221" spans="1:8" s="673" customFormat="1">
      <c r="A221" s="287">
        <v>215</v>
      </c>
      <c r="B221" s="275" t="s">
        <v>3695</v>
      </c>
      <c r="C221" s="705" t="s">
        <v>5080</v>
      </c>
      <c r="D221" s="418" t="str">
        <f t="shared" si="3"/>
        <v>UBND Phường Hiệp Bình</v>
      </c>
      <c r="E221" s="287" t="s">
        <v>3970</v>
      </c>
      <c r="F221" s="287" t="s">
        <v>564</v>
      </c>
      <c r="G221" s="415">
        <v>215</v>
      </c>
      <c r="H221" s="287" t="s">
        <v>200</v>
      </c>
    </row>
    <row r="222" spans="1:8" s="673" customFormat="1" ht="33">
      <c r="A222" s="287">
        <v>216</v>
      </c>
      <c r="B222" s="275" t="s">
        <v>3948</v>
      </c>
      <c r="C222" s="705" t="s">
        <v>5080</v>
      </c>
      <c r="D222" s="418" t="str">
        <f t="shared" si="3"/>
        <v>UBND Phường Hiệp Bình</v>
      </c>
      <c r="E222" s="287" t="s">
        <v>3972</v>
      </c>
      <c r="F222" s="287" t="s">
        <v>433</v>
      </c>
      <c r="G222" s="415">
        <v>1500</v>
      </c>
      <c r="H222" s="287">
        <v>12</v>
      </c>
    </row>
    <row r="223" spans="1:8" s="673" customFormat="1">
      <c r="A223" s="287">
        <v>217</v>
      </c>
      <c r="B223" s="275" t="s">
        <v>579</v>
      </c>
      <c r="C223" s="705" t="s">
        <v>5080</v>
      </c>
      <c r="D223" s="418" t="str">
        <f t="shared" si="3"/>
        <v>UBND Phường Hiệp Bình</v>
      </c>
      <c r="E223" s="287" t="s">
        <v>3571</v>
      </c>
      <c r="F223" s="287" t="s">
        <v>433</v>
      </c>
      <c r="G223" s="415">
        <v>1000</v>
      </c>
      <c r="H223" s="287" t="s">
        <v>154</v>
      </c>
    </row>
    <row r="224" spans="1:8" s="673" customFormat="1" ht="33">
      <c r="A224" s="287">
        <v>218</v>
      </c>
      <c r="B224" s="275" t="s">
        <v>925</v>
      </c>
      <c r="C224" s="705" t="s">
        <v>5080</v>
      </c>
      <c r="D224" s="418" t="str">
        <f t="shared" si="3"/>
        <v>UBND Phường Hiệp Bình</v>
      </c>
      <c r="E224" s="287" t="s">
        <v>259</v>
      </c>
      <c r="F224" s="287" t="s">
        <v>926</v>
      </c>
      <c r="G224" s="415">
        <v>400</v>
      </c>
      <c r="H224" s="287"/>
    </row>
    <row r="225" spans="1:8" s="673" customFormat="1">
      <c r="A225" s="287">
        <v>219</v>
      </c>
      <c r="B225" s="275" t="s">
        <v>3973</v>
      </c>
      <c r="C225" s="705" t="s">
        <v>5080</v>
      </c>
      <c r="D225" s="418" t="str">
        <f t="shared" si="3"/>
        <v>UBND Phường Hiệp Bình</v>
      </c>
      <c r="E225" s="287" t="s">
        <v>569</v>
      </c>
      <c r="F225" s="287" t="s">
        <v>928</v>
      </c>
      <c r="G225" s="415">
        <v>1040</v>
      </c>
      <c r="H225" s="287"/>
    </row>
    <row r="226" spans="1:8" s="673" customFormat="1" ht="33">
      <c r="A226" s="287">
        <v>220</v>
      </c>
      <c r="B226" s="275" t="s">
        <v>929</v>
      </c>
      <c r="C226" s="705" t="s">
        <v>5080</v>
      </c>
      <c r="D226" s="418" t="str">
        <f t="shared" si="3"/>
        <v>UBND Phường Hiệp Bình</v>
      </c>
      <c r="E226" s="287" t="s">
        <v>930</v>
      </c>
      <c r="F226" s="287" t="s">
        <v>931</v>
      </c>
      <c r="G226" s="415">
        <v>170</v>
      </c>
      <c r="H226" s="287"/>
    </row>
    <row r="227" spans="1:8" s="673" customFormat="1">
      <c r="A227" s="287">
        <v>221</v>
      </c>
      <c r="B227" s="275" t="s">
        <v>932</v>
      </c>
      <c r="C227" s="705" t="s">
        <v>5080</v>
      </c>
      <c r="D227" s="418" t="str">
        <f t="shared" si="3"/>
        <v>UBND Phường Hiệp Bình</v>
      </c>
      <c r="E227" s="287" t="s">
        <v>933</v>
      </c>
      <c r="F227" s="287" t="s">
        <v>3594</v>
      </c>
      <c r="G227" s="415">
        <v>129</v>
      </c>
      <c r="H227" s="287"/>
    </row>
    <row r="228" spans="1:8" s="673" customFormat="1">
      <c r="A228" s="287">
        <v>222</v>
      </c>
      <c r="B228" s="275" t="s">
        <v>940</v>
      </c>
      <c r="C228" s="705" t="s">
        <v>5080</v>
      </c>
      <c r="D228" s="418" t="str">
        <f t="shared" si="3"/>
        <v>UBND Phường Hiệp Bình</v>
      </c>
      <c r="E228" s="287" t="s">
        <v>941</v>
      </c>
      <c r="F228" s="287" t="s">
        <v>407</v>
      </c>
      <c r="G228" s="415">
        <v>390</v>
      </c>
      <c r="H228" s="287"/>
    </row>
    <row r="229" spans="1:8" s="673" customFormat="1">
      <c r="A229" s="287">
        <v>223</v>
      </c>
      <c r="B229" s="275" t="s">
        <v>2957</v>
      </c>
      <c r="C229" s="705" t="s">
        <v>5080</v>
      </c>
      <c r="D229" s="418" t="str">
        <f t="shared" si="3"/>
        <v>UBND Phường Hiệp Bình</v>
      </c>
      <c r="E229" s="287" t="s">
        <v>943</v>
      </c>
      <c r="F229" s="287" t="s">
        <v>944</v>
      </c>
      <c r="G229" s="415">
        <v>300</v>
      </c>
      <c r="H229" s="287"/>
    </row>
    <row r="230" spans="1:8" s="673" customFormat="1" ht="49.5">
      <c r="A230" s="287">
        <v>224</v>
      </c>
      <c r="B230" s="275" t="s">
        <v>949</v>
      </c>
      <c r="C230" s="705" t="s">
        <v>5080</v>
      </c>
      <c r="D230" s="418" t="str">
        <f t="shared" si="3"/>
        <v>UBND Phường Hiệp Bình</v>
      </c>
      <c r="E230" s="287" t="s">
        <v>256</v>
      </c>
      <c r="F230" s="287" t="s">
        <v>950</v>
      </c>
      <c r="G230" s="415">
        <v>1120</v>
      </c>
      <c r="H230" s="287"/>
    </row>
    <row r="231" spans="1:8" s="673" customFormat="1">
      <c r="A231" s="287">
        <v>225</v>
      </c>
      <c r="B231" s="275" t="s">
        <v>550</v>
      </c>
      <c r="C231" s="705" t="s">
        <v>5082</v>
      </c>
      <c r="D231" s="418" t="str">
        <f t="shared" si="3"/>
        <v>UBND Phường Linh Xuân</v>
      </c>
      <c r="E231" s="287" t="s">
        <v>3739</v>
      </c>
      <c r="F231" s="287" t="s">
        <v>3740</v>
      </c>
      <c r="G231" s="415">
        <v>235</v>
      </c>
      <c r="H231" s="287" t="s">
        <v>179</v>
      </c>
    </row>
    <row r="232" spans="1:8" s="673" customFormat="1">
      <c r="A232" s="287">
        <v>226</v>
      </c>
      <c r="B232" s="275" t="s">
        <v>3669</v>
      </c>
      <c r="C232" s="705" t="s">
        <v>5082</v>
      </c>
      <c r="D232" s="418" t="str">
        <f t="shared" si="3"/>
        <v>UBND Phường Linh Xuân</v>
      </c>
      <c r="E232" s="287" t="s">
        <v>3750</v>
      </c>
      <c r="F232" s="287" t="s">
        <v>3751</v>
      </c>
      <c r="G232" s="415">
        <v>613</v>
      </c>
      <c r="H232" s="287" t="s">
        <v>183</v>
      </c>
    </row>
    <row r="233" spans="1:8" s="673" customFormat="1">
      <c r="A233" s="287">
        <v>227</v>
      </c>
      <c r="B233" s="275" t="s">
        <v>3670</v>
      </c>
      <c r="C233" s="705" t="s">
        <v>5082</v>
      </c>
      <c r="D233" s="418" t="str">
        <f t="shared" si="3"/>
        <v>UBND Phường Linh Xuân</v>
      </c>
      <c r="E233" s="287" t="s">
        <v>3751</v>
      </c>
      <c r="F233" s="287" t="s">
        <v>1152</v>
      </c>
      <c r="G233" s="415">
        <v>1393</v>
      </c>
      <c r="H233" s="419" t="s">
        <v>204</v>
      </c>
    </row>
    <row r="234" spans="1:8" s="673" customFormat="1" ht="33">
      <c r="A234" s="287">
        <v>228</v>
      </c>
      <c r="B234" s="275" t="s">
        <v>3944</v>
      </c>
      <c r="C234" s="705" t="s">
        <v>5082</v>
      </c>
      <c r="D234" s="418" t="str">
        <f t="shared" si="3"/>
        <v>UBND Phường Linh Xuân</v>
      </c>
      <c r="E234" s="287" t="s">
        <v>3752</v>
      </c>
      <c r="F234" s="287" t="s">
        <v>3945</v>
      </c>
      <c r="G234" s="415">
        <v>480</v>
      </c>
      <c r="H234" s="287" t="s">
        <v>164</v>
      </c>
    </row>
    <row r="235" spans="1:8" s="673" customFormat="1">
      <c r="A235" s="287">
        <v>229</v>
      </c>
      <c r="B235" s="275" t="s">
        <v>3453</v>
      </c>
      <c r="C235" s="705" t="s">
        <v>5082</v>
      </c>
      <c r="D235" s="418" t="str">
        <f t="shared" si="3"/>
        <v>UBND Phường Linh Xuân</v>
      </c>
      <c r="E235" s="287" t="s">
        <v>3739</v>
      </c>
      <c r="F235" s="287" t="s">
        <v>255</v>
      </c>
      <c r="G235" s="415">
        <v>197</v>
      </c>
      <c r="H235" s="287" t="s">
        <v>186</v>
      </c>
    </row>
    <row r="236" spans="1:8" s="673" customFormat="1" ht="33">
      <c r="A236" s="287">
        <v>230</v>
      </c>
      <c r="B236" s="275" t="s">
        <v>8631</v>
      </c>
      <c r="C236" s="705" t="s">
        <v>5078</v>
      </c>
      <c r="D236" s="418" t="str">
        <f t="shared" si="3"/>
        <v>UBND Phường Long Bình</v>
      </c>
      <c r="E236" s="268" t="s">
        <v>8632</v>
      </c>
      <c r="F236" s="268" t="s">
        <v>543</v>
      </c>
      <c r="G236" s="487">
        <v>210</v>
      </c>
      <c r="H236" s="420" t="s">
        <v>8696</v>
      </c>
    </row>
    <row r="237" spans="1:8" s="673" customFormat="1">
      <c r="A237" s="287">
        <v>231</v>
      </c>
      <c r="B237" s="275" t="s">
        <v>8633</v>
      </c>
      <c r="C237" s="705" t="s">
        <v>5078</v>
      </c>
      <c r="D237" s="418" t="str">
        <f t="shared" si="3"/>
        <v>UBND Phường Long Bình</v>
      </c>
      <c r="E237" s="268" t="s">
        <v>8634</v>
      </c>
      <c r="F237" s="268" t="s">
        <v>543</v>
      </c>
      <c r="G237" s="487">
        <v>80</v>
      </c>
      <c r="H237" s="420" t="s">
        <v>8698</v>
      </c>
    </row>
    <row r="238" spans="1:8" s="673" customFormat="1">
      <c r="A238" s="287">
        <v>232</v>
      </c>
      <c r="B238" s="275" t="s">
        <v>8635</v>
      </c>
      <c r="C238" s="705" t="s">
        <v>5078</v>
      </c>
      <c r="D238" s="418" t="str">
        <f t="shared" si="3"/>
        <v>UBND Phường Long Bình</v>
      </c>
      <c r="E238" s="268" t="s">
        <v>8636</v>
      </c>
      <c r="F238" s="268" t="s">
        <v>543</v>
      </c>
      <c r="G238" s="487">
        <v>65</v>
      </c>
      <c r="H238" s="420" t="s">
        <v>8698</v>
      </c>
    </row>
    <row r="239" spans="1:8" s="673" customFormat="1">
      <c r="A239" s="287">
        <v>233</v>
      </c>
      <c r="B239" s="275" t="s">
        <v>8637</v>
      </c>
      <c r="C239" s="705" t="s">
        <v>5078</v>
      </c>
      <c r="D239" s="418" t="str">
        <f t="shared" si="3"/>
        <v>UBND Phường Long Bình</v>
      </c>
      <c r="E239" s="268" t="s">
        <v>8638</v>
      </c>
      <c r="F239" s="268" t="s">
        <v>543</v>
      </c>
      <c r="G239" s="487">
        <v>144</v>
      </c>
      <c r="H239" s="420" t="s">
        <v>8699</v>
      </c>
    </row>
    <row r="240" spans="1:8" s="673" customFormat="1">
      <c r="A240" s="287">
        <v>234</v>
      </c>
      <c r="B240" s="275" t="s">
        <v>8639</v>
      </c>
      <c r="C240" s="705" t="s">
        <v>5078</v>
      </c>
      <c r="D240" s="418" t="str">
        <f t="shared" si="3"/>
        <v>UBND Phường Long Bình</v>
      </c>
      <c r="E240" s="268" t="s">
        <v>8632</v>
      </c>
      <c r="F240" s="268" t="s">
        <v>8640</v>
      </c>
      <c r="G240" s="487">
        <v>210</v>
      </c>
      <c r="H240" s="420" t="s">
        <v>8700</v>
      </c>
    </row>
    <row r="241" spans="1:8" s="673" customFormat="1">
      <c r="A241" s="287">
        <v>235</v>
      </c>
      <c r="B241" s="275" t="s">
        <v>8641</v>
      </c>
      <c r="C241" s="705" t="s">
        <v>5078</v>
      </c>
      <c r="D241" s="418" t="str">
        <f t="shared" si="3"/>
        <v>UBND Phường Long Bình</v>
      </c>
      <c r="E241" s="268" t="s">
        <v>8642</v>
      </c>
      <c r="F241" s="268" t="s">
        <v>8640</v>
      </c>
      <c r="G241" s="487">
        <v>102</v>
      </c>
      <c r="H241" s="420" t="s">
        <v>8701</v>
      </c>
    </row>
    <row r="242" spans="1:8" s="673" customFormat="1">
      <c r="A242" s="287">
        <v>236</v>
      </c>
      <c r="B242" s="275" t="s">
        <v>8643</v>
      </c>
      <c r="C242" s="705" t="s">
        <v>5078</v>
      </c>
      <c r="D242" s="418" t="str">
        <f t="shared" si="3"/>
        <v>UBND Phường Long Bình</v>
      </c>
      <c r="E242" s="268" t="s">
        <v>8644</v>
      </c>
      <c r="F242" s="268" t="s">
        <v>8640</v>
      </c>
      <c r="G242" s="487">
        <v>245</v>
      </c>
      <c r="H242" s="420" t="s">
        <v>215</v>
      </c>
    </row>
    <row r="243" spans="1:8" s="673" customFormat="1" ht="33">
      <c r="A243" s="287">
        <v>237</v>
      </c>
      <c r="B243" s="275" t="s">
        <v>8645</v>
      </c>
      <c r="C243" s="705" t="s">
        <v>5078</v>
      </c>
      <c r="D243" s="418" t="str">
        <f t="shared" si="3"/>
        <v>UBND Phường Long Bình</v>
      </c>
      <c r="E243" s="268" t="s">
        <v>8646</v>
      </c>
      <c r="F243" s="268" t="s">
        <v>8640</v>
      </c>
      <c r="G243" s="487">
        <v>57</v>
      </c>
      <c r="H243" s="420" t="s">
        <v>8702</v>
      </c>
    </row>
    <row r="244" spans="1:8" s="673" customFormat="1">
      <c r="A244" s="287">
        <v>238</v>
      </c>
      <c r="B244" s="275" t="s">
        <v>8640</v>
      </c>
      <c r="C244" s="705" t="s">
        <v>5078</v>
      </c>
      <c r="D244" s="418" t="str">
        <f t="shared" si="3"/>
        <v>UBND Phường Long Bình</v>
      </c>
      <c r="E244" s="268" t="s">
        <v>8647</v>
      </c>
      <c r="F244" s="268" t="s">
        <v>543</v>
      </c>
      <c r="G244" s="487">
        <v>622</v>
      </c>
      <c r="H244" s="420" t="s">
        <v>8703</v>
      </c>
    </row>
    <row r="245" spans="1:8" s="673" customFormat="1">
      <c r="A245" s="287">
        <v>239</v>
      </c>
      <c r="B245" s="275" t="s">
        <v>8648</v>
      </c>
      <c r="C245" s="706" t="s">
        <v>5078</v>
      </c>
      <c r="D245" s="418" t="str">
        <f>"UBND "&amp;C245</f>
        <v>UBND Phường Long Bình</v>
      </c>
      <c r="E245" s="268" t="s">
        <v>8649</v>
      </c>
      <c r="F245" s="268" t="s">
        <v>543</v>
      </c>
      <c r="G245" s="487">
        <v>236</v>
      </c>
      <c r="H245" s="420" t="s">
        <v>975</v>
      </c>
    </row>
    <row r="246" spans="1:8" s="673" customFormat="1">
      <c r="A246" s="287">
        <v>240</v>
      </c>
      <c r="B246" s="275" t="s">
        <v>8650</v>
      </c>
      <c r="C246" s="706" t="s">
        <v>5078</v>
      </c>
      <c r="D246" s="418" t="str">
        <f>"UBND "&amp;C246</f>
        <v>UBND Phường Long Bình</v>
      </c>
      <c r="E246" s="268" t="s">
        <v>8651</v>
      </c>
      <c r="F246" s="268" t="s">
        <v>543</v>
      </c>
      <c r="G246" s="487">
        <v>320</v>
      </c>
      <c r="H246" s="420" t="s">
        <v>222</v>
      </c>
    </row>
    <row r="247" spans="1:8" s="673" customFormat="1">
      <c r="A247" s="287">
        <v>241</v>
      </c>
      <c r="B247" s="275" t="s">
        <v>8652</v>
      </c>
      <c r="C247" s="706" t="s">
        <v>5078</v>
      </c>
      <c r="D247" s="418" t="str">
        <f t="shared" ref="D247:D269" si="4">"UBND "&amp;C247</f>
        <v>UBND Phường Long Bình</v>
      </c>
      <c r="E247" s="268" t="s">
        <v>8653</v>
      </c>
      <c r="F247" s="268" t="s">
        <v>543</v>
      </c>
      <c r="G247" s="487">
        <v>491</v>
      </c>
      <c r="H247" s="420" t="s">
        <v>8503</v>
      </c>
    </row>
    <row r="248" spans="1:8" s="673" customFormat="1" ht="33">
      <c r="A248" s="287">
        <v>242</v>
      </c>
      <c r="B248" s="275" t="s">
        <v>8654</v>
      </c>
      <c r="C248" s="706" t="s">
        <v>5078</v>
      </c>
      <c r="D248" s="418" t="str">
        <f t="shared" si="4"/>
        <v>UBND Phường Long Bình</v>
      </c>
      <c r="E248" s="268" t="s">
        <v>8655</v>
      </c>
      <c r="F248" s="268" t="s">
        <v>8656</v>
      </c>
      <c r="G248" s="487">
        <v>1000</v>
      </c>
      <c r="H248" s="420" t="s">
        <v>8704</v>
      </c>
    </row>
    <row r="249" spans="1:8" s="673" customFormat="1">
      <c r="A249" s="287">
        <v>243</v>
      </c>
      <c r="B249" s="275" t="s">
        <v>8657</v>
      </c>
      <c r="C249" s="706" t="s">
        <v>5078</v>
      </c>
      <c r="D249" s="418" t="str">
        <f t="shared" si="4"/>
        <v>UBND Phường Long Bình</v>
      </c>
      <c r="E249" s="268" t="s">
        <v>8658</v>
      </c>
      <c r="F249" s="268" t="s">
        <v>8656</v>
      </c>
      <c r="G249" s="487">
        <v>260</v>
      </c>
      <c r="H249" s="420" t="s">
        <v>8704</v>
      </c>
    </row>
    <row r="250" spans="1:8" s="673" customFormat="1">
      <c r="A250" s="287">
        <v>244</v>
      </c>
      <c r="B250" s="275" t="s">
        <v>8656</v>
      </c>
      <c r="C250" s="706" t="s">
        <v>5078</v>
      </c>
      <c r="D250" s="418" t="str">
        <f t="shared" si="4"/>
        <v>UBND Phường Long Bình</v>
      </c>
      <c r="E250" s="268" t="s">
        <v>8659</v>
      </c>
      <c r="F250" s="268" t="s">
        <v>8660</v>
      </c>
      <c r="G250" s="487">
        <v>350</v>
      </c>
      <c r="H250" s="420" t="s">
        <v>975</v>
      </c>
    </row>
    <row r="251" spans="1:8" s="673" customFormat="1" ht="33">
      <c r="A251" s="287">
        <v>245</v>
      </c>
      <c r="B251" s="275" t="s">
        <v>8661</v>
      </c>
      <c r="C251" s="706" t="s">
        <v>5078</v>
      </c>
      <c r="D251" s="418" t="str">
        <f t="shared" si="4"/>
        <v>UBND Phường Long Bình</v>
      </c>
      <c r="E251" s="268" t="s">
        <v>8655</v>
      </c>
      <c r="F251" s="268" t="s">
        <v>539</v>
      </c>
      <c r="G251" s="487">
        <v>950</v>
      </c>
      <c r="H251" s="420" t="s">
        <v>215</v>
      </c>
    </row>
    <row r="252" spans="1:8" s="673" customFormat="1">
      <c r="A252" s="287">
        <v>246</v>
      </c>
      <c r="B252" s="275" t="s">
        <v>8662</v>
      </c>
      <c r="C252" s="706" t="s">
        <v>5078</v>
      </c>
      <c r="D252" s="418" t="str">
        <f t="shared" si="4"/>
        <v>UBND Phường Long Bình</v>
      </c>
      <c r="E252" s="268" t="s">
        <v>8663</v>
      </c>
      <c r="F252" s="268" t="s">
        <v>8660</v>
      </c>
      <c r="G252" s="487">
        <v>736</v>
      </c>
      <c r="H252" s="420" t="s">
        <v>222</v>
      </c>
    </row>
    <row r="253" spans="1:8" s="673" customFormat="1">
      <c r="A253" s="287">
        <v>247</v>
      </c>
      <c r="B253" s="275" t="s">
        <v>8664</v>
      </c>
      <c r="C253" s="706" t="s">
        <v>5078</v>
      </c>
      <c r="D253" s="418" t="str">
        <f t="shared" si="4"/>
        <v>UBND Phường Long Bình</v>
      </c>
      <c r="E253" s="268" t="s">
        <v>8660</v>
      </c>
      <c r="F253" s="268" t="s">
        <v>531</v>
      </c>
      <c r="G253" s="487">
        <v>1064</v>
      </c>
      <c r="H253" s="420" t="s">
        <v>8665</v>
      </c>
    </row>
    <row r="254" spans="1:8" s="673" customFormat="1">
      <c r="A254" s="287">
        <v>248</v>
      </c>
      <c r="B254" s="275" t="s">
        <v>8666</v>
      </c>
      <c r="C254" s="706" t="s">
        <v>5078</v>
      </c>
      <c r="D254" s="418" t="str">
        <f t="shared" si="4"/>
        <v>UBND Phường Long Bình</v>
      </c>
      <c r="E254" s="268" t="s">
        <v>8667</v>
      </c>
      <c r="F254" s="268" t="s">
        <v>8668</v>
      </c>
      <c r="G254" s="487">
        <v>660</v>
      </c>
      <c r="H254" s="420" t="s">
        <v>8705</v>
      </c>
    </row>
    <row r="255" spans="1:8" s="673" customFormat="1">
      <c r="A255" s="287">
        <v>249</v>
      </c>
      <c r="B255" s="275" t="s">
        <v>8668</v>
      </c>
      <c r="C255" s="706" t="s">
        <v>5078</v>
      </c>
      <c r="D255" s="418" t="str">
        <f t="shared" si="4"/>
        <v>UBND Phường Long Bình</v>
      </c>
      <c r="E255" s="268" t="s">
        <v>8667</v>
      </c>
      <c r="F255" s="268" t="s">
        <v>482</v>
      </c>
      <c r="G255" s="487">
        <v>500</v>
      </c>
      <c r="H255" s="420" t="s">
        <v>8705</v>
      </c>
    </row>
    <row r="256" spans="1:8" s="673" customFormat="1">
      <c r="A256" s="287">
        <v>250</v>
      </c>
      <c r="B256" s="275" t="s">
        <v>8669</v>
      </c>
      <c r="C256" s="706" t="s">
        <v>5078</v>
      </c>
      <c r="D256" s="418" t="str">
        <f t="shared" si="4"/>
        <v>UBND Phường Long Bình</v>
      </c>
      <c r="E256" s="268" t="s">
        <v>8670</v>
      </c>
      <c r="F256" s="268" t="s">
        <v>482</v>
      </c>
      <c r="G256" s="487">
        <v>120</v>
      </c>
      <c r="H256" s="420" t="s">
        <v>1013</v>
      </c>
    </row>
    <row r="257" spans="1:8" s="673" customFormat="1">
      <c r="A257" s="287">
        <v>251</v>
      </c>
      <c r="B257" s="275" t="s">
        <v>8671</v>
      </c>
      <c r="C257" s="706" t="s">
        <v>5078</v>
      </c>
      <c r="D257" s="418" t="str">
        <f t="shared" si="4"/>
        <v>UBND Phường Long Bình</v>
      </c>
      <c r="E257" s="268" t="s">
        <v>8672</v>
      </c>
      <c r="F257" s="268" t="s">
        <v>8673</v>
      </c>
      <c r="G257" s="487">
        <v>290</v>
      </c>
      <c r="H257" s="420" t="s">
        <v>1007</v>
      </c>
    </row>
    <row r="258" spans="1:8" s="673" customFormat="1" ht="33">
      <c r="A258" s="287">
        <v>252</v>
      </c>
      <c r="B258" s="275" t="s">
        <v>8674</v>
      </c>
      <c r="C258" s="706" t="s">
        <v>5078</v>
      </c>
      <c r="D258" s="418" t="str">
        <f t="shared" si="4"/>
        <v>UBND Phường Long Bình</v>
      </c>
      <c r="E258" s="268" t="s">
        <v>8655</v>
      </c>
      <c r="F258" s="268" t="s">
        <v>8673</v>
      </c>
      <c r="G258" s="487">
        <v>390</v>
      </c>
      <c r="H258" s="420" t="s">
        <v>986</v>
      </c>
    </row>
    <row r="259" spans="1:8" s="673" customFormat="1">
      <c r="A259" s="287">
        <v>253</v>
      </c>
      <c r="B259" s="275" t="s">
        <v>8675</v>
      </c>
      <c r="C259" s="706" t="s">
        <v>5078</v>
      </c>
      <c r="D259" s="418" t="str">
        <f t="shared" si="4"/>
        <v>UBND Phường Long Bình</v>
      </c>
      <c r="E259" s="268" t="s">
        <v>8673</v>
      </c>
      <c r="F259" s="268" t="s">
        <v>8676</v>
      </c>
      <c r="G259" s="487">
        <v>325</v>
      </c>
      <c r="H259" s="420" t="s">
        <v>8696</v>
      </c>
    </row>
    <row r="260" spans="1:8" s="673" customFormat="1">
      <c r="A260" s="287">
        <v>254</v>
      </c>
      <c r="B260" s="275" t="s">
        <v>8677</v>
      </c>
      <c r="C260" s="706" t="s">
        <v>5078</v>
      </c>
      <c r="D260" s="418" t="str">
        <f t="shared" si="4"/>
        <v>UBND Phường Long Bình</v>
      </c>
      <c r="E260" s="268" t="s">
        <v>8678</v>
      </c>
      <c r="F260" s="268" t="s">
        <v>8676</v>
      </c>
      <c r="G260" s="487">
        <v>1450</v>
      </c>
      <c r="H260" s="420" t="s">
        <v>8706</v>
      </c>
    </row>
    <row r="261" spans="1:8" s="673" customFormat="1">
      <c r="A261" s="287">
        <v>255</v>
      </c>
      <c r="B261" s="275" t="s">
        <v>8679</v>
      </c>
      <c r="C261" s="706" t="s">
        <v>5078</v>
      </c>
      <c r="D261" s="418" t="str">
        <f t="shared" si="4"/>
        <v>UBND Phường Long Bình</v>
      </c>
      <c r="E261" s="268" t="s">
        <v>8680</v>
      </c>
      <c r="F261" s="268" t="s">
        <v>8676</v>
      </c>
      <c r="G261" s="487">
        <v>450</v>
      </c>
      <c r="H261" s="420" t="s">
        <v>989</v>
      </c>
    </row>
    <row r="262" spans="1:8" s="673" customFormat="1">
      <c r="A262" s="287">
        <v>256</v>
      </c>
      <c r="B262" s="275" t="s">
        <v>8681</v>
      </c>
      <c r="C262" s="706" t="s">
        <v>5078</v>
      </c>
      <c r="D262" s="418" t="str">
        <f t="shared" si="4"/>
        <v>UBND Phường Long Bình</v>
      </c>
      <c r="E262" s="268" t="s">
        <v>8678</v>
      </c>
      <c r="F262" s="268" t="s">
        <v>8676</v>
      </c>
      <c r="G262" s="487">
        <v>420</v>
      </c>
      <c r="H262" s="420" t="s">
        <v>8706</v>
      </c>
    </row>
    <row r="263" spans="1:8" s="673" customFormat="1" ht="33">
      <c r="A263" s="287">
        <v>257</v>
      </c>
      <c r="B263" s="275" t="s">
        <v>8682</v>
      </c>
      <c r="C263" s="706" t="s">
        <v>5078</v>
      </c>
      <c r="D263" s="418" t="str">
        <f t="shared" si="4"/>
        <v>UBND Phường Long Bình</v>
      </c>
      <c r="E263" s="268" t="s">
        <v>8683</v>
      </c>
      <c r="F263" s="268" t="s">
        <v>8676</v>
      </c>
      <c r="G263" s="487">
        <v>817</v>
      </c>
      <c r="H263" s="420" t="s">
        <v>989</v>
      </c>
    </row>
    <row r="264" spans="1:8" s="673" customFormat="1" ht="33">
      <c r="A264" s="287">
        <v>258</v>
      </c>
      <c r="B264" s="275" t="s">
        <v>8684</v>
      </c>
      <c r="C264" s="706" t="s">
        <v>5078</v>
      </c>
      <c r="D264" s="418" t="str">
        <f t="shared" si="4"/>
        <v>UBND Phường Long Bình</v>
      </c>
      <c r="E264" s="268" t="s">
        <v>1152</v>
      </c>
      <c r="F264" s="268" t="s">
        <v>8676</v>
      </c>
      <c r="G264" s="487">
        <v>2800</v>
      </c>
      <c r="H264" s="420" t="s">
        <v>226</v>
      </c>
    </row>
    <row r="265" spans="1:8" s="673" customFormat="1">
      <c r="A265" s="287">
        <v>259</v>
      </c>
      <c r="B265" s="275" t="s">
        <v>8685</v>
      </c>
      <c r="C265" s="706" t="s">
        <v>5078</v>
      </c>
      <c r="D265" s="418" t="str">
        <f t="shared" si="4"/>
        <v>UBND Phường Long Bình</v>
      </c>
      <c r="E265" s="268" t="s">
        <v>8686</v>
      </c>
      <c r="F265" s="268" t="s">
        <v>8687</v>
      </c>
      <c r="G265" s="487">
        <v>1300</v>
      </c>
      <c r="H265" s="420" t="s">
        <v>222</v>
      </c>
    </row>
    <row r="266" spans="1:8" s="673" customFormat="1" ht="33">
      <c r="A266" s="287">
        <v>260</v>
      </c>
      <c r="B266" s="275" t="s">
        <v>8688</v>
      </c>
      <c r="C266" s="706" t="s">
        <v>5078</v>
      </c>
      <c r="D266" s="418" t="str">
        <f t="shared" si="4"/>
        <v>UBND Phường Long Bình</v>
      </c>
      <c r="E266" s="268" t="s">
        <v>8689</v>
      </c>
      <c r="F266" s="268" t="s">
        <v>8687</v>
      </c>
      <c r="G266" s="487">
        <v>830</v>
      </c>
      <c r="H266" s="420" t="s">
        <v>8697</v>
      </c>
    </row>
    <row r="267" spans="1:8" s="673" customFormat="1">
      <c r="A267" s="287">
        <v>261</v>
      </c>
      <c r="B267" s="275" t="s">
        <v>8690</v>
      </c>
      <c r="C267" s="706" t="s">
        <v>5078</v>
      </c>
      <c r="D267" s="418" t="str">
        <f t="shared" si="4"/>
        <v>UBND Phường Long Bình</v>
      </c>
      <c r="E267" s="268" t="s">
        <v>8691</v>
      </c>
      <c r="F267" s="268" t="s">
        <v>8687</v>
      </c>
      <c r="G267" s="487">
        <v>475</v>
      </c>
      <c r="H267" s="420" t="s">
        <v>8698</v>
      </c>
    </row>
    <row r="268" spans="1:8" s="673" customFormat="1">
      <c r="A268" s="287">
        <v>262</v>
      </c>
      <c r="B268" s="275" t="s">
        <v>8692</v>
      </c>
      <c r="C268" s="706" t="s">
        <v>5078</v>
      </c>
      <c r="D268" s="418" t="str">
        <f t="shared" si="4"/>
        <v>UBND Phường Long Bình</v>
      </c>
      <c r="E268" s="268" t="s">
        <v>8693</v>
      </c>
      <c r="F268" s="268" t="s">
        <v>8676</v>
      </c>
      <c r="G268" s="487">
        <v>670</v>
      </c>
      <c r="H268" s="420" t="s">
        <v>8697</v>
      </c>
    </row>
    <row r="269" spans="1:8" s="673" customFormat="1">
      <c r="A269" s="287">
        <v>263</v>
      </c>
      <c r="B269" s="275" t="s">
        <v>8694</v>
      </c>
      <c r="C269" s="706" t="s">
        <v>5078</v>
      </c>
      <c r="D269" s="418" t="str">
        <f t="shared" si="4"/>
        <v>UBND Phường Long Bình</v>
      </c>
      <c r="E269" s="268" t="s">
        <v>8695</v>
      </c>
      <c r="F269" s="268" t="s">
        <v>8692</v>
      </c>
      <c r="G269" s="487">
        <v>510</v>
      </c>
      <c r="H269" s="420" t="s">
        <v>222</v>
      </c>
    </row>
    <row r="270" spans="1:8" s="673" customFormat="1">
      <c r="A270" s="287">
        <v>264</v>
      </c>
      <c r="B270" s="275" t="s">
        <v>3616</v>
      </c>
      <c r="C270" s="705" t="s">
        <v>5077</v>
      </c>
      <c r="D270" s="418" t="str">
        <f t="shared" si="3"/>
        <v>UBND Phường Long Phước</v>
      </c>
      <c r="E270" s="287" t="s">
        <v>514</v>
      </c>
      <c r="F270" s="287" t="s">
        <v>482</v>
      </c>
      <c r="G270" s="415">
        <v>1500</v>
      </c>
      <c r="H270" s="287" t="s">
        <v>167</v>
      </c>
    </row>
    <row r="271" spans="1:8" s="673" customFormat="1">
      <c r="A271" s="287">
        <v>265</v>
      </c>
      <c r="B271" s="275" t="s">
        <v>532</v>
      </c>
      <c r="C271" s="705" t="s">
        <v>5077</v>
      </c>
      <c r="D271" s="418" t="str">
        <f t="shared" si="3"/>
        <v>UBND Phường Long Phước</v>
      </c>
      <c r="E271" s="287" t="s">
        <v>387</v>
      </c>
      <c r="F271" s="287" t="s">
        <v>531</v>
      </c>
      <c r="G271" s="415">
        <v>800</v>
      </c>
      <c r="H271" s="287" t="s">
        <v>168</v>
      </c>
    </row>
    <row r="272" spans="1:8" s="673" customFormat="1">
      <c r="A272" s="287">
        <v>266</v>
      </c>
      <c r="B272" s="275" t="s">
        <v>514</v>
      </c>
      <c r="C272" s="705" t="s">
        <v>5077</v>
      </c>
      <c r="D272" s="418" t="str">
        <f t="shared" ref="D272:D335" si="5">"UBND "&amp;C272</f>
        <v>UBND Phường Long Phước</v>
      </c>
      <c r="E272" s="287" t="s">
        <v>531</v>
      </c>
      <c r="F272" s="287" t="s">
        <v>482</v>
      </c>
      <c r="G272" s="415">
        <v>1600</v>
      </c>
      <c r="H272" s="287" t="s">
        <v>156</v>
      </c>
    </row>
    <row r="273" spans="1:8" s="673" customFormat="1" ht="33">
      <c r="A273" s="287">
        <v>267</v>
      </c>
      <c r="B273" s="275" t="s">
        <v>3233</v>
      </c>
      <c r="C273" s="705" t="s">
        <v>5077</v>
      </c>
      <c r="D273" s="418" t="str">
        <f t="shared" si="5"/>
        <v>UBND Phường Long Phước</v>
      </c>
      <c r="E273" s="287" t="s">
        <v>526</v>
      </c>
      <c r="F273" s="287" t="s">
        <v>531</v>
      </c>
      <c r="G273" s="415">
        <v>1400</v>
      </c>
      <c r="H273" s="287" t="s">
        <v>517</v>
      </c>
    </row>
    <row r="274" spans="1:8" s="673" customFormat="1">
      <c r="A274" s="287">
        <v>268</v>
      </c>
      <c r="B274" s="275" t="s">
        <v>533</v>
      </c>
      <c r="C274" s="705" t="s">
        <v>5077</v>
      </c>
      <c r="D274" s="418" t="str">
        <f t="shared" si="5"/>
        <v>UBND Phường Long Phước</v>
      </c>
      <c r="E274" s="287" t="s">
        <v>387</v>
      </c>
      <c r="F274" s="287" t="s">
        <v>531</v>
      </c>
      <c r="G274" s="415">
        <v>1700</v>
      </c>
      <c r="H274" s="287" t="s">
        <v>156</v>
      </c>
    </row>
    <row r="275" spans="1:8" s="673" customFormat="1">
      <c r="A275" s="287">
        <v>269</v>
      </c>
      <c r="B275" s="275" t="s">
        <v>3234</v>
      </c>
      <c r="C275" s="705" t="s">
        <v>5077</v>
      </c>
      <c r="D275" s="418" t="str">
        <f t="shared" si="5"/>
        <v>UBND Phường Long Phước</v>
      </c>
      <c r="E275" s="287" t="s">
        <v>573</v>
      </c>
      <c r="F275" s="287" t="s">
        <v>531</v>
      </c>
      <c r="G275" s="415">
        <v>2300</v>
      </c>
      <c r="H275" s="287" t="s">
        <v>163</v>
      </c>
    </row>
    <row r="276" spans="1:8" s="673" customFormat="1">
      <c r="A276" s="287">
        <v>270</v>
      </c>
      <c r="B276" s="275" t="s">
        <v>536</v>
      </c>
      <c r="C276" s="705" t="s">
        <v>5077</v>
      </c>
      <c r="D276" s="418" t="str">
        <f t="shared" si="5"/>
        <v>UBND Phường Long Phước</v>
      </c>
      <c r="E276" s="287" t="s">
        <v>387</v>
      </c>
      <c r="F276" s="287" t="s">
        <v>531</v>
      </c>
      <c r="G276" s="415">
        <v>1250</v>
      </c>
      <c r="H276" s="287" t="s">
        <v>156</v>
      </c>
    </row>
    <row r="277" spans="1:8" s="673" customFormat="1">
      <c r="A277" s="287">
        <v>271</v>
      </c>
      <c r="B277" s="275" t="s">
        <v>537</v>
      </c>
      <c r="C277" s="705" t="s">
        <v>5077</v>
      </c>
      <c r="D277" s="418" t="str">
        <f t="shared" si="5"/>
        <v>UBND Phường Long Phước</v>
      </c>
      <c r="E277" s="287" t="s">
        <v>531</v>
      </c>
      <c r="F277" s="287" t="s">
        <v>407</v>
      </c>
      <c r="G277" s="415">
        <v>1500</v>
      </c>
      <c r="H277" s="287" t="s">
        <v>153</v>
      </c>
    </row>
    <row r="278" spans="1:8" s="673" customFormat="1">
      <c r="A278" s="287">
        <v>272</v>
      </c>
      <c r="B278" s="275" t="s">
        <v>3236</v>
      </c>
      <c r="C278" s="705" t="s">
        <v>5077</v>
      </c>
      <c r="D278" s="418" t="str">
        <f t="shared" si="5"/>
        <v>UBND Phường Long Phước</v>
      </c>
      <c r="E278" s="287" t="s">
        <v>387</v>
      </c>
      <c r="F278" s="287" t="s">
        <v>538</v>
      </c>
      <c r="G278" s="415">
        <v>440</v>
      </c>
      <c r="H278" s="287" t="s">
        <v>167</v>
      </c>
    </row>
    <row r="279" spans="1:8" s="673" customFormat="1">
      <c r="A279" s="287">
        <v>273</v>
      </c>
      <c r="B279" s="275" t="s">
        <v>3237</v>
      </c>
      <c r="C279" s="705" t="s">
        <v>5077</v>
      </c>
      <c r="D279" s="418" t="str">
        <f t="shared" si="5"/>
        <v>UBND Phường Long Phước</v>
      </c>
      <c r="E279" s="287" t="s">
        <v>387</v>
      </c>
      <c r="F279" s="287" t="s">
        <v>538</v>
      </c>
      <c r="G279" s="415">
        <v>1780</v>
      </c>
      <c r="H279" s="287" t="s">
        <v>156</v>
      </c>
    </row>
    <row r="280" spans="1:8" s="673" customFormat="1">
      <c r="A280" s="287">
        <v>274</v>
      </c>
      <c r="B280" s="275" t="s">
        <v>3238</v>
      </c>
      <c r="C280" s="705" t="s">
        <v>5077</v>
      </c>
      <c r="D280" s="418" t="str">
        <f t="shared" si="5"/>
        <v>UBND Phường Long Phước</v>
      </c>
      <c r="E280" s="287" t="s">
        <v>387</v>
      </c>
      <c r="F280" s="287" t="s">
        <v>538</v>
      </c>
      <c r="G280" s="415">
        <v>880</v>
      </c>
      <c r="H280" s="287" t="s">
        <v>171</v>
      </c>
    </row>
    <row r="281" spans="1:8" s="673" customFormat="1">
      <c r="A281" s="287">
        <v>275</v>
      </c>
      <c r="B281" s="275" t="s">
        <v>3239</v>
      </c>
      <c r="C281" s="705" t="s">
        <v>5077</v>
      </c>
      <c r="D281" s="418" t="str">
        <f t="shared" si="5"/>
        <v>UBND Phường Long Phước</v>
      </c>
      <c r="E281" s="287" t="s">
        <v>573</v>
      </c>
      <c r="F281" s="287" t="s">
        <v>531</v>
      </c>
      <c r="G281" s="415">
        <v>2000</v>
      </c>
      <c r="H281" s="287" t="s">
        <v>156</v>
      </c>
    </row>
    <row r="282" spans="1:8" s="673" customFormat="1">
      <c r="A282" s="287">
        <v>276</v>
      </c>
      <c r="B282" s="275" t="s">
        <v>3240</v>
      </c>
      <c r="C282" s="705" t="s">
        <v>5077</v>
      </c>
      <c r="D282" s="418" t="str">
        <f t="shared" si="5"/>
        <v>UBND Phường Long Phước</v>
      </c>
      <c r="E282" s="287" t="s">
        <v>387</v>
      </c>
      <c r="F282" s="287" t="s">
        <v>3630</v>
      </c>
      <c r="G282" s="415">
        <v>1600</v>
      </c>
      <c r="H282" s="287" t="s">
        <v>522</v>
      </c>
    </row>
    <row r="283" spans="1:8" s="673" customFormat="1">
      <c r="A283" s="287">
        <v>277</v>
      </c>
      <c r="B283" s="275" t="s">
        <v>3220</v>
      </c>
      <c r="C283" s="705" t="s">
        <v>5077</v>
      </c>
      <c r="D283" s="418" t="str">
        <f t="shared" si="5"/>
        <v>UBND Phường Long Phước</v>
      </c>
      <c r="E283" s="287" t="s">
        <v>387</v>
      </c>
      <c r="F283" s="287" t="s">
        <v>482</v>
      </c>
      <c r="G283" s="415">
        <v>1300</v>
      </c>
      <c r="H283" s="287" t="s">
        <v>159</v>
      </c>
    </row>
    <row r="284" spans="1:8" s="673" customFormat="1">
      <c r="A284" s="287">
        <v>278</v>
      </c>
      <c r="B284" s="275" t="s">
        <v>3221</v>
      </c>
      <c r="C284" s="705" t="s">
        <v>5077</v>
      </c>
      <c r="D284" s="418" t="str">
        <f t="shared" si="5"/>
        <v>UBND Phường Long Phước</v>
      </c>
      <c r="E284" s="287" t="s">
        <v>387</v>
      </c>
      <c r="F284" s="287" t="s">
        <v>482</v>
      </c>
      <c r="G284" s="415">
        <v>2000</v>
      </c>
      <c r="H284" s="287" t="s">
        <v>535</v>
      </c>
    </row>
    <row r="285" spans="1:8" s="673" customFormat="1">
      <c r="A285" s="287">
        <v>279</v>
      </c>
      <c r="B285" s="275" t="s">
        <v>3639</v>
      </c>
      <c r="C285" s="705" t="s">
        <v>5077</v>
      </c>
      <c r="D285" s="418" t="str">
        <f t="shared" si="5"/>
        <v>UBND Phường Long Phước</v>
      </c>
      <c r="E285" s="287" t="s">
        <v>387</v>
      </c>
      <c r="F285" s="287" t="s">
        <v>482</v>
      </c>
      <c r="G285" s="415">
        <v>1400</v>
      </c>
      <c r="H285" s="287" t="s">
        <v>168</v>
      </c>
    </row>
    <row r="286" spans="1:8" s="288" customFormat="1" ht="33">
      <c r="A286" s="287">
        <v>280</v>
      </c>
      <c r="B286" s="275" t="s">
        <v>3930</v>
      </c>
      <c r="C286" s="705" t="s">
        <v>5077</v>
      </c>
      <c r="D286" s="418" t="str">
        <f t="shared" si="5"/>
        <v>UBND Phường Long Phước</v>
      </c>
      <c r="E286" s="287" t="s">
        <v>1124</v>
      </c>
      <c r="F286" s="287" t="s">
        <v>543</v>
      </c>
      <c r="G286" s="415">
        <v>3000</v>
      </c>
      <c r="H286" s="287" t="s">
        <v>155</v>
      </c>
    </row>
    <row r="287" spans="1:8" s="288" customFormat="1">
      <c r="A287" s="287">
        <v>281</v>
      </c>
      <c r="B287" s="275" t="s">
        <v>540</v>
      </c>
      <c r="C287" s="705" t="s">
        <v>5077</v>
      </c>
      <c r="D287" s="418" t="str">
        <f t="shared" si="5"/>
        <v>UBND Phường Long Phước</v>
      </c>
      <c r="E287" s="287" t="s">
        <v>387</v>
      </c>
      <c r="F287" s="287" t="s">
        <v>531</v>
      </c>
      <c r="G287" s="415">
        <v>2500</v>
      </c>
      <c r="H287" s="287" t="s">
        <v>521</v>
      </c>
    </row>
    <row r="288" spans="1:8" s="288" customFormat="1">
      <c r="A288" s="287">
        <v>282</v>
      </c>
      <c r="B288" s="275" t="s">
        <v>3659</v>
      </c>
      <c r="C288" s="705" t="s">
        <v>5077</v>
      </c>
      <c r="D288" s="418" t="str">
        <f t="shared" si="5"/>
        <v>UBND Phường Long Phước</v>
      </c>
      <c r="E288" s="287" t="s">
        <v>387</v>
      </c>
      <c r="F288" s="287" t="s">
        <v>3221</v>
      </c>
      <c r="G288" s="415">
        <v>1100</v>
      </c>
      <c r="H288" s="287" t="s">
        <v>535</v>
      </c>
    </row>
    <row r="289" spans="1:8" s="288" customFormat="1">
      <c r="A289" s="287">
        <v>283</v>
      </c>
      <c r="B289" s="275" t="s">
        <v>3660</v>
      </c>
      <c r="C289" s="705" t="s">
        <v>5077</v>
      </c>
      <c r="D289" s="418" t="str">
        <f t="shared" si="5"/>
        <v>UBND Phường Long Phước</v>
      </c>
      <c r="E289" s="287" t="s">
        <v>542</v>
      </c>
      <c r="F289" s="287" t="s">
        <v>531</v>
      </c>
      <c r="G289" s="415">
        <v>2000</v>
      </c>
      <c r="H289" s="287" t="s">
        <v>156</v>
      </c>
    </row>
    <row r="290" spans="1:8" s="288" customFormat="1">
      <c r="A290" s="287">
        <v>284</v>
      </c>
      <c r="B290" s="275" t="s">
        <v>3219</v>
      </c>
      <c r="C290" s="705" t="s">
        <v>5073</v>
      </c>
      <c r="D290" s="418" t="str">
        <f t="shared" si="5"/>
        <v>UBND Phường Long Trường</v>
      </c>
      <c r="E290" s="287" t="s">
        <v>387</v>
      </c>
      <c r="F290" s="287" t="s">
        <v>520</v>
      </c>
      <c r="G290" s="415">
        <v>950</v>
      </c>
      <c r="H290" s="287" t="s">
        <v>156</v>
      </c>
    </row>
    <row r="291" spans="1:8" s="288" customFormat="1">
      <c r="A291" s="287">
        <v>285</v>
      </c>
      <c r="B291" s="275" t="s">
        <v>3623</v>
      </c>
      <c r="C291" s="705" t="s">
        <v>5073</v>
      </c>
      <c r="D291" s="418" t="str">
        <f t="shared" si="5"/>
        <v>UBND Phường Long Trường</v>
      </c>
      <c r="E291" s="287" t="s">
        <v>519</v>
      </c>
      <c r="F291" s="287" t="s">
        <v>520</v>
      </c>
      <c r="G291" s="415">
        <v>1200</v>
      </c>
      <c r="H291" s="287" t="s">
        <v>521</v>
      </c>
    </row>
    <row r="292" spans="1:8" s="288" customFormat="1" ht="33">
      <c r="A292" s="287">
        <v>286</v>
      </c>
      <c r="B292" s="275" t="s">
        <v>3624</v>
      </c>
      <c r="C292" s="705" t="s">
        <v>5073</v>
      </c>
      <c r="D292" s="418" t="str">
        <f t="shared" si="5"/>
        <v>UBND Phường Long Trường</v>
      </c>
      <c r="E292" s="287" t="s">
        <v>481</v>
      </c>
      <c r="F292" s="287" t="s">
        <v>520</v>
      </c>
      <c r="G292" s="415">
        <v>1800</v>
      </c>
      <c r="H292" s="287" t="s">
        <v>522</v>
      </c>
    </row>
    <row r="293" spans="1:8" s="288" customFormat="1" ht="33">
      <c r="A293" s="287">
        <v>287</v>
      </c>
      <c r="B293" s="275" t="s">
        <v>3227</v>
      </c>
      <c r="C293" s="705" t="s">
        <v>5073</v>
      </c>
      <c r="D293" s="418" t="str">
        <f t="shared" si="5"/>
        <v>UBND Phường Long Trường</v>
      </c>
      <c r="E293" s="287" t="s">
        <v>481</v>
      </c>
      <c r="F293" s="287" t="s">
        <v>520</v>
      </c>
      <c r="G293" s="415">
        <v>1400</v>
      </c>
      <c r="H293" s="287" t="s">
        <v>522</v>
      </c>
    </row>
    <row r="294" spans="1:8" s="288" customFormat="1" ht="33">
      <c r="A294" s="287">
        <v>288</v>
      </c>
      <c r="B294" s="275" t="s">
        <v>3229</v>
      </c>
      <c r="C294" s="705" t="s">
        <v>5073</v>
      </c>
      <c r="D294" s="418" t="str">
        <f t="shared" si="5"/>
        <v>UBND Phường Long Trường</v>
      </c>
      <c r="E294" s="287" t="s">
        <v>523</v>
      </c>
      <c r="F294" s="287" t="s">
        <v>520</v>
      </c>
      <c r="G294" s="415">
        <v>1440</v>
      </c>
      <c r="H294" s="287" t="s">
        <v>150</v>
      </c>
    </row>
    <row r="295" spans="1:8" s="288" customFormat="1">
      <c r="A295" s="287">
        <v>289</v>
      </c>
      <c r="B295" s="275" t="s">
        <v>3230</v>
      </c>
      <c r="C295" s="705" t="s">
        <v>5073</v>
      </c>
      <c r="D295" s="418" t="str">
        <f t="shared" si="5"/>
        <v>UBND Phường Long Trường</v>
      </c>
      <c r="E295" s="287" t="s">
        <v>524</v>
      </c>
      <c r="F295" s="287" t="s">
        <v>524</v>
      </c>
      <c r="G295" s="415">
        <v>1500</v>
      </c>
      <c r="H295" s="287" t="s">
        <v>167</v>
      </c>
    </row>
    <row r="296" spans="1:8" s="288" customFormat="1" ht="33">
      <c r="A296" s="287">
        <v>290</v>
      </c>
      <c r="B296" s="275" t="s">
        <v>3450</v>
      </c>
      <c r="C296" s="705" t="s">
        <v>5073</v>
      </c>
      <c r="D296" s="418" t="str">
        <f t="shared" si="5"/>
        <v>UBND Phường Long Trường</v>
      </c>
      <c r="E296" s="287" t="s">
        <v>387</v>
      </c>
      <c r="F296" s="287" t="s">
        <v>3591</v>
      </c>
      <c r="G296" s="415">
        <v>1300</v>
      </c>
      <c r="H296" s="287" t="s">
        <v>168</v>
      </c>
    </row>
    <row r="297" spans="1:8" s="288" customFormat="1">
      <c r="A297" s="287">
        <v>291</v>
      </c>
      <c r="B297" s="275" t="s">
        <v>3231</v>
      </c>
      <c r="C297" s="705" t="s">
        <v>5073</v>
      </c>
      <c r="D297" s="418" t="str">
        <f t="shared" si="5"/>
        <v>UBND Phường Long Trường</v>
      </c>
      <c r="E297" s="287" t="s">
        <v>387</v>
      </c>
      <c r="F297" s="287" t="s">
        <v>3591</v>
      </c>
      <c r="G297" s="415">
        <v>1600</v>
      </c>
      <c r="H297" s="287" t="s">
        <v>168</v>
      </c>
    </row>
    <row r="298" spans="1:8" s="288" customFormat="1" ht="33">
      <c r="A298" s="287">
        <v>292</v>
      </c>
      <c r="B298" s="275" t="s">
        <v>3232</v>
      </c>
      <c r="C298" s="705" t="s">
        <v>5073</v>
      </c>
      <c r="D298" s="418" t="str">
        <f t="shared" si="5"/>
        <v>UBND Phường Long Trường</v>
      </c>
      <c r="E298" s="287" t="s">
        <v>523</v>
      </c>
      <c r="F298" s="287" t="s">
        <v>524</v>
      </c>
      <c r="G298" s="415">
        <v>2000</v>
      </c>
      <c r="H298" s="287" t="s">
        <v>163</v>
      </c>
    </row>
    <row r="299" spans="1:8" s="288" customFormat="1">
      <c r="A299" s="287">
        <v>293</v>
      </c>
      <c r="B299" s="275" t="s">
        <v>3451</v>
      </c>
      <c r="C299" s="705" t="s">
        <v>5073</v>
      </c>
      <c r="D299" s="418" t="str">
        <f t="shared" si="5"/>
        <v>UBND Phường Long Trường</v>
      </c>
      <c r="E299" s="287" t="s">
        <v>387</v>
      </c>
      <c r="F299" s="287" t="s">
        <v>3591</v>
      </c>
      <c r="G299" s="415">
        <v>2000</v>
      </c>
      <c r="H299" s="287" t="s">
        <v>518</v>
      </c>
    </row>
    <row r="300" spans="1:8" s="288" customFormat="1">
      <c r="A300" s="287">
        <v>294</v>
      </c>
      <c r="B300" s="275" t="s">
        <v>525</v>
      </c>
      <c r="C300" s="705" t="s">
        <v>5073</v>
      </c>
      <c r="D300" s="418" t="str">
        <f t="shared" si="5"/>
        <v>UBND Phường Long Trường</v>
      </c>
      <c r="E300" s="287" t="s">
        <v>526</v>
      </c>
      <c r="F300" s="287" t="s">
        <v>524</v>
      </c>
      <c r="G300" s="415">
        <v>800</v>
      </c>
      <c r="H300" s="287" t="s">
        <v>518</v>
      </c>
    </row>
    <row r="301" spans="1:8" s="288" customFormat="1">
      <c r="A301" s="287">
        <v>295</v>
      </c>
      <c r="B301" s="275" t="s">
        <v>527</v>
      </c>
      <c r="C301" s="705" t="s">
        <v>5073</v>
      </c>
      <c r="D301" s="418" t="str">
        <f t="shared" si="5"/>
        <v>UBND Phường Long Trường</v>
      </c>
      <c r="E301" s="287" t="s">
        <v>387</v>
      </c>
      <c r="F301" s="287" t="s">
        <v>526</v>
      </c>
      <c r="G301" s="415">
        <v>600</v>
      </c>
      <c r="H301" s="287" t="s">
        <v>166</v>
      </c>
    </row>
    <row r="302" spans="1:8" s="288" customFormat="1">
      <c r="A302" s="287">
        <v>296</v>
      </c>
      <c r="B302" s="275" t="s">
        <v>530</v>
      </c>
      <c r="C302" s="705" t="s">
        <v>5073</v>
      </c>
      <c r="D302" s="418" t="str">
        <f t="shared" si="5"/>
        <v>UBND Phường Long Trường</v>
      </c>
      <c r="E302" s="287" t="s">
        <v>526</v>
      </c>
      <c r="F302" s="287" t="s">
        <v>531</v>
      </c>
      <c r="G302" s="415">
        <v>2000</v>
      </c>
      <c r="H302" s="287" t="s">
        <v>168</v>
      </c>
    </row>
    <row r="303" spans="1:8" s="288" customFormat="1">
      <c r="A303" s="287">
        <v>297</v>
      </c>
      <c r="B303" s="275" t="s">
        <v>356</v>
      </c>
      <c r="C303" s="705" t="s">
        <v>5073</v>
      </c>
      <c r="D303" s="418" t="str">
        <f t="shared" si="5"/>
        <v>UBND Phường Long Trường</v>
      </c>
      <c r="E303" s="287" t="s">
        <v>387</v>
      </c>
      <c r="F303" s="287" t="s">
        <v>524</v>
      </c>
      <c r="G303" s="415">
        <v>360</v>
      </c>
      <c r="H303" s="287" t="s">
        <v>156</v>
      </c>
    </row>
    <row r="304" spans="1:8" s="288" customFormat="1">
      <c r="A304" s="287">
        <v>298</v>
      </c>
      <c r="B304" s="275" t="s">
        <v>357</v>
      </c>
      <c r="C304" s="705" t="s">
        <v>5073</v>
      </c>
      <c r="D304" s="418" t="str">
        <f t="shared" si="5"/>
        <v>UBND Phường Long Trường</v>
      </c>
      <c r="E304" s="287" t="s">
        <v>387</v>
      </c>
      <c r="F304" s="287" t="s">
        <v>524</v>
      </c>
      <c r="G304" s="415">
        <v>2200</v>
      </c>
      <c r="H304" s="287" t="s">
        <v>541</v>
      </c>
    </row>
    <row r="305" spans="1:8" s="288" customFormat="1">
      <c r="A305" s="287">
        <v>299</v>
      </c>
      <c r="B305" s="275" t="s">
        <v>3934</v>
      </c>
      <c r="C305" s="705" t="s">
        <v>5073</v>
      </c>
      <c r="D305" s="418" t="str">
        <f t="shared" si="5"/>
        <v>UBND Phường Long Trường</v>
      </c>
      <c r="E305" s="287" t="s">
        <v>387</v>
      </c>
      <c r="F305" s="287" t="s">
        <v>481</v>
      </c>
      <c r="G305" s="415">
        <v>1500</v>
      </c>
      <c r="H305" s="287" t="s">
        <v>156</v>
      </c>
    </row>
    <row r="306" spans="1:8" s="288" customFormat="1">
      <c r="A306" s="287">
        <v>300</v>
      </c>
      <c r="B306" s="275" t="s">
        <v>3661</v>
      </c>
      <c r="C306" s="705" t="s">
        <v>5073</v>
      </c>
      <c r="D306" s="418" t="str">
        <f t="shared" si="5"/>
        <v>UBND Phường Long Trường</v>
      </c>
      <c r="E306" s="287" t="s">
        <v>387</v>
      </c>
      <c r="F306" s="287" t="s">
        <v>524</v>
      </c>
      <c r="G306" s="415">
        <v>650</v>
      </c>
      <c r="H306" s="287" t="s">
        <v>155</v>
      </c>
    </row>
    <row r="307" spans="1:8" s="288" customFormat="1">
      <c r="A307" s="287">
        <v>301</v>
      </c>
      <c r="B307" s="275" t="s">
        <v>3662</v>
      </c>
      <c r="C307" s="705" t="s">
        <v>5073</v>
      </c>
      <c r="D307" s="418" t="str">
        <f t="shared" si="5"/>
        <v>UBND Phường Long Trường</v>
      </c>
      <c r="E307" s="287" t="s">
        <v>387</v>
      </c>
      <c r="F307" s="287" t="s">
        <v>524</v>
      </c>
      <c r="G307" s="415">
        <v>430</v>
      </c>
      <c r="H307" s="287" t="s">
        <v>541</v>
      </c>
    </row>
    <row r="308" spans="1:8" s="288" customFormat="1">
      <c r="A308" s="287">
        <v>302</v>
      </c>
      <c r="B308" s="275" t="s">
        <v>3663</v>
      </c>
      <c r="C308" s="705" t="s">
        <v>5073</v>
      </c>
      <c r="D308" s="418" t="str">
        <f t="shared" si="5"/>
        <v>UBND Phường Long Trường</v>
      </c>
      <c r="E308" s="287" t="s">
        <v>387</v>
      </c>
      <c r="F308" s="287" t="s">
        <v>524</v>
      </c>
      <c r="G308" s="415">
        <v>620</v>
      </c>
      <c r="H308" s="287" t="s">
        <v>518</v>
      </c>
    </row>
    <row r="309" spans="1:8" s="288" customFormat="1">
      <c r="A309" s="287">
        <v>303</v>
      </c>
      <c r="B309" s="275" t="s">
        <v>3204</v>
      </c>
      <c r="C309" s="705" t="s">
        <v>5091</v>
      </c>
      <c r="D309" s="418" t="str">
        <f t="shared" si="5"/>
        <v>UBND Phường Phú Định</v>
      </c>
      <c r="E309" s="287" t="s">
        <v>3192</v>
      </c>
      <c r="F309" s="287" t="s">
        <v>3193</v>
      </c>
      <c r="G309" s="415">
        <v>1428</v>
      </c>
      <c r="H309" s="287">
        <v>20.6</v>
      </c>
    </row>
    <row r="310" spans="1:8" s="288" customFormat="1" ht="33">
      <c r="A310" s="287">
        <v>304</v>
      </c>
      <c r="B310" s="275" t="s">
        <v>389</v>
      </c>
      <c r="C310" s="705" t="s">
        <v>5091</v>
      </c>
      <c r="D310" s="418" t="str">
        <f t="shared" si="5"/>
        <v>UBND Phường Phú Định</v>
      </c>
      <c r="E310" s="287" t="s">
        <v>3195</v>
      </c>
      <c r="F310" s="287" t="s">
        <v>388</v>
      </c>
      <c r="G310" s="415">
        <v>291</v>
      </c>
      <c r="H310" s="287">
        <v>7</v>
      </c>
    </row>
    <row r="311" spans="1:8" s="288" customFormat="1">
      <c r="A311" s="287">
        <v>305</v>
      </c>
      <c r="B311" s="275" t="s">
        <v>4325</v>
      </c>
      <c r="C311" s="705" t="s">
        <v>5091</v>
      </c>
      <c r="D311" s="418" t="str">
        <f t="shared" si="5"/>
        <v>UBND Phường Phú Định</v>
      </c>
      <c r="E311" s="287" t="s">
        <v>1119</v>
      </c>
      <c r="F311" s="287" t="s">
        <v>384</v>
      </c>
      <c r="G311" s="415">
        <v>400</v>
      </c>
      <c r="H311" s="287">
        <v>50</v>
      </c>
    </row>
    <row r="312" spans="1:8" s="288" customFormat="1">
      <c r="A312" s="287">
        <v>306</v>
      </c>
      <c r="B312" s="275" t="s">
        <v>4328</v>
      </c>
      <c r="C312" s="705" t="s">
        <v>5091</v>
      </c>
      <c r="D312" s="418" t="str">
        <f t="shared" si="5"/>
        <v>UBND Phường Phú Định</v>
      </c>
      <c r="E312" s="287" t="s">
        <v>405</v>
      </c>
      <c r="F312" s="287" t="s">
        <v>388</v>
      </c>
      <c r="G312" s="415">
        <v>645</v>
      </c>
      <c r="H312" s="287">
        <v>6.7</v>
      </c>
    </row>
    <row r="313" spans="1:8" s="288" customFormat="1">
      <c r="A313" s="287">
        <v>307</v>
      </c>
      <c r="B313" s="275" t="s">
        <v>4329</v>
      </c>
      <c r="C313" s="705" t="s">
        <v>5091</v>
      </c>
      <c r="D313" s="418" t="str">
        <f t="shared" si="5"/>
        <v>UBND Phường Phú Định</v>
      </c>
      <c r="E313" s="287" t="s">
        <v>4330</v>
      </c>
      <c r="F313" s="287" t="s">
        <v>1119</v>
      </c>
      <c r="G313" s="415">
        <v>373.3</v>
      </c>
      <c r="H313" s="287">
        <v>23.51</v>
      </c>
    </row>
    <row r="314" spans="1:8" s="288" customFormat="1" ht="33">
      <c r="A314" s="287">
        <v>308</v>
      </c>
      <c r="B314" s="275" t="s">
        <v>4168</v>
      </c>
      <c r="C314" s="705" t="s">
        <v>5088</v>
      </c>
      <c r="D314" s="418" t="str">
        <f t="shared" si="5"/>
        <v>UBND Phường Phú Thuận</v>
      </c>
      <c r="E314" s="287" t="s">
        <v>433</v>
      </c>
      <c r="F314" s="287" t="s">
        <v>4169</v>
      </c>
      <c r="G314" s="415">
        <v>1940</v>
      </c>
      <c r="H314" s="369" t="s">
        <v>4170</v>
      </c>
    </row>
    <row r="315" spans="1:8" s="288" customFormat="1">
      <c r="A315" s="287">
        <v>309</v>
      </c>
      <c r="B315" s="275" t="s">
        <v>4171</v>
      </c>
      <c r="C315" s="705" t="s">
        <v>5088</v>
      </c>
      <c r="D315" s="418" t="str">
        <f t="shared" si="5"/>
        <v>UBND Phường Phú Thuận</v>
      </c>
      <c r="E315" s="287" t="s">
        <v>4168</v>
      </c>
      <c r="F315" s="287" t="s">
        <v>4172</v>
      </c>
      <c r="G315" s="415" t="s">
        <v>4173</v>
      </c>
      <c r="H315" s="369" t="s">
        <v>4174</v>
      </c>
    </row>
    <row r="316" spans="1:8" s="674" customFormat="1" ht="33">
      <c r="A316" s="287">
        <v>310</v>
      </c>
      <c r="B316" s="275" t="s">
        <v>4175</v>
      </c>
      <c r="C316" s="705" t="s">
        <v>5088</v>
      </c>
      <c r="D316" s="418" t="str">
        <f t="shared" si="5"/>
        <v>UBND Phường Phú Thuận</v>
      </c>
      <c r="E316" s="287" t="s">
        <v>4176</v>
      </c>
      <c r="F316" s="287" t="s">
        <v>4177</v>
      </c>
      <c r="G316" s="415" t="s">
        <v>4178</v>
      </c>
      <c r="H316" s="369" t="s">
        <v>4179</v>
      </c>
    </row>
    <row r="317" spans="1:8" s="674" customFormat="1" ht="33">
      <c r="A317" s="287">
        <v>311</v>
      </c>
      <c r="B317" s="275" t="s">
        <v>4180</v>
      </c>
      <c r="C317" s="705" t="s">
        <v>5088</v>
      </c>
      <c r="D317" s="418" t="str">
        <f t="shared" si="5"/>
        <v>UBND Phường Phú Thuận</v>
      </c>
      <c r="E317" s="287" t="s">
        <v>4181</v>
      </c>
      <c r="F317" s="287" t="s">
        <v>4182</v>
      </c>
      <c r="G317" s="415" t="s">
        <v>4183</v>
      </c>
      <c r="H317" s="369" t="s">
        <v>4184</v>
      </c>
    </row>
    <row r="318" spans="1:8" s="288" customFormat="1">
      <c r="A318" s="287">
        <v>312</v>
      </c>
      <c r="B318" s="275" t="s">
        <v>4185</v>
      </c>
      <c r="C318" s="705" t="s">
        <v>5088</v>
      </c>
      <c r="D318" s="418" t="str">
        <f t="shared" si="5"/>
        <v>UBND Phường Phú Thuận</v>
      </c>
      <c r="E318" s="287" t="s">
        <v>4168</v>
      </c>
      <c r="F318" s="287" t="s">
        <v>4186</v>
      </c>
      <c r="G318" s="415" t="s">
        <v>214</v>
      </c>
      <c r="H318" s="369" t="s">
        <v>4187</v>
      </c>
    </row>
    <row r="319" spans="1:8" s="288" customFormat="1">
      <c r="A319" s="287">
        <v>313</v>
      </c>
      <c r="B319" s="275" t="s">
        <v>4188</v>
      </c>
      <c r="C319" s="705" t="s">
        <v>5088</v>
      </c>
      <c r="D319" s="418" t="str">
        <f t="shared" si="5"/>
        <v>UBND Phường Phú Thuận</v>
      </c>
      <c r="E319" s="287" t="s">
        <v>4189</v>
      </c>
      <c r="F319" s="287" t="s">
        <v>4190</v>
      </c>
      <c r="G319" s="415">
        <v>248</v>
      </c>
      <c r="H319" s="369" t="s">
        <v>4191</v>
      </c>
    </row>
    <row r="320" spans="1:8" s="288" customFormat="1">
      <c r="A320" s="287">
        <v>314</v>
      </c>
      <c r="B320" s="275" t="s">
        <v>4192</v>
      </c>
      <c r="C320" s="705" t="s">
        <v>5088</v>
      </c>
      <c r="D320" s="418" t="str">
        <f t="shared" si="5"/>
        <v>UBND Phường Phú Thuận</v>
      </c>
      <c r="E320" s="287" t="s">
        <v>4193</v>
      </c>
      <c r="F320" s="287" t="s">
        <v>4194</v>
      </c>
      <c r="G320" s="415" t="s">
        <v>4195</v>
      </c>
      <c r="H320" s="369" t="s">
        <v>4196</v>
      </c>
    </row>
    <row r="321" spans="1:8" s="288" customFormat="1" ht="33">
      <c r="A321" s="287">
        <v>315</v>
      </c>
      <c r="B321" s="275" t="s">
        <v>4197</v>
      </c>
      <c r="C321" s="705" t="s">
        <v>5088</v>
      </c>
      <c r="D321" s="418" t="str">
        <f t="shared" si="5"/>
        <v>UBND Phường Phú Thuận</v>
      </c>
      <c r="E321" s="287" t="s">
        <v>4168</v>
      </c>
      <c r="F321" s="287" t="s">
        <v>4198</v>
      </c>
      <c r="G321" s="415">
        <v>724</v>
      </c>
      <c r="H321" s="369" t="s">
        <v>4199</v>
      </c>
    </row>
    <row r="322" spans="1:8" s="288" customFormat="1">
      <c r="A322" s="287">
        <v>316</v>
      </c>
      <c r="B322" s="275" t="s">
        <v>4200</v>
      </c>
      <c r="C322" s="705" t="s">
        <v>5088</v>
      </c>
      <c r="D322" s="418" t="str">
        <f t="shared" si="5"/>
        <v>UBND Phường Phú Thuận</v>
      </c>
      <c r="E322" s="287" t="s">
        <v>4201</v>
      </c>
      <c r="F322" s="287" t="s">
        <v>4202</v>
      </c>
      <c r="G322" s="415" t="s">
        <v>4203</v>
      </c>
      <c r="H322" s="369" t="s">
        <v>4204</v>
      </c>
    </row>
    <row r="323" spans="1:8" s="288" customFormat="1">
      <c r="A323" s="287">
        <v>317</v>
      </c>
      <c r="B323" s="275" t="s">
        <v>4205</v>
      </c>
      <c r="C323" s="705" t="s">
        <v>5088</v>
      </c>
      <c r="D323" s="418" t="str">
        <f t="shared" si="5"/>
        <v>UBND Phường Phú Thuận</v>
      </c>
      <c r="E323" s="287" t="s">
        <v>3912</v>
      </c>
      <c r="F323" s="287" t="s">
        <v>4206</v>
      </c>
      <c r="G323" s="415" t="s">
        <v>4207</v>
      </c>
      <c r="H323" s="369" t="s">
        <v>4208</v>
      </c>
    </row>
    <row r="324" spans="1:8" s="288" customFormat="1">
      <c r="A324" s="287">
        <v>318</v>
      </c>
      <c r="B324" s="275" t="s">
        <v>3905</v>
      </c>
      <c r="C324" s="705" t="s">
        <v>5088</v>
      </c>
      <c r="D324" s="418" t="str">
        <f t="shared" si="5"/>
        <v>UBND Phường Phú Thuận</v>
      </c>
      <c r="E324" s="287" t="s">
        <v>433</v>
      </c>
      <c r="F324" s="287" t="s">
        <v>4209</v>
      </c>
      <c r="G324" s="415">
        <v>788</v>
      </c>
      <c r="H324" s="369" t="s">
        <v>8524</v>
      </c>
    </row>
    <row r="325" spans="1:8" s="288" customFormat="1">
      <c r="A325" s="287">
        <v>319</v>
      </c>
      <c r="B325" s="275" t="s">
        <v>4210</v>
      </c>
      <c r="C325" s="705" t="s">
        <v>5088</v>
      </c>
      <c r="D325" s="418" t="str">
        <f t="shared" si="5"/>
        <v>UBND Phường Phú Thuận</v>
      </c>
      <c r="E325" s="287" t="s">
        <v>4211</v>
      </c>
      <c r="F325" s="287" t="s">
        <v>4212</v>
      </c>
      <c r="G325" s="415" t="s">
        <v>4213</v>
      </c>
      <c r="H325" s="369" t="s">
        <v>4214</v>
      </c>
    </row>
    <row r="326" spans="1:8" s="288" customFormat="1" ht="33">
      <c r="A326" s="287">
        <v>320</v>
      </c>
      <c r="B326" s="275" t="s">
        <v>4215</v>
      </c>
      <c r="C326" s="705" t="s">
        <v>5088</v>
      </c>
      <c r="D326" s="418" t="str">
        <f t="shared" si="5"/>
        <v>UBND Phường Phú Thuận</v>
      </c>
      <c r="E326" s="287" t="s">
        <v>4216</v>
      </c>
      <c r="F326" s="287" t="s">
        <v>4217</v>
      </c>
      <c r="G326" s="415">
        <v>143</v>
      </c>
      <c r="H326" s="369" t="s">
        <v>4218</v>
      </c>
    </row>
    <row r="327" spans="1:8" s="288" customFormat="1">
      <c r="A327" s="287">
        <v>321</v>
      </c>
      <c r="B327" s="275" t="s">
        <v>4219</v>
      </c>
      <c r="C327" s="705" t="s">
        <v>5088</v>
      </c>
      <c r="D327" s="418" t="str">
        <f t="shared" si="5"/>
        <v>UBND Phường Phú Thuận</v>
      </c>
      <c r="E327" s="287" t="s">
        <v>3905</v>
      </c>
      <c r="F327" s="287" t="s">
        <v>4220</v>
      </c>
      <c r="G327" s="415">
        <v>487</v>
      </c>
      <c r="H327" s="369" t="s">
        <v>4221</v>
      </c>
    </row>
    <row r="328" spans="1:8" s="288" customFormat="1" ht="33">
      <c r="A328" s="287">
        <v>322</v>
      </c>
      <c r="B328" s="275" t="s">
        <v>4222</v>
      </c>
      <c r="C328" s="705" t="s">
        <v>5088</v>
      </c>
      <c r="D328" s="418" t="str">
        <f t="shared" si="5"/>
        <v>UBND Phường Phú Thuận</v>
      </c>
      <c r="E328" s="287" t="s">
        <v>433</v>
      </c>
      <c r="F328" s="287" t="s">
        <v>4223</v>
      </c>
      <c r="G328" s="415" t="s">
        <v>4224</v>
      </c>
      <c r="H328" s="369" t="s">
        <v>4225</v>
      </c>
    </row>
    <row r="329" spans="1:8" s="288" customFormat="1" ht="33">
      <c r="A329" s="287">
        <v>323</v>
      </c>
      <c r="B329" s="275" t="s">
        <v>4226</v>
      </c>
      <c r="C329" s="705" t="s">
        <v>5088</v>
      </c>
      <c r="D329" s="418" t="str">
        <f t="shared" si="5"/>
        <v>UBND Phường Phú Thuận</v>
      </c>
      <c r="E329" s="287" t="s">
        <v>4227</v>
      </c>
      <c r="F329" s="287" t="s">
        <v>4228</v>
      </c>
      <c r="G329" s="415">
        <v>296</v>
      </c>
      <c r="H329" s="369" t="s">
        <v>4229</v>
      </c>
    </row>
    <row r="330" spans="1:8" s="288" customFormat="1">
      <c r="A330" s="287">
        <v>324</v>
      </c>
      <c r="B330" s="275" t="s">
        <v>4230</v>
      </c>
      <c r="C330" s="705" t="s">
        <v>5088</v>
      </c>
      <c r="D330" s="418" t="str">
        <f t="shared" si="5"/>
        <v>UBND Phường Phú Thuận</v>
      </c>
      <c r="E330" s="287" t="s">
        <v>4231</v>
      </c>
      <c r="F330" s="287" t="s">
        <v>4232</v>
      </c>
      <c r="G330" s="415">
        <v>463</v>
      </c>
      <c r="H330" s="369" t="s">
        <v>4233</v>
      </c>
    </row>
    <row r="331" spans="1:8" s="288" customFormat="1">
      <c r="A331" s="287">
        <v>325</v>
      </c>
      <c r="B331" s="275" t="s">
        <v>4234</v>
      </c>
      <c r="C331" s="705" t="s">
        <v>5088</v>
      </c>
      <c r="D331" s="418" t="str">
        <f t="shared" si="5"/>
        <v>UBND Phường Phú Thuận</v>
      </c>
      <c r="E331" s="287" t="s">
        <v>691</v>
      </c>
      <c r="F331" s="287" t="s">
        <v>3912</v>
      </c>
      <c r="G331" s="415">
        <v>359</v>
      </c>
      <c r="H331" s="369" t="s">
        <v>4235</v>
      </c>
    </row>
    <row r="332" spans="1:8" s="288" customFormat="1">
      <c r="A332" s="287">
        <v>326</v>
      </c>
      <c r="B332" s="275" t="s">
        <v>4236</v>
      </c>
      <c r="C332" s="705" t="s">
        <v>5088</v>
      </c>
      <c r="D332" s="418" t="str">
        <f t="shared" si="5"/>
        <v>UBND Phường Phú Thuận</v>
      </c>
      <c r="E332" s="287" t="s">
        <v>691</v>
      </c>
      <c r="F332" s="287" t="s">
        <v>4237</v>
      </c>
      <c r="G332" s="415">
        <v>145</v>
      </c>
      <c r="H332" s="369" t="s">
        <v>4238</v>
      </c>
    </row>
    <row r="333" spans="1:8" s="288" customFormat="1">
      <c r="A333" s="287">
        <v>327</v>
      </c>
      <c r="B333" s="275" t="s">
        <v>310</v>
      </c>
      <c r="C333" s="705" t="s">
        <v>5088</v>
      </c>
      <c r="D333" s="418" t="str">
        <f t="shared" si="5"/>
        <v>UBND Phường Phú Thuận</v>
      </c>
      <c r="E333" s="287" t="s">
        <v>691</v>
      </c>
      <c r="F333" s="287" t="s">
        <v>4280</v>
      </c>
      <c r="G333" s="415">
        <v>554</v>
      </c>
      <c r="H333" s="369" t="s">
        <v>4281</v>
      </c>
    </row>
    <row r="334" spans="1:8" s="288" customFormat="1" ht="49.5">
      <c r="A334" s="287">
        <v>328</v>
      </c>
      <c r="B334" s="275" t="s">
        <v>4282</v>
      </c>
      <c r="C334" s="705" t="s">
        <v>5088</v>
      </c>
      <c r="D334" s="418" t="str">
        <f t="shared" si="5"/>
        <v>UBND Phường Phú Thuận</v>
      </c>
      <c r="E334" s="287" t="s">
        <v>4283</v>
      </c>
      <c r="F334" s="287" t="s">
        <v>4284</v>
      </c>
      <c r="G334" s="415">
        <v>30</v>
      </c>
      <c r="H334" s="369" t="s">
        <v>4285</v>
      </c>
    </row>
    <row r="335" spans="1:8" s="288" customFormat="1" ht="33">
      <c r="A335" s="287">
        <v>329</v>
      </c>
      <c r="B335" s="275" t="s">
        <v>4286</v>
      </c>
      <c r="C335" s="705" t="s">
        <v>5088</v>
      </c>
      <c r="D335" s="418" t="str">
        <f t="shared" si="5"/>
        <v>UBND Phường Phú Thuận</v>
      </c>
      <c r="E335" s="287" t="s">
        <v>4287</v>
      </c>
      <c r="F335" s="287" t="s">
        <v>4288</v>
      </c>
      <c r="G335" s="415">
        <v>123</v>
      </c>
      <c r="H335" s="369" t="s">
        <v>4289</v>
      </c>
    </row>
    <row r="336" spans="1:8" s="288" customFormat="1">
      <c r="A336" s="287">
        <v>330</v>
      </c>
      <c r="B336" s="275" t="s">
        <v>4301</v>
      </c>
      <c r="C336" s="705" t="s">
        <v>5088</v>
      </c>
      <c r="D336" s="418" t="str">
        <f t="shared" ref="D336:D396" si="6">"UBND "&amp;C336</f>
        <v>UBND Phường Phú Thuận</v>
      </c>
      <c r="E336" s="287" t="s">
        <v>4302</v>
      </c>
      <c r="F336" s="287" t="s">
        <v>4303</v>
      </c>
      <c r="G336" s="415">
        <v>531</v>
      </c>
      <c r="H336" s="369" t="s">
        <v>4304</v>
      </c>
    </row>
    <row r="337" spans="1:8" s="288" customFormat="1">
      <c r="A337" s="287">
        <v>331</v>
      </c>
      <c r="B337" s="275" t="s">
        <v>4305</v>
      </c>
      <c r="C337" s="705" t="s">
        <v>5088</v>
      </c>
      <c r="D337" s="418" t="str">
        <f t="shared" si="6"/>
        <v>UBND Phường Phú Thuận</v>
      </c>
      <c r="E337" s="287" t="s">
        <v>4306</v>
      </c>
      <c r="F337" s="287" t="s">
        <v>4307</v>
      </c>
      <c r="G337" s="415">
        <v>110</v>
      </c>
      <c r="H337" s="369" t="s">
        <v>4308</v>
      </c>
    </row>
    <row r="338" spans="1:8" s="288" customFormat="1">
      <c r="A338" s="287">
        <v>332</v>
      </c>
      <c r="B338" s="275" t="s">
        <v>4309</v>
      </c>
      <c r="C338" s="705" t="s">
        <v>5088</v>
      </c>
      <c r="D338" s="418" t="str">
        <f t="shared" si="6"/>
        <v>UBND Phường Phú Thuận</v>
      </c>
      <c r="E338" s="287" t="s">
        <v>669</v>
      </c>
      <c r="F338" s="287" t="s">
        <v>4310</v>
      </c>
      <c r="G338" s="415">
        <v>231</v>
      </c>
      <c r="H338" s="369" t="s">
        <v>4311</v>
      </c>
    </row>
    <row r="339" spans="1:8" s="288" customFormat="1">
      <c r="A339" s="287">
        <v>333</v>
      </c>
      <c r="B339" s="275" t="s">
        <v>4321</v>
      </c>
      <c r="C339" s="705" t="s">
        <v>5088</v>
      </c>
      <c r="D339" s="418" t="str">
        <f t="shared" si="6"/>
        <v>UBND Phường Phú Thuận</v>
      </c>
      <c r="E339" s="287" t="s">
        <v>691</v>
      </c>
      <c r="F339" s="287" t="s">
        <v>4322</v>
      </c>
      <c r="G339" s="415">
        <v>257</v>
      </c>
      <c r="H339" s="369" t="s">
        <v>4323</v>
      </c>
    </row>
    <row r="340" spans="1:8" s="288" customFormat="1">
      <c r="A340" s="287">
        <v>334</v>
      </c>
      <c r="B340" s="275" t="s">
        <v>513</v>
      </c>
      <c r="C340" s="705" t="s">
        <v>5075</v>
      </c>
      <c r="D340" s="418" t="str">
        <f t="shared" si="6"/>
        <v>UBND Phường Phước Long</v>
      </c>
      <c r="E340" s="287" t="s">
        <v>3625</v>
      </c>
      <c r="F340" s="287" t="s">
        <v>3928</v>
      </c>
      <c r="G340" s="415">
        <v>115</v>
      </c>
      <c r="H340" s="287" t="s">
        <v>164</v>
      </c>
    </row>
    <row r="341" spans="1:8" s="288" customFormat="1">
      <c r="A341" s="287">
        <v>335</v>
      </c>
      <c r="B341" s="275" t="s">
        <v>516</v>
      </c>
      <c r="C341" s="705" t="s">
        <v>5075</v>
      </c>
      <c r="D341" s="418" t="str">
        <f t="shared" si="6"/>
        <v>UBND Phường Phước Long</v>
      </c>
      <c r="E341" s="287" t="s">
        <v>387</v>
      </c>
      <c r="F341" s="287" t="s">
        <v>508</v>
      </c>
      <c r="G341" s="415">
        <v>1100</v>
      </c>
      <c r="H341" s="287" t="s">
        <v>168</v>
      </c>
    </row>
    <row r="342" spans="1:8" s="288" customFormat="1">
      <c r="A342" s="287">
        <v>336</v>
      </c>
      <c r="B342" s="275" t="s">
        <v>3620</v>
      </c>
      <c r="C342" s="705" t="s">
        <v>5075</v>
      </c>
      <c r="D342" s="418" t="str">
        <f t="shared" si="6"/>
        <v>UBND Phường Phước Long</v>
      </c>
      <c r="E342" s="287" t="s">
        <v>387</v>
      </c>
      <c r="F342" s="287" t="s">
        <v>508</v>
      </c>
      <c r="G342" s="415">
        <v>2000</v>
      </c>
      <c r="H342" s="287" t="s">
        <v>518</v>
      </c>
    </row>
    <row r="343" spans="1:8" s="288" customFormat="1">
      <c r="A343" s="287">
        <v>337</v>
      </c>
      <c r="B343" s="275" t="s">
        <v>3622</v>
      </c>
      <c r="C343" s="705" t="s">
        <v>5075</v>
      </c>
      <c r="D343" s="418" t="str">
        <f t="shared" si="6"/>
        <v>UBND Phường Phước Long</v>
      </c>
      <c r="E343" s="287" t="s">
        <v>3625</v>
      </c>
      <c r="F343" s="287" t="s">
        <v>3629</v>
      </c>
      <c r="G343" s="415">
        <v>2000</v>
      </c>
      <c r="H343" s="287" t="s">
        <v>170</v>
      </c>
    </row>
    <row r="344" spans="1:8" s="288" customFormat="1">
      <c r="A344" s="287">
        <v>338</v>
      </c>
      <c r="B344" s="275" t="s">
        <v>3648</v>
      </c>
      <c r="C344" s="705" t="s">
        <v>5075</v>
      </c>
      <c r="D344" s="418" t="str">
        <f t="shared" si="6"/>
        <v>UBND Phường Phước Long</v>
      </c>
      <c r="E344" s="287" t="s">
        <v>387</v>
      </c>
      <c r="F344" s="287" t="s">
        <v>508</v>
      </c>
      <c r="G344" s="415">
        <v>799</v>
      </c>
      <c r="H344" s="420" t="s">
        <v>3933</v>
      </c>
    </row>
    <row r="345" spans="1:8" s="288" customFormat="1">
      <c r="A345" s="287">
        <v>339</v>
      </c>
      <c r="B345" s="275" t="s">
        <v>355</v>
      </c>
      <c r="C345" s="705" t="s">
        <v>5079</v>
      </c>
      <c r="D345" s="418" t="str">
        <f t="shared" si="6"/>
        <v>UBND Phường Tam Bình</v>
      </c>
      <c r="E345" s="287" t="s">
        <v>387</v>
      </c>
      <c r="F345" s="287" t="s">
        <v>569</v>
      </c>
      <c r="G345" s="415">
        <v>820</v>
      </c>
      <c r="H345" s="287" t="s">
        <v>167</v>
      </c>
    </row>
    <row r="346" spans="1:8" s="288" customFormat="1">
      <c r="A346" s="287">
        <v>340</v>
      </c>
      <c r="B346" s="275" t="s">
        <v>3664</v>
      </c>
      <c r="C346" s="705" t="s">
        <v>5079</v>
      </c>
      <c r="D346" s="418" t="str">
        <f t="shared" si="6"/>
        <v>UBND Phường Tam Bình</v>
      </c>
      <c r="E346" s="287" t="s">
        <v>574</v>
      </c>
      <c r="F346" s="287" t="s">
        <v>3936</v>
      </c>
      <c r="G346" s="415">
        <v>1479</v>
      </c>
      <c r="H346" s="287" t="s">
        <v>156</v>
      </c>
    </row>
    <row r="347" spans="1:8" s="288" customFormat="1" ht="33">
      <c r="A347" s="287">
        <v>341</v>
      </c>
      <c r="B347" s="275" t="s">
        <v>551</v>
      </c>
      <c r="C347" s="705" t="s">
        <v>5079</v>
      </c>
      <c r="D347" s="418" t="str">
        <f t="shared" si="6"/>
        <v>UBND Phường Tam Bình</v>
      </c>
      <c r="E347" s="287" t="s">
        <v>3939</v>
      </c>
      <c r="F347" s="287" t="s">
        <v>569</v>
      </c>
      <c r="G347" s="415">
        <v>1639</v>
      </c>
      <c r="H347" s="287" t="s">
        <v>162</v>
      </c>
    </row>
    <row r="348" spans="1:8" s="288" customFormat="1">
      <c r="A348" s="287">
        <v>342</v>
      </c>
      <c r="B348" s="275" t="s">
        <v>553</v>
      </c>
      <c r="C348" s="705" t="s">
        <v>5079</v>
      </c>
      <c r="D348" s="418" t="str">
        <f t="shared" si="6"/>
        <v>UBND Phường Tam Bình</v>
      </c>
      <c r="E348" s="287" t="s">
        <v>3744</v>
      </c>
      <c r="F348" s="287" t="s">
        <v>554</v>
      </c>
      <c r="G348" s="415">
        <v>2600</v>
      </c>
      <c r="H348" s="287" t="s">
        <v>181</v>
      </c>
    </row>
    <row r="349" spans="1:8" s="288" customFormat="1" ht="33">
      <c r="A349" s="287">
        <v>343</v>
      </c>
      <c r="B349" s="275" t="s">
        <v>555</v>
      </c>
      <c r="C349" s="705" t="s">
        <v>5079</v>
      </c>
      <c r="D349" s="418" t="str">
        <f t="shared" si="6"/>
        <v>UBND Phường Tam Bình</v>
      </c>
      <c r="E349" s="287" t="s">
        <v>3940</v>
      </c>
      <c r="F349" s="287" t="s">
        <v>554</v>
      </c>
      <c r="G349" s="415">
        <v>779</v>
      </c>
      <c r="H349" s="287" t="s">
        <v>182</v>
      </c>
    </row>
    <row r="350" spans="1:8" s="288" customFormat="1">
      <c r="A350" s="287">
        <v>344</v>
      </c>
      <c r="B350" s="275" t="s">
        <v>568</v>
      </c>
      <c r="C350" s="705" t="s">
        <v>5079</v>
      </c>
      <c r="D350" s="418" t="str">
        <f t="shared" si="6"/>
        <v>UBND Phường Tam Bình</v>
      </c>
      <c r="E350" s="287" t="s">
        <v>3473</v>
      </c>
      <c r="F350" s="287" t="s">
        <v>566</v>
      </c>
      <c r="G350" s="415">
        <v>357</v>
      </c>
      <c r="H350" s="287" t="s">
        <v>567</v>
      </c>
    </row>
    <row r="351" spans="1:8" s="288" customFormat="1">
      <c r="A351" s="287">
        <v>345</v>
      </c>
      <c r="B351" s="275" t="s">
        <v>566</v>
      </c>
      <c r="C351" s="705" t="s">
        <v>5079</v>
      </c>
      <c r="D351" s="418" t="str">
        <f t="shared" si="6"/>
        <v>UBND Phường Tam Bình</v>
      </c>
      <c r="E351" s="287" t="s">
        <v>3474</v>
      </c>
      <c r="F351" s="287" t="s">
        <v>568</v>
      </c>
      <c r="G351" s="415">
        <v>600</v>
      </c>
      <c r="H351" s="287" t="s">
        <v>194</v>
      </c>
    </row>
    <row r="352" spans="1:8" s="288" customFormat="1">
      <c r="A352" s="287">
        <v>346</v>
      </c>
      <c r="B352" s="275" t="s">
        <v>3954</v>
      </c>
      <c r="C352" s="705" t="s">
        <v>5079</v>
      </c>
      <c r="D352" s="418" t="str">
        <f t="shared" si="6"/>
        <v>UBND Phường Tam Bình</v>
      </c>
      <c r="E352" s="287" t="s">
        <v>3955</v>
      </c>
      <c r="F352" s="287" t="s">
        <v>3956</v>
      </c>
      <c r="G352" s="415">
        <v>1169</v>
      </c>
      <c r="H352" s="287" t="s">
        <v>152</v>
      </c>
    </row>
    <row r="353" spans="1:8" s="288" customFormat="1">
      <c r="A353" s="287">
        <v>347</v>
      </c>
      <c r="B353" s="275" t="s">
        <v>554</v>
      </c>
      <c r="C353" s="705" t="s">
        <v>5079</v>
      </c>
      <c r="D353" s="418" t="str">
        <f t="shared" si="6"/>
        <v>UBND Phường Tam Bình</v>
      </c>
      <c r="E353" s="287" t="s">
        <v>3756</v>
      </c>
      <c r="F353" s="287" t="s">
        <v>570</v>
      </c>
      <c r="G353" s="415">
        <v>520</v>
      </c>
      <c r="H353" s="287" t="s">
        <v>153</v>
      </c>
    </row>
    <row r="354" spans="1:8" s="288" customFormat="1">
      <c r="A354" s="287">
        <v>348</v>
      </c>
      <c r="B354" s="275" t="s">
        <v>3697</v>
      </c>
      <c r="C354" s="705" t="s">
        <v>5079</v>
      </c>
      <c r="D354" s="418" t="str">
        <f t="shared" si="6"/>
        <v>UBND Phường Tam Bình</v>
      </c>
      <c r="E354" s="287" t="s">
        <v>3757</v>
      </c>
      <c r="F354" s="287" t="s">
        <v>569</v>
      </c>
      <c r="G354" s="415">
        <v>400</v>
      </c>
      <c r="H354" s="287" t="s">
        <v>156</v>
      </c>
    </row>
    <row r="355" spans="1:8" s="288" customFormat="1">
      <c r="A355" s="287">
        <v>349</v>
      </c>
      <c r="B355" s="275" t="s">
        <v>3698</v>
      </c>
      <c r="C355" s="705" t="s">
        <v>5079</v>
      </c>
      <c r="D355" s="418" t="str">
        <f t="shared" si="6"/>
        <v>UBND Phường Tam Bình</v>
      </c>
      <c r="E355" s="287" t="s">
        <v>3758</v>
      </c>
      <c r="F355" s="287" t="s">
        <v>569</v>
      </c>
      <c r="G355" s="415">
        <v>480</v>
      </c>
      <c r="H355" s="287" t="s">
        <v>154</v>
      </c>
    </row>
    <row r="356" spans="1:8" s="288" customFormat="1">
      <c r="A356" s="287">
        <v>350</v>
      </c>
      <c r="B356" s="275" t="s">
        <v>3699</v>
      </c>
      <c r="C356" s="705" t="s">
        <v>5079</v>
      </c>
      <c r="D356" s="418" t="str">
        <f t="shared" si="6"/>
        <v>UBND Phường Tam Bình</v>
      </c>
      <c r="E356" s="287" t="s">
        <v>387</v>
      </c>
      <c r="F356" s="287" t="s">
        <v>569</v>
      </c>
      <c r="G356" s="415">
        <v>400</v>
      </c>
      <c r="H356" s="287" t="s">
        <v>156</v>
      </c>
    </row>
    <row r="357" spans="1:8" s="288" customFormat="1">
      <c r="A357" s="287">
        <v>351</v>
      </c>
      <c r="B357" s="275" t="s">
        <v>3700</v>
      </c>
      <c r="C357" s="705" t="s">
        <v>5079</v>
      </c>
      <c r="D357" s="418" t="str">
        <f t="shared" si="6"/>
        <v>UBND Phường Tam Bình</v>
      </c>
      <c r="E357" s="287" t="s">
        <v>3759</v>
      </c>
      <c r="F357" s="287" t="s">
        <v>3971</v>
      </c>
      <c r="G357" s="415">
        <v>1694</v>
      </c>
      <c r="H357" s="287" t="s">
        <v>201</v>
      </c>
    </row>
    <row r="358" spans="1:8" s="288" customFormat="1">
      <c r="A358" s="287">
        <v>352</v>
      </c>
      <c r="B358" s="275" t="s">
        <v>937</v>
      </c>
      <c r="C358" s="705" t="s">
        <v>5079</v>
      </c>
      <c r="D358" s="418" t="str">
        <f t="shared" si="6"/>
        <v>UBND Phường Tam Bình</v>
      </c>
      <c r="E358" s="287" t="s">
        <v>938</v>
      </c>
      <c r="F358" s="287" t="s">
        <v>939</v>
      </c>
      <c r="G358" s="415">
        <v>543</v>
      </c>
      <c r="H358" s="287"/>
    </row>
    <row r="359" spans="1:8" s="288" customFormat="1">
      <c r="A359" s="287">
        <v>353</v>
      </c>
      <c r="B359" s="275" t="s">
        <v>956</v>
      </c>
      <c r="C359" s="705" t="s">
        <v>5079</v>
      </c>
      <c r="D359" s="418" t="str">
        <f t="shared" si="6"/>
        <v>UBND Phường Tam Bình</v>
      </c>
      <c r="E359" s="287" t="s">
        <v>957</v>
      </c>
      <c r="F359" s="287" t="s">
        <v>958</v>
      </c>
      <c r="G359" s="415">
        <v>400</v>
      </c>
      <c r="H359" s="287"/>
    </row>
    <row r="360" spans="1:8" s="288" customFormat="1">
      <c r="A360" s="287">
        <v>354</v>
      </c>
      <c r="B360" s="275" t="s">
        <v>660</v>
      </c>
      <c r="C360" s="705" t="s">
        <v>5085</v>
      </c>
      <c r="D360" s="418" t="str">
        <f t="shared" si="6"/>
        <v>UBND Phường Tân Hưng</v>
      </c>
      <c r="E360" s="287" t="s">
        <v>3979</v>
      </c>
      <c r="F360" s="287" t="s">
        <v>3980</v>
      </c>
      <c r="G360" s="415">
        <v>830</v>
      </c>
      <c r="H360" s="369" t="s">
        <v>3981</v>
      </c>
    </row>
    <row r="361" spans="1:8" s="288" customFormat="1" ht="33">
      <c r="A361" s="287">
        <v>355</v>
      </c>
      <c r="B361" s="275" t="s">
        <v>3988</v>
      </c>
      <c r="C361" s="705" t="s">
        <v>5085</v>
      </c>
      <c r="D361" s="418" t="str">
        <f t="shared" si="6"/>
        <v>UBND Phường Tân Hưng</v>
      </c>
      <c r="E361" s="287" t="s">
        <v>1</v>
      </c>
      <c r="F361" s="287" t="s">
        <v>660</v>
      </c>
      <c r="G361" s="415">
        <v>70</v>
      </c>
      <c r="H361" s="369" t="s">
        <v>3989</v>
      </c>
    </row>
    <row r="362" spans="1:8" s="288" customFormat="1" ht="33">
      <c r="A362" s="287">
        <v>356</v>
      </c>
      <c r="B362" s="275" t="s">
        <v>3990</v>
      </c>
      <c r="C362" s="705" t="s">
        <v>5085</v>
      </c>
      <c r="D362" s="418" t="str">
        <f t="shared" si="6"/>
        <v>UBND Phường Tân Hưng</v>
      </c>
      <c r="E362" s="287" t="s">
        <v>3991</v>
      </c>
      <c r="F362" s="287" t="s">
        <v>3992</v>
      </c>
      <c r="G362" s="415">
        <v>271</v>
      </c>
      <c r="H362" s="369" t="s">
        <v>3993</v>
      </c>
    </row>
    <row r="363" spans="1:8" s="288" customFormat="1" ht="49.5">
      <c r="A363" s="287">
        <v>357</v>
      </c>
      <c r="B363" s="275" t="s">
        <v>3994</v>
      </c>
      <c r="C363" s="705" t="s">
        <v>5085</v>
      </c>
      <c r="D363" s="418" t="str">
        <f t="shared" si="6"/>
        <v>UBND Phường Tân Hưng</v>
      </c>
      <c r="E363" s="287" t="s">
        <v>3995</v>
      </c>
      <c r="F363" s="287" t="s">
        <v>3996</v>
      </c>
      <c r="G363" s="415">
        <v>1052</v>
      </c>
      <c r="H363" s="369" t="s">
        <v>3997</v>
      </c>
    </row>
    <row r="364" spans="1:8" s="288" customFormat="1">
      <c r="A364" s="287">
        <v>358</v>
      </c>
      <c r="B364" s="275" t="s">
        <v>3998</v>
      </c>
      <c r="C364" s="705" t="s">
        <v>5085</v>
      </c>
      <c r="D364" s="418" t="str">
        <f t="shared" si="6"/>
        <v>UBND Phường Tân Hưng</v>
      </c>
      <c r="E364" s="287" t="s">
        <v>3369</v>
      </c>
      <c r="F364" s="287" t="s">
        <v>661</v>
      </c>
      <c r="G364" s="415">
        <v>360</v>
      </c>
      <c r="H364" s="369" t="s">
        <v>3999</v>
      </c>
    </row>
    <row r="365" spans="1:8" s="288" customFormat="1">
      <c r="A365" s="287">
        <v>359</v>
      </c>
      <c r="B365" s="275" t="s">
        <v>4000</v>
      </c>
      <c r="C365" s="705" t="s">
        <v>5085</v>
      </c>
      <c r="D365" s="418" t="str">
        <f t="shared" si="6"/>
        <v>UBND Phường Tân Hưng</v>
      </c>
      <c r="E365" s="287" t="s">
        <v>4001</v>
      </c>
      <c r="F365" s="287" t="s">
        <v>4002</v>
      </c>
      <c r="G365" s="415">
        <v>1180</v>
      </c>
      <c r="H365" s="369" t="s">
        <v>4003</v>
      </c>
    </row>
    <row r="366" spans="1:8" s="288" customFormat="1" ht="33">
      <c r="A366" s="287">
        <v>360</v>
      </c>
      <c r="B366" s="275" t="s">
        <v>4004</v>
      </c>
      <c r="C366" s="705" t="s">
        <v>5085</v>
      </c>
      <c r="D366" s="418" t="str">
        <f t="shared" si="6"/>
        <v>UBND Phường Tân Hưng</v>
      </c>
      <c r="E366" s="287" t="s">
        <v>4000</v>
      </c>
      <c r="F366" s="287" t="s">
        <v>4005</v>
      </c>
      <c r="G366" s="415">
        <v>347</v>
      </c>
      <c r="H366" s="369" t="s">
        <v>4006</v>
      </c>
    </row>
    <row r="367" spans="1:8" s="288" customFormat="1" ht="33">
      <c r="A367" s="287">
        <v>361</v>
      </c>
      <c r="B367" s="275" t="s">
        <v>4007</v>
      </c>
      <c r="C367" s="705" t="s">
        <v>5085</v>
      </c>
      <c r="D367" s="418" t="str">
        <f t="shared" si="6"/>
        <v>UBND Phường Tân Hưng</v>
      </c>
      <c r="E367" s="287" t="s">
        <v>4008</v>
      </c>
      <c r="F367" s="287" t="s">
        <v>4009</v>
      </c>
      <c r="G367" s="415">
        <v>1202</v>
      </c>
      <c r="H367" s="369" t="s">
        <v>4010</v>
      </c>
    </row>
    <row r="368" spans="1:8" s="288" customFormat="1" ht="33">
      <c r="A368" s="287">
        <v>362</v>
      </c>
      <c r="B368" s="275" t="s">
        <v>4011</v>
      </c>
      <c r="C368" s="705" t="s">
        <v>5085</v>
      </c>
      <c r="D368" s="418" t="str">
        <f t="shared" si="6"/>
        <v>UBND Phường Tân Hưng</v>
      </c>
      <c r="E368" s="287" t="s">
        <v>4012</v>
      </c>
      <c r="F368" s="287" t="s">
        <v>4013</v>
      </c>
      <c r="G368" s="415">
        <v>166</v>
      </c>
      <c r="H368" s="369" t="s">
        <v>4014</v>
      </c>
    </row>
    <row r="369" spans="1:8" s="288" customFormat="1" ht="33">
      <c r="A369" s="287">
        <v>363</v>
      </c>
      <c r="B369" s="275" t="s">
        <v>4015</v>
      </c>
      <c r="C369" s="705" t="s">
        <v>5085</v>
      </c>
      <c r="D369" s="418" t="str">
        <f t="shared" si="6"/>
        <v>UBND Phường Tân Hưng</v>
      </c>
      <c r="E369" s="287" t="s">
        <v>4016</v>
      </c>
      <c r="F369" s="287" t="s">
        <v>4017</v>
      </c>
      <c r="G369" s="415">
        <v>1151</v>
      </c>
      <c r="H369" s="369" t="s">
        <v>4018</v>
      </c>
    </row>
    <row r="370" spans="1:8" s="288" customFormat="1" ht="33">
      <c r="A370" s="287">
        <v>364</v>
      </c>
      <c r="B370" s="275" t="s">
        <v>4019</v>
      </c>
      <c r="C370" s="705" t="s">
        <v>5085</v>
      </c>
      <c r="D370" s="418" t="str">
        <f t="shared" si="6"/>
        <v>UBND Phường Tân Hưng</v>
      </c>
      <c r="E370" s="287" t="s">
        <v>4015</v>
      </c>
      <c r="F370" s="287" t="s">
        <v>4020</v>
      </c>
      <c r="G370" s="415">
        <v>360</v>
      </c>
      <c r="H370" s="369" t="s">
        <v>4021</v>
      </c>
    </row>
    <row r="371" spans="1:8" s="288" customFormat="1" ht="33">
      <c r="A371" s="287">
        <v>365</v>
      </c>
      <c r="B371" s="275" t="s">
        <v>4022</v>
      </c>
      <c r="C371" s="705" t="s">
        <v>5085</v>
      </c>
      <c r="D371" s="418" t="str">
        <f t="shared" si="6"/>
        <v>UBND Phường Tân Hưng</v>
      </c>
      <c r="E371" s="287" t="s">
        <v>4023</v>
      </c>
      <c r="F371" s="287" t="s">
        <v>4024</v>
      </c>
      <c r="G371" s="415">
        <v>446</v>
      </c>
      <c r="H371" s="369" t="s">
        <v>4025</v>
      </c>
    </row>
    <row r="372" spans="1:8" s="288" customFormat="1" ht="33">
      <c r="A372" s="287">
        <v>366</v>
      </c>
      <c r="B372" s="275" t="s">
        <v>4026</v>
      </c>
      <c r="C372" s="705" t="s">
        <v>5085</v>
      </c>
      <c r="D372" s="418" t="str">
        <f t="shared" si="6"/>
        <v>UBND Phường Tân Hưng</v>
      </c>
      <c r="E372" s="287" t="s">
        <v>4027</v>
      </c>
      <c r="F372" s="287" t="s">
        <v>4028</v>
      </c>
      <c r="G372" s="415">
        <v>242</v>
      </c>
      <c r="H372" s="369" t="s">
        <v>4029</v>
      </c>
    </row>
    <row r="373" spans="1:8" s="288" customFormat="1" ht="33">
      <c r="A373" s="287">
        <v>367</v>
      </c>
      <c r="B373" s="275" t="s">
        <v>663</v>
      </c>
      <c r="C373" s="705" t="s">
        <v>5085</v>
      </c>
      <c r="D373" s="418" t="str">
        <f t="shared" si="6"/>
        <v>UBND Phường Tân Hưng</v>
      </c>
      <c r="E373" s="287" t="s">
        <v>4080</v>
      </c>
      <c r="F373" s="287" t="s">
        <v>4081</v>
      </c>
      <c r="G373" s="415">
        <v>1408</v>
      </c>
      <c r="H373" s="369" t="s">
        <v>4082</v>
      </c>
    </row>
    <row r="374" spans="1:8" s="288" customFormat="1" ht="33">
      <c r="A374" s="287">
        <v>368</v>
      </c>
      <c r="B374" s="275" t="s">
        <v>4083</v>
      </c>
      <c r="C374" s="705" t="s">
        <v>5085</v>
      </c>
      <c r="D374" s="418" t="str">
        <f t="shared" si="6"/>
        <v>UBND Phường Tân Hưng</v>
      </c>
      <c r="E374" s="287" t="s">
        <v>4084</v>
      </c>
      <c r="F374" s="287" t="s">
        <v>4085</v>
      </c>
      <c r="G374" s="415">
        <v>211</v>
      </c>
      <c r="H374" s="369" t="s">
        <v>4086</v>
      </c>
    </row>
    <row r="375" spans="1:8" s="288" customFormat="1" ht="33">
      <c r="A375" s="287">
        <v>369</v>
      </c>
      <c r="B375" s="275" t="s">
        <v>4087</v>
      </c>
      <c r="C375" s="705" t="s">
        <v>5085</v>
      </c>
      <c r="D375" s="418" t="str">
        <f t="shared" si="6"/>
        <v>UBND Phường Tân Hưng</v>
      </c>
      <c r="E375" s="287" t="s">
        <v>4088</v>
      </c>
      <c r="F375" s="287" t="s">
        <v>4089</v>
      </c>
      <c r="G375" s="415">
        <v>195</v>
      </c>
      <c r="H375" s="369" t="s">
        <v>4090</v>
      </c>
    </row>
    <row r="376" spans="1:8" s="288" customFormat="1">
      <c r="A376" s="287">
        <v>370</v>
      </c>
      <c r="B376" s="275" t="s">
        <v>4091</v>
      </c>
      <c r="C376" s="705" t="s">
        <v>5085</v>
      </c>
      <c r="D376" s="418" t="str">
        <f t="shared" si="6"/>
        <v>UBND Phường Tân Hưng</v>
      </c>
      <c r="E376" s="287" t="s">
        <v>4081</v>
      </c>
      <c r="F376" s="287" t="s">
        <v>4092</v>
      </c>
      <c r="G376" s="415">
        <v>188</v>
      </c>
      <c r="H376" s="369" t="s">
        <v>4093</v>
      </c>
    </row>
    <row r="377" spans="1:8" s="288" customFormat="1" ht="33">
      <c r="A377" s="287">
        <v>371</v>
      </c>
      <c r="B377" s="275" t="s">
        <v>4094</v>
      </c>
      <c r="C377" s="705" t="s">
        <v>5085</v>
      </c>
      <c r="D377" s="418" t="str">
        <f t="shared" si="6"/>
        <v>UBND Phường Tân Hưng</v>
      </c>
      <c r="E377" s="287" t="s">
        <v>4095</v>
      </c>
      <c r="F377" s="287" t="s">
        <v>4096</v>
      </c>
      <c r="G377" s="415">
        <v>134</v>
      </c>
      <c r="H377" s="369" t="s">
        <v>4097</v>
      </c>
    </row>
    <row r="378" spans="1:8" s="288" customFormat="1" ht="33">
      <c r="A378" s="287">
        <v>372</v>
      </c>
      <c r="B378" s="275" t="s">
        <v>4098</v>
      </c>
      <c r="C378" s="705" t="s">
        <v>5085</v>
      </c>
      <c r="D378" s="418" t="str">
        <f t="shared" si="6"/>
        <v>UBND Phường Tân Hưng</v>
      </c>
      <c r="E378" s="287" t="s">
        <v>4099</v>
      </c>
      <c r="F378" s="287" t="s">
        <v>4100</v>
      </c>
      <c r="G378" s="415">
        <v>67</v>
      </c>
      <c r="H378" s="369" t="s">
        <v>4101</v>
      </c>
    </row>
    <row r="379" spans="1:8" s="288" customFormat="1">
      <c r="A379" s="287">
        <v>373</v>
      </c>
      <c r="B379" s="275" t="s">
        <v>4102</v>
      </c>
      <c r="C379" s="705" t="s">
        <v>5085</v>
      </c>
      <c r="D379" s="418" t="str">
        <f t="shared" si="6"/>
        <v>UBND Phường Tân Hưng</v>
      </c>
      <c r="E379" s="287" t="s">
        <v>4103</v>
      </c>
      <c r="F379" s="287" t="s">
        <v>4104</v>
      </c>
      <c r="G379" s="415">
        <v>113</v>
      </c>
      <c r="H379" s="369" t="s">
        <v>4105</v>
      </c>
    </row>
    <row r="380" spans="1:8" s="288" customFormat="1">
      <c r="A380" s="287">
        <v>374</v>
      </c>
      <c r="B380" s="275" t="s">
        <v>4106</v>
      </c>
      <c r="C380" s="705" t="s">
        <v>5085</v>
      </c>
      <c r="D380" s="418" t="str">
        <f t="shared" si="6"/>
        <v>UBND Phường Tân Hưng</v>
      </c>
      <c r="E380" s="287" t="s">
        <v>4107</v>
      </c>
      <c r="F380" s="287" t="s">
        <v>4108</v>
      </c>
      <c r="G380" s="415">
        <v>74</v>
      </c>
      <c r="H380" s="369" t="s">
        <v>154</v>
      </c>
    </row>
    <row r="381" spans="1:8" s="288" customFormat="1" ht="33">
      <c r="A381" s="287">
        <v>375</v>
      </c>
      <c r="B381" s="275" t="s">
        <v>4109</v>
      </c>
      <c r="C381" s="705" t="s">
        <v>5085</v>
      </c>
      <c r="D381" s="418" t="str">
        <f t="shared" si="6"/>
        <v>UBND Phường Tân Hưng</v>
      </c>
      <c r="E381" s="287" t="s">
        <v>3979</v>
      </c>
      <c r="F381" s="287" t="s">
        <v>4110</v>
      </c>
      <c r="G381" s="415">
        <v>57</v>
      </c>
      <c r="H381" s="369" t="s">
        <v>4111</v>
      </c>
    </row>
    <row r="382" spans="1:8" s="288" customFormat="1" ht="49.5">
      <c r="A382" s="287">
        <v>376</v>
      </c>
      <c r="B382" s="275" t="s">
        <v>4112</v>
      </c>
      <c r="C382" s="705" t="s">
        <v>5085</v>
      </c>
      <c r="D382" s="418" t="str">
        <f t="shared" si="6"/>
        <v>UBND Phường Tân Hưng</v>
      </c>
      <c r="E382" s="287" t="s">
        <v>665</v>
      </c>
      <c r="F382" s="287" t="s">
        <v>4113</v>
      </c>
      <c r="G382" s="415">
        <v>88</v>
      </c>
      <c r="H382" s="369" t="s">
        <v>4114</v>
      </c>
    </row>
    <row r="383" spans="1:8" s="288" customFormat="1">
      <c r="A383" s="287">
        <v>377</v>
      </c>
      <c r="B383" s="275" t="s">
        <v>3891</v>
      </c>
      <c r="C383" s="705" t="s">
        <v>5085</v>
      </c>
      <c r="D383" s="418" t="str">
        <f t="shared" si="6"/>
        <v>UBND Phường Tân Hưng</v>
      </c>
      <c r="E383" s="287" t="s">
        <v>665</v>
      </c>
      <c r="F383" s="287" t="s">
        <v>4115</v>
      </c>
      <c r="G383" s="415">
        <v>777</v>
      </c>
      <c r="H383" s="369" t="s">
        <v>4116</v>
      </c>
    </row>
    <row r="384" spans="1:8" s="288" customFormat="1">
      <c r="A384" s="287">
        <v>378</v>
      </c>
      <c r="B384" s="275" t="s">
        <v>4117</v>
      </c>
      <c r="C384" s="705" t="s">
        <v>5085</v>
      </c>
      <c r="D384" s="418" t="str">
        <f t="shared" si="6"/>
        <v>UBND Phường Tân Hưng</v>
      </c>
      <c r="E384" s="287" t="s">
        <v>4118</v>
      </c>
      <c r="F384" s="287" t="s">
        <v>4119</v>
      </c>
      <c r="G384" s="415">
        <v>53</v>
      </c>
      <c r="H384" s="369" t="s">
        <v>4120</v>
      </c>
    </row>
    <row r="385" spans="1:8" s="288" customFormat="1" ht="33">
      <c r="A385" s="287">
        <v>379</v>
      </c>
      <c r="B385" s="275" t="s">
        <v>4121</v>
      </c>
      <c r="C385" s="705" t="s">
        <v>5085</v>
      </c>
      <c r="D385" s="418" t="str">
        <f t="shared" si="6"/>
        <v>UBND Phường Tân Hưng</v>
      </c>
      <c r="E385" s="287" t="s">
        <v>4122</v>
      </c>
      <c r="F385" s="287" t="s">
        <v>4123</v>
      </c>
      <c r="G385" s="415">
        <v>47.5</v>
      </c>
      <c r="H385" s="369" t="s">
        <v>4124</v>
      </c>
    </row>
    <row r="386" spans="1:8" s="288" customFormat="1" ht="33">
      <c r="A386" s="287">
        <v>380</v>
      </c>
      <c r="B386" s="275" t="s">
        <v>4125</v>
      </c>
      <c r="C386" s="705" t="s">
        <v>5085</v>
      </c>
      <c r="D386" s="418" t="str">
        <f t="shared" si="6"/>
        <v>UBND Phường Tân Hưng</v>
      </c>
      <c r="E386" s="287" t="s">
        <v>4126</v>
      </c>
      <c r="F386" s="287" t="s">
        <v>4127</v>
      </c>
      <c r="G386" s="415">
        <v>42.5</v>
      </c>
      <c r="H386" s="369" t="s">
        <v>4128</v>
      </c>
    </row>
    <row r="387" spans="1:8" s="288" customFormat="1">
      <c r="A387" s="287">
        <v>381</v>
      </c>
      <c r="B387" s="275" t="s">
        <v>4065</v>
      </c>
      <c r="C387" s="705" t="s">
        <v>5087</v>
      </c>
      <c r="D387" s="418" t="str">
        <f t="shared" si="6"/>
        <v>UBND Phường Tân Mỹ</v>
      </c>
      <c r="E387" s="287" t="s">
        <v>686</v>
      </c>
      <c r="F387" s="287" t="s">
        <v>661</v>
      </c>
      <c r="G387" s="415">
        <v>2321</v>
      </c>
      <c r="H387" s="369" t="s">
        <v>522</v>
      </c>
    </row>
    <row r="388" spans="1:8" s="288" customFormat="1" ht="33">
      <c r="A388" s="287">
        <v>382</v>
      </c>
      <c r="B388" s="275" t="s">
        <v>4069</v>
      </c>
      <c r="C388" s="705" t="s">
        <v>5087</v>
      </c>
      <c r="D388" s="418" t="str">
        <f t="shared" si="6"/>
        <v>UBND Phường Tân Mỹ</v>
      </c>
      <c r="E388" s="287" t="s">
        <v>4070</v>
      </c>
      <c r="F388" s="287" t="s">
        <v>4071</v>
      </c>
      <c r="G388" s="415">
        <v>136</v>
      </c>
      <c r="H388" s="369" t="s">
        <v>4072</v>
      </c>
    </row>
    <row r="389" spans="1:8" s="288" customFormat="1" ht="33">
      <c r="A389" s="287">
        <v>383</v>
      </c>
      <c r="B389" s="275" t="s">
        <v>4073</v>
      </c>
      <c r="C389" s="705" t="s">
        <v>5087</v>
      </c>
      <c r="D389" s="418" t="str">
        <f t="shared" si="6"/>
        <v>UBND Phường Tân Mỹ</v>
      </c>
      <c r="E389" s="287" t="s">
        <v>3365</v>
      </c>
      <c r="F389" s="287" t="s">
        <v>4074</v>
      </c>
      <c r="G389" s="415">
        <v>16</v>
      </c>
      <c r="H389" s="369" t="s">
        <v>4075</v>
      </c>
    </row>
    <row r="390" spans="1:8" s="288" customFormat="1" ht="33">
      <c r="A390" s="287">
        <v>384</v>
      </c>
      <c r="B390" s="275" t="s">
        <v>4076</v>
      </c>
      <c r="C390" s="705" t="s">
        <v>5087</v>
      </c>
      <c r="D390" s="418" t="str">
        <f t="shared" si="6"/>
        <v>UBND Phường Tân Mỹ</v>
      </c>
      <c r="E390" s="287" t="s">
        <v>4077</v>
      </c>
      <c r="F390" s="287" t="s">
        <v>4078</v>
      </c>
      <c r="G390" s="415">
        <v>55</v>
      </c>
      <c r="H390" s="369" t="s">
        <v>4079</v>
      </c>
    </row>
    <row r="391" spans="1:8" s="288" customFormat="1" ht="33">
      <c r="A391" s="287">
        <v>385</v>
      </c>
      <c r="B391" s="275" t="s">
        <v>679</v>
      </c>
      <c r="C391" s="705" t="s">
        <v>5087</v>
      </c>
      <c r="D391" s="418" t="str">
        <f t="shared" si="6"/>
        <v>UBND Phường Tân Mỹ</v>
      </c>
      <c r="E391" s="287" t="s">
        <v>661</v>
      </c>
      <c r="F391" s="287" t="s">
        <v>4028</v>
      </c>
      <c r="G391" s="415">
        <v>2123</v>
      </c>
      <c r="H391" s="369" t="s">
        <v>4129</v>
      </c>
    </row>
    <row r="392" spans="1:8" s="288" customFormat="1">
      <c r="A392" s="287">
        <v>386</v>
      </c>
      <c r="B392" s="275" t="s">
        <v>4130</v>
      </c>
      <c r="C392" s="705" t="s">
        <v>5087</v>
      </c>
      <c r="D392" s="418" t="str">
        <f t="shared" si="6"/>
        <v>UBND Phường Tân Mỹ</v>
      </c>
      <c r="E392" s="287" t="s">
        <v>3365</v>
      </c>
      <c r="F392" s="287" t="s">
        <v>4131</v>
      </c>
      <c r="G392" s="415">
        <v>1489</v>
      </c>
      <c r="H392" s="369" t="s">
        <v>4132</v>
      </c>
    </row>
    <row r="393" spans="1:8" s="288" customFormat="1" ht="33">
      <c r="A393" s="287">
        <v>387</v>
      </c>
      <c r="B393" s="275" t="s">
        <v>4133</v>
      </c>
      <c r="C393" s="705" t="s">
        <v>5087</v>
      </c>
      <c r="D393" s="418" t="str">
        <f t="shared" si="6"/>
        <v>UBND Phường Tân Mỹ</v>
      </c>
      <c r="E393" s="287" t="s">
        <v>667</v>
      </c>
      <c r="F393" s="287" t="s">
        <v>4134</v>
      </c>
      <c r="G393" s="415">
        <v>292</v>
      </c>
      <c r="H393" s="369" t="s">
        <v>4135</v>
      </c>
    </row>
    <row r="394" spans="1:8" s="288" customFormat="1" ht="33">
      <c r="A394" s="287">
        <v>388</v>
      </c>
      <c r="B394" s="275" t="s">
        <v>4136</v>
      </c>
      <c r="C394" s="705" t="s">
        <v>5087</v>
      </c>
      <c r="D394" s="418" t="str">
        <f t="shared" si="6"/>
        <v>UBND Phường Tân Mỹ</v>
      </c>
      <c r="E394" s="287" t="s">
        <v>4133</v>
      </c>
      <c r="F394" s="287" t="s">
        <v>4137</v>
      </c>
      <c r="G394" s="415">
        <v>215</v>
      </c>
      <c r="H394" s="369" t="s">
        <v>4138</v>
      </c>
    </row>
    <row r="395" spans="1:8" s="288" customFormat="1" ht="33">
      <c r="A395" s="287">
        <v>389</v>
      </c>
      <c r="B395" s="275" t="s">
        <v>4139</v>
      </c>
      <c r="C395" s="705" t="s">
        <v>5087</v>
      </c>
      <c r="D395" s="418" t="str">
        <f t="shared" si="6"/>
        <v>UBND Phường Tân Mỹ</v>
      </c>
      <c r="E395" s="287" t="s">
        <v>4140</v>
      </c>
      <c r="F395" s="287" t="s">
        <v>4141</v>
      </c>
      <c r="G395" s="415">
        <v>179</v>
      </c>
      <c r="H395" s="369" t="s">
        <v>4142</v>
      </c>
    </row>
    <row r="396" spans="1:8" s="288" customFormat="1" ht="33">
      <c r="A396" s="287">
        <v>390</v>
      </c>
      <c r="B396" s="275" t="s">
        <v>4143</v>
      </c>
      <c r="C396" s="705" t="s">
        <v>5087</v>
      </c>
      <c r="D396" s="418" t="str">
        <f t="shared" si="6"/>
        <v>UBND Phường Tân Mỹ</v>
      </c>
      <c r="E396" s="287" t="s">
        <v>4144</v>
      </c>
      <c r="F396" s="287" t="s">
        <v>4145</v>
      </c>
      <c r="G396" s="415">
        <v>105</v>
      </c>
      <c r="H396" s="369" t="s">
        <v>4146</v>
      </c>
    </row>
    <row r="397" spans="1:8" s="288" customFormat="1" ht="33">
      <c r="A397" s="287">
        <v>391</v>
      </c>
      <c r="B397" s="275" t="s">
        <v>4147</v>
      </c>
      <c r="C397" s="705" t="s">
        <v>5087</v>
      </c>
      <c r="D397" s="418" t="str">
        <f t="shared" ref="D397:D455" si="7">"UBND "&amp;C397</f>
        <v>UBND Phường Tân Mỹ</v>
      </c>
      <c r="E397" s="287" t="s">
        <v>4148</v>
      </c>
      <c r="F397" s="287" t="s">
        <v>4149</v>
      </c>
      <c r="G397" s="415">
        <v>23</v>
      </c>
      <c r="H397" s="369" t="s">
        <v>4150</v>
      </c>
    </row>
    <row r="398" spans="1:8" s="288" customFormat="1" ht="33">
      <c r="A398" s="287">
        <v>392</v>
      </c>
      <c r="B398" s="275" t="s">
        <v>4151</v>
      </c>
      <c r="C398" s="705" t="s">
        <v>5087</v>
      </c>
      <c r="D398" s="418" t="str">
        <f t="shared" si="7"/>
        <v>UBND Phường Tân Mỹ</v>
      </c>
      <c r="E398" s="287" t="s">
        <v>4152</v>
      </c>
      <c r="F398" s="287" t="s">
        <v>4153</v>
      </c>
      <c r="G398" s="415">
        <v>17</v>
      </c>
      <c r="H398" s="369" t="s">
        <v>4154</v>
      </c>
    </row>
    <row r="399" spans="1:8" s="288" customFormat="1" ht="33">
      <c r="A399" s="287">
        <v>393</v>
      </c>
      <c r="B399" s="275" t="s">
        <v>4155</v>
      </c>
      <c r="C399" s="705" t="s">
        <v>5087</v>
      </c>
      <c r="D399" s="418" t="str">
        <f t="shared" si="7"/>
        <v>UBND Phường Tân Mỹ</v>
      </c>
      <c r="E399" s="287" t="s">
        <v>4156</v>
      </c>
      <c r="F399" s="287" t="s">
        <v>4157</v>
      </c>
      <c r="G399" s="415">
        <v>65</v>
      </c>
      <c r="H399" s="369" t="s">
        <v>202</v>
      </c>
    </row>
    <row r="400" spans="1:8" s="288" customFormat="1" ht="33">
      <c r="A400" s="287">
        <v>394</v>
      </c>
      <c r="B400" s="275" t="s">
        <v>4158</v>
      </c>
      <c r="C400" s="705" t="s">
        <v>5087</v>
      </c>
      <c r="D400" s="418" t="str">
        <f t="shared" si="7"/>
        <v>UBND Phường Tân Mỹ</v>
      </c>
      <c r="E400" s="287" t="s">
        <v>667</v>
      </c>
      <c r="F400" s="287" t="s">
        <v>4159</v>
      </c>
      <c r="G400" s="415">
        <v>36</v>
      </c>
      <c r="H400" s="369" t="s">
        <v>4160</v>
      </c>
    </row>
    <row r="401" spans="1:8" s="288" customFormat="1" ht="33">
      <c r="A401" s="287">
        <v>395</v>
      </c>
      <c r="B401" s="275" t="s">
        <v>4161</v>
      </c>
      <c r="C401" s="705" t="s">
        <v>5087</v>
      </c>
      <c r="D401" s="418" t="str">
        <f t="shared" si="7"/>
        <v>UBND Phường Tân Mỹ</v>
      </c>
      <c r="E401" s="287" t="s">
        <v>667</v>
      </c>
      <c r="F401" s="287" t="s">
        <v>4162</v>
      </c>
      <c r="G401" s="415">
        <v>44</v>
      </c>
      <c r="H401" s="369" t="s">
        <v>4163</v>
      </c>
    </row>
    <row r="402" spans="1:8" s="288" customFormat="1" ht="33">
      <c r="A402" s="287">
        <v>396</v>
      </c>
      <c r="B402" s="275" t="s">
        <v>4164</v>
      </c>
      <c r="C402" s="705" t="s">
        <v>5087</v>
      </c>
      <c r="D402" s="418" t="str">
        <f t="shared" si="7"/>
        <v>UBND Phường Tân Mỹ</v>
      </c>
      <c r="E402" s="287" t="s">
        <v>4165</v>
      </c>
      <c r="F402" s="287" t="s">
        <v>4166</v>
      </c>
      <c r="G402" s="415">
        <v>282</v>
      </c>
      <c r="H402" s="369" t="s">
        <v>4167</v>
      </c>
    </row>
    <row r="403" spans="1:8" s="288" customFormat="1">
      <c r="A403" s="287">
        <v>397</v>
      </c>
      <c r="B403" s="275" t="s">
        <v>4274</v>
      </c>
      <c r="C403" s="705" t="s">
        <v>5087</v>
      </c>
      <c r="D403" s="418" t="str">
        <f t="shared" si="7"/>
        <v>UBND Phường Tân Mỹ</v>
      </c>
      <c r="E403" s="287" t="s">
        <v>4131</v>
      </c>
      <c r="F403" s="287" t="s">
        <v>669</v>
      </c>
      <c r="G403" s="415">
        <v>1230</v>
      </c>
      <c r="H403" s="369" t="s">
        <v>4275</v>
      </c>
    </row>
    <row r="404" spans="1:8" s="288" customFormat="1">
      <c r="A404" s="287">
        <v>398</v>
      </c>
      <c r="B404" s="275" t="s">
        <v>4276</v>
      </c>
      <c r="C404" s="705" t="s">
        <v>5087</v>
      </c>
      <c r="D404" s="418" t="str">
        <f t="shared" si="7"/>
        <v>UBND Phường Tân Mỹ</v>
      </c>
      <c r="E404" s="287" t="s">
        <v>4277</v>
      </c>
      <c r="F404" s="287" t="s">
        <v>4278</v>
      </c>
      <c r="G404" s="415">
        <v>254</v>
      </c>
      <c r="H404" s="369" t="s">
        <v>4279</v>
      </c>
    </row>
    <row r="405" spans="1:8" s="288" customFormat="1" ht="33">
      <c r="A405" s="287">
        <v>399</v>
      </c>
      <c r="B405" s="275" t="s">
        <v>308</v>
      </c>
      <c r="C405" s="705" t="s">
        <v>5087</v>
      </c>
      <c r="D405" s="418" t="str">
        <f t="shared" si="7"/>
        <v>UBND Phường Tân Mỹ</v>
      </c>
      <c r="E405" s="287" t="s">
        <v>4290</v>
      </c>
      <c r="F405" s="287" t="s">
        <v>4291</v>
      </c>
      <c r="G405" s="415">
        <v>166</v>
      </c>
      <c r="H405" s="369" t="s">
        <v>4292</v>
      </c>
    </row>
    <row r="406" spans="1:8" s="288" customFormat="1">
      <c r="A406" s="287">
        <v>400</v>
      </c>
      <c r="B406" s="275" t="s">
        <v>304</v>
      </c>
      <c r="C406" s="705" t="s">
        <v>5087</v>
      </c>
      <c r="D406" s="418" t="str">
        <f t="shared" si="7"/>
        <v>UBND Phường Tân Mỹ</v>
      </c>
      <c r="E406" s="287" t="s">
        <v>4293</v>
      </c>
      <c r="F406" s="287" t="s">
        <v>4294</v>
      </c>
      <c r="G406" s="415">
        <v>180</v>
      </c>
      <c r="H406" s="369" t="s">
        <v>4295</v>
      </c>
    </row>
    <row r="407" spans="1:8" s="288" customFormat="1">
      <c r="A407" s="287">
        <v>401</v>
      </c>
      <c r="B407" s="275" t="s">
        <v>4296</v>
      </c>
      <c r="C407" s="705" t="s">
        <v>5087</v>
      </c>
      <c r="D407" s="418" t="str">
        <f t="shared" si="7"/>
        <v>UBND Phường Tân Mỹ</v>
      </c>
      <c r="E407" s="287" t="s">
        <v>4297</v>
      </c>
      <c r="F407" s="287" t="s">
        <v>4298</v>
      </c>
      <c r="G407" s="415">
        <v>20</v>
      </c>
      <c r="H407" s="369" t="s">
        <v>178</v>
      </c>
    </row>
    <row r="408" spans="1:8" s="288" customFormat="1">
      <c r="A408" s="287">
        <v>402</v>
      </c>
      <c r="B408" s="275" t="s">
        <v>303</v>
      </c>
      <c r="C408" s="705" t="s">
        <v>5087</v>
      </c>
      <c r="D408" s="418" t="str">
        <f t="shared" si="7"/>
        <v>UBND Phường Tân Mỹ</v>
      </c>
      <c r="E408" s="287" t="s">
        <v>669</v>
      </c>
      <c r="F408" s="287" t="s">
        <v>4299</v>
      </c>
      <c r="G408" s="415">
        <v>212</v>
      </c>
      <c r="H408" s="369" t="s">
        <v>4300</v>
      </c>
    </row>
    <row r="409" spans="1:8" s="288" customFormat="1" ht="33">
      <c r="A409" s="287">
        <v>403</v>
      </c>
      <c r="B409" s="275" t="s">
        <v>4312</v>
      </c>
      <c r="C409" s="705" t="s">
        <v>5087</v>
      </c>
      <c r="D409" s="418" t="str">
        <f t="shared" si="7"/>
        <v>UBND Phường Tân Mỹ</v>
      </c>
      <c r="E409" s="287" t="s">
        <v>667</v>
      </c>
      <c r="F409" s="287" t="s">
        <v>4313</v>
      </c>
      <c r="G409" s="415">
        <v>210</v>
      </c>
      <c r="H409" s="369" t="s">
        <v>4314</v>
      </c>
    </row>
    <row r="410" spans="1:8" s="288" customFormat="1" ht="33">
      <c r="A410" s="287">
        <v>404</v>
      </c>
      <c r="B410" s="275" t="s">
        <v>4315</v>
      </c>
      <c r="C410" s="705" t="s">
        <v>5087</v>
      </c>
      <c r="D410" s="418" t="str">
        <f t="shared" si="7"/>
        <v>UBND Phường Tân Mỹ</v>
      </c>
      <c r="E410" s="287" t="s">
        <v>669</v>
      </c>
      <c r="F410" s="287" t="s">
        <v>4316</v>
      </c>
      <c r="G410" s="415">
        <v>353</v>
      </c>
      <c r="H410" s="369" t="s">
        <v>4317</v>
      </c>
    </row>
    <row r="411" spans="1:8" s="288" customFormat="1">
      <c r="A411" s="287">
        <v>405</v>
      </c>
      <c r="B411" s="275" t="s">
        <v>4318</v>
      </c>
      <c r="C411" s="705" t="s">
        <v>5087</v>
      </c>
      <c r="D411" s="418" t="str">
        <f t="shared" si="7"/>
        <v>UBND Phường Tân Mỹ</v>
      </c>
      <c r="E411" s="287" t="s">
        <v>669</v>
      </c>
      <c r="F411" s="287" t="s">
        <v>4319</v>
      </c>
      <c r="G411" s="415">
        <v>105</v>
      </c>
      <c r="H411" s="369" t="s">
        <v>4320</v>
      </c>
    </row>
    <row r="412" spans="1:8" s="288" customFormat="1">
      <c r="A412" s="287">
        <v>406</v>
      </c>
      <c r="B412" s="275" t="s">
        <v>466</v>
      </c>
      <c r="C412" s="705" t="s">
        <v>5109</v>
      </c>
      <c r="D412" s="418" t="str">
        <f t="shared" si="7"/>
        <v>UBND Phường Tân Sơn</v>
      </c>
      <c r="E412" s="287" t="s">
        <v>467</v>
      </c>
      <c r="F412" s="287" t="s">
        <v>597</v>
      </c>
      <c r="G412" s="415">
        <v>1236</v>
      </c>
      <c r="H412" s="287">
        <v>6.7</v>
      </c>
    </row>
    <row r="413" spans="1:8" s="288" customFormat="1">
      <c r="A413" s="287">
        <v>407</v>
      </c>
      <c r="B413" s="275" t="s">
        <v>468</v>
      </c>
      <c r="C413" s="705" t="s">
        <v>5109</v>
      </c>
      <c r="D413" s="418" t="str">
        <f t="shared" si="7"/>
        <v>UBND Phường Tân Sơn</v>
      </c>
      <c r="E413" s="287" t="s">
        <v>374</v>
      </c>
      <c r="F413" s="287" t="s">
        <v>466</v>
      </c>
      <c r="G413" s="415">
        <v>1150</v>
      </c>
      <c r="H413" s="287">
        <v>4.2</v>
      </c>
    </row>
    <row r="414" spans="1:8" s="288" customFormat="1" ht="33">
      <c r="A414" s="287">
        <v>408</v>
      </c>
      <c r="B414" s="275" t="s">
        <v>4536</v>
      </c>
      <c r="C414" s="705" t="s">
        <v>5108</v>
      </c>
      <c r="D414" s="418" t="str">
        <f t="shared" si="7"/>
        <v>UBND Phường Tân Sơn Hòa</v>
      </c>
      <c r="E414" s="287" t="s">
        <v>4537</v>
      </c>
      <c r="F414" s="287" t="s">
        <v>4537</v>
      </c>
      <c r="G414" s="415"/>
      <c r="H414" s="287"/>
    </row>
    <row r="415" spans="1:8" s="288" customFormat="1" ht="33">
      <c r="A415" s="287">
        <v>409</v>
      </c>
      <c r="B415" s="275" t="s">
        <v>531</v>
      </c>
      <c r="C415" s="705" t="s">
        <v>5097</v>
      </c>
      <c r="D415" s="418" t="str">
        <f t="shared" si="7"/>
        <v>UBND Phường Tân Tạo</v>
      </c>
      <c r="E415" s="287" t="s">
        <v>3556</v>
      </c>
      <c r="F415" s="287" t="s">
        <v>422</v>
      </c>
      <c r="G415" s="415">
        <v>959</v>
      </c>
      <c r="H415" s="287">
        <v>3</v>
      </c>
    </row>
    <row r="416" spans="1:8" s="288" customFormat="1" ht="33">
      <c r="A416" s="287">
        <v>410</v>
      </c>
      <c r="B416" s="275" t="s">
        <v>365</v>
      </c>
      <c r="C416" s="705" t="s">
        <v>5097</v>
      </c>
      <c r="D416" s="418" t="str">
        <f t="shared" si="7"/>
        <v>UBND Phường Tân Tạo</v>
      </c>
      <c r="E416" s="287" t="s">
        <v>1042</v>
      </c>
      <c r="F416" s="287" t="s">
        <v>1041</v>
      </c>
      <c r="G416" s="415">
        <v>1750</v>
      </c>
      <c r="H416" s="420" t="s">
        <v>1050</v>
      </c>
    </row>
    <row r="417" spans="1:8" s="288" customFormat="1" ht="33">
      <c r="A417" s="287">
        <v>411</v>
      </c>
      <c r="B417" s="275" t="s">
        <v>1046</v>
      </c>
      <c r="C417" s="705" t="s">
        <v>5097</v>
      </c>
      <c r="D417" s="418" t="str">
        <f t="shared" si="7"/>
        <v>UBND Phường Tân Tạo</v>
      </c>
      <c r="E417" s="287" t="s">
        <v>358</v>
      </c>
      <c r="F417" s="287" t="s">
        <v>1045</v>
      </c>
      <c r="G417" s="415">
        <v>2600</v>
      </c>
      <c r="H417" s="420" t="s">
        <v>215</v>
      </c>
    </row>
    <row r="418" spans="1:8" s="288" customFormat="1">
      <c r="A418" s="287">
        <v>412</v>
      </c>
      <c r="B418" s="275" t="s">
        <v>1051</v>
      </c>
      <c r="C418" s="705" t="s">
        <v>5097</v>
      </c>
      <c r="D418" s="418" t="str">
        <f t="shared" si="7"/>
        <v>UBND Phường Tân Tạo</v>
      </c>
      <c r="E418" s="287" t="s">
        <v>128</v>
      </c>
      <c r="F418" s="287" t="s">
        <v>1047</v>
      </c>
      <c r="G418" s="415">
        <v>690</v>
      </c>
      <c r="H418" s="420" t="s">
        <v>204</v>
      </c>
    </row>
    <row r="419" spans="1:8" s="288" customFormat="1" ht="33">
      <c r="A419" s="287">
        <v>413</v>
      </c>
      <c r="B419" s="275" t="s">
        <v>1057</v>
      </c>
      <c r="C419" s="705" t="s">
        <v>5097</v>
      </c>
      <c r="D419" s="418" t="str">
        <f t="shared" si="7"/>
        <v>UBND Phường Tân Tạo</v>
      </c>
      <c r="E419" s="287" t="s">
        <v>358</v>
      </c>
      <c r="F419" s="287" t="s">
        <v>1058</v>
      </c>
      <c r="G419" s="415">
        <v>80</v>
      </c>
      <c r="H419" s="420" t="s">
        <v>1059</v>
      </c>
    </row>
    <row r="420" spans="1:8" s="288" customFormat="1">
      <c r="A420" s="287">
        <v>414</v>
      </c>
      <c r="B420" s="275" t="s">
        <v>1079</v>
      </c>
      <c r="C420" s="705" t="s">
        <v>5097</v>
      </c>
      <c r="D420" s="418" t="str">
        <f t="shared" si="7"/>
        <v>UBND Phường Tân Tạo</v>
      </c>
      <c r="E420" s="287" t="s">
        <v>3348</v>
      </c>
      <c r="F420" s="287" t="s">
        <v>2806</v>
      </c>
      <c r="G420" s="415">
        <v>1000</v>
      </c>
      <c r="H420" s="287">
        <v>5</v>
      </c>
    </row>
    <row r="421" spans="1:8" s="288" customFormat="1">
      <c r="A421" s="287">
        <v>415</v>
      </c>
      <c r="B421" s="275" t="s">
        <v>4416</v>
      </c>
      <c r="C421" s="705" t="s">
        <v>5097</v>
      </c>
      <c r="D421" s="418" t="str">
        <f t="shared" si="7"/>
        <v>UBND Phường Tân Tạo</v>
      </c>
      <c r="E421" s="287" t="s">
        <v>22</v>
      </c>
      <c r="F421" s="287" t="s">
        <v>414</v>
      </c>
      <c r="G421" s="415">
        <v>1967</v>
      </c>
      <c r="H421" s="287">
        <v>3</v>
      </c>
    </row>
    <row r="422" spans="1:8" s="288" customFormat="1" ht="33">
      <c r="A422" s="287">
        <v>416</v>
      </c>
      <c r="B422" s="275" t="s">
        <v>4419</v>
      </c>
      <c r="C422" s="705" t="s">
        <v>5097</v>
      </c>
      <c r="D422" s="418" t="str">
        <f t="shared" si="7"/>
        <v>UBND Phường Tân Tạo</v>
      </c>
      <c r="E422" s="287" t="s">
        <v>4420</v>
      </c>
      <c r="F422" s="287" t="s">
        <v>407</v>
      </c>
      <c r="G422" s="415">
        <v>90</v>
      </c>
      <c r="H422" s="421" t="s">
        <v>183</v>
      </c>
    </row>
    <row r="423" spans="1:8" s="288" customFormat="1" ht="33">
      <c r="A423" s="287">
        <v>417</v>
      </c>
      <c r="B423" s="275" t="s">
        <v>4421</v>
      </c>
      <c r="C423" s="705" t="s">
        <v>5097</v>
      </c>
      <c r="D423" s="418" t="str">
        <f t="shared" si="7"/>
        <v>UBND Phường Tân Tạo</v>
      </c>
      <c r="E423" s="287" t="s">
        <v>128</v>
      </c>
      <c r="F423" s="287" t="s">
        <v>407</v>
      </c>
      <c r="G423" s="415">
        <v>80</v>
      </c>
      <c r="H423" s="421" t="s">
        <v>210</v>
      </c>
    </row>
    <row r="424" spans="1:8" s="288" customFormat="1">
      <c r="A424" s="287">
        <v>418</v>
      </c>
      <c r="B424" s="275" t="s">
        <v>4425</v>
      </c>
      <c r="C424" s="705" t="s">
        <v>5097</v>
      </c>
      <c r="D424" s="418" t="str">
        <f t="shared" si="7"/>
        <v>UBND Phường Tân Tạo</v>
      </c>
      <c r="E424" s="287" t="s">
        <v>1046</v>
      </c>
      <c r="F424" s="287" t="s">
        <v>4420</v>
      </c>
      <c r="G424" s="415">
        <v>202</v>
      </c>
      <c r="H424" s="287">
        <v>6</v>
      </c>
    </row>
    <row r="425" spans="1:8" s="288" customFormat="1">
      <c r="A425" s="287">
        <v>419</v>
      </c>
      <c r="B425" s="275" t="s">
        <v>4426</v>
      </c>
      <c r="C425" s="705" t="s">
        <v>5097</v>
      </c>
      <c r="D425" s="418" t="str">
        <f t="shared" si="7"/>
        <v>UBND Phường Tân Tạo</v>
      </c>
      <c r="E425" s="287" t="s">
        <v>1046</v>
      </c>
      <c r="F425" s="287" t="s">
        <v>4420</v>
      </c>
      <c r="G425" s="415">
        <v>590</v>
      </c>
      <c r="H425" s="287">
        <v>10</v>
      </c>
    </row>
    <row r="426" spans="1:8" s="288" customFormat="1">
      <c r="A426" s="287">
        <v>420</v>
      </c>
      <c r="B426" s="275" t="s">
        <v>4427</v>
      </c>
      <c r="C426" s="705" t="s">
        <v>5097</v>
      </c>
      <c r="D426" s="418" t="str">
        <f t="shared" si="7"/>
        <v>UBND Phường Tân Tạo</v>
      </c>
      <c r="E426" s="287" t="s">
        <v>1046</v>
      </c>
      <c r="F426" s="287" t="s">
        <v>4420</v>
      </c>
      <c r="G426" s="415">
        <v>522</v>
      </c>
      <c r="H426" s="287">
        <v>10</v>
      </c>
    </row>
    <row r="427" spans="1:8" s="288" customFormat="1">
      <c r="A427" s="287">
        <v>421</v>
      </c>
      <c r="B427" s="275" t="s">
        <v>4428</v>
      </c>
      <c r="C427" s="705" t="s">
        <v>5097</v>
      </c>
      <c r="D427" s="418" t="str">
        <f t="shared" si="7"/>
        <v>UBND Phường Tân Tạo</v>
      </c>
      <c r="E427" s="287" t="s">
        <v>128</v>
      </c>
      <c r="F427" s="287" t="s">
        <v>4429</v>
      </c>
      <c r="G427" s="415">
        <v>90</v>
      </c>
      <c r="H427" s="420" t="s">
        <v>204</v>
      </c>
    </row>
    <row r="428" spans="1:8" s="288" customFormat="1">
      <c r="A428" s="287">
        <v>422</v>
      </c>
      <c r="B428" s="275" t="s">
        <v>4430</v>
      </c>
      <c r="C428" s="705" t="s">
        <v>5097</v>
      </c>
      <c r="D428" s="418" t="str">
        <f t="shared" si="7"/>
        <v>UBND Phường Tân Tạo</v>
      </c>
      <c r="E428" s="287" t="s">
        <v>4431</v>
      </c>
      <c r="F428" s="287" t="s">
        <v>597</v>
      </c>
      <c r="G428" s="415">
        <v>140</v>
      </c>
      <c r="H428" s="420" t="s">
        <v>224</v>
      </c>
    </row>
    <row r="429" spans="1:8" s="288" customFormat="1">
      <c r="A429" s="287">
        <v>423</v>
      </c>
      <c r="B429" s="275" t="s">
        <v>4432</v>
      </c>
      <c r="C429" s="705" t="s">
        <v>5097</v>
      </c>
      <c r="D429" s="418" t="str">
        <f t="shared" si="7"/>
        <v>UBND Phường Tân Tạo</v>
      </c>
      <c r="E429" s="287" t="s">
        <v>4431</v>
      </c>
      <c r="F429" s="287" t="s">
        <v>597</v>
      </c>
      <c r="G429" s="415">
        <v>90</v>
      </c>
      <c r="H429" s="420" t="s">
        <v>986</v>
      </c>
    </row>
    <row r="430" spans="1:8" s="288" customFormat="1">
      <c r="A430" s="287">
        <v>424</v>
      </c>
      <c r="B430" s="275" t="s">
        <v>3283</v>
      </c>
      <c r="C430" s="705" t="s">
        <v>5097</v>
      </c>
      <c r="D430" s="418" t="str">
        <f t="shared" si="7"/>
        <v>UBND Phường Tân Tạo</v>
      </c>
      <c r="E430" s="287" t="s">
        <v>100</v>
      </c>
      <c r="F430" s="287" t="s">
        <v>407</v>
      </c>
      <c r="G430" s="415">
        <v>300</v>
      </c>
      <c r="H430" s="287" t="s">
        <v>156</v>
      </c>
    </row>
    <row r="431" spans="1:8" s="288" customFormat="1">
      <c r="A431" s="287">
        <v>425</v>
      </c>
      <c r="B431" s="275" t="s">
        <v>3285</v>
      </c>
      <c r="C431" s="705" t="s">
        <v>5097</v>
      </c>
      <c r="D431" s="418" t="str">
        <f t="shared" si="7"/>
        <v>UBND Phường Tân Tạo</v>
      </c>
      <c r="E431" s="287" t="s">
        <v>2635</v>
      </c>
      <c r="F431" s="287" t="s">
        <v>407</v>
      </c>
      <c r="G431" s="415">
        <v>600</v>
      </c>
      <c r="H431" s="287" t="s">
        <v>156</v>
      </c>
    </row>
    <row r="432" spans="1:8" s="288" customFormat="1" ht="33">
      <c r="A432" s="287">
        <v>426</v>
      </c>
      <c r="B432" s="275" t="s">
        <v>3286</v>
      </c>
      <c r="C432" s="705" t="s">
        <v>5097</v>
      </c>
      <c r="D432" s="418" t="str">
        <f t="shared" si="7"/>
        <v>UBND Phường Tân Tạo</v>
      </c>
      <c r="E432" s="287" t="s">
        <v>367</v>
      </c>
      <c r="F432" s="287" t="s">
        <v>407</v>
      </c>
      <c r="G432" s="415">
        <v>800</v>
      </c>
      <c r="H432" s="287" t="s">
        <v>154</v>
      </c>
    </row>
    <row r="433" spans="1:8" s="288" customFormat="1" ht="33">
      <c r="A433" s="287">
        <v>427</v>
      </c>
      <c r="B433" s="275" t="s">
        <v>4030</v>
      </c>
      <c r="C433" s="705" t="s">
        <v>5086</v>
      </c>
      <c r="D433" s="418" t="str">
        <f t="shared" si="7"/>
        <v>UBND Phường Tân Thuận</v>
      </c>
      <c r="E433" s="287" t="s">
        <v>4031</v>
      </c>
      <c r="F433" s="287" t="s">
        <v>4009</v>
      </c>
      <c r="G433" s="415">
        <v>968</v>
      </c>
      <c r="H433" s="369" t="s">
        <v>4032</v>
      </c>
    </row>
    <row r="434" spans="1:8" s="288" customFormat="1" ht="33">
      <c r="A434" s="287">
        <v>428</v>
      </c>
      <c r="B434" s="275" t="s">
        <v>4033</v>
      </c>
      <c r="C434" s="705" t="s">
        <v>5086</v>
      </c>
      <c r="D434" s="418" t="str">
        <f t="shared" si="7"/>
        <v>UBND Phường Tân Thuận</v>
      </c>
      <c r="E434" s="287" t="s">
        <v>4034</v>
      </c>
      <c r="F434" s="287" t="s">
        <v>4035</v>
      </c>
      <c r="G434" s="415">
        <v>334</v>
      </c>
      <c r="H434" s="369" t="s">
        <v>4036</v>
      </c>
    </row>
    <row r="435" spans="1:8" s="288" customFormat="1" ht="33">
      <c r="A435" s="287">
        <v>429</v>
      </c>
      <c r="B435" s="275" t="s">
        <v>4037</v>
      </c>
      <c r="C435" s="705" t="s">
        <v>5086</v>
      </c>
      <c r="D435" s="418" t="str">
        <f t="shared" si="7"/>
        <v>UBND Phường Tân Thuận</v>
      </c>
      <c r="E435" s="287" t="s">
        <v>4038</v>
      </c>
      <c r="F435" s="287" t="s">
        <v>4039</v>
      </c>
      <c r="G435" s="415">
        <v>31</v>
      </c>
      <c r="H435" s="369">
        <v>12</v>
      </c>
    </row>
    <row r="436" spans="1:8" s="288" customFormat="1" ht="33">
      <c r="A436" s="287">
        <v>430</v>
      </c>
      <c r="B436" s="275" t="s">
        <v>4040</v>
      </c>
      <c r="C436" s="705" t="s">
        <v>5086</v>
      </c>
      <c r="D436" s="418" t="str">
        <f t="shared" si="7"/>
        <v>UBND Phường Tân Thuận</v>
      </c>
      <c r="E436" s="287" t="s">
        <v>4041</v>
      </c>
      <c r="F436" s="287" t="s">
        <v>4042</v>
      </c>
      <c r="G436" s="415">
        <v>52</v>
      </c>
      <c r="H436" s="369" t="s">
        <v>4043</v>
      </c>
    </row>
    <row r="437" spans="1:8" s="288" customFormat="1" ht="49.5">
      <c r="A437" s="287">
        <v>431</v>
      </c>
      <c r="B437" s="275" t="s">
        <v>4044</v>
      </c>
      <c r="C437" s="705" t="s">
        <v>5086</v>
      </c>
      <c r="D437" s="418" t="str">
        <f t="shared" si="7"/>
        <v>UBND Phường Tân Thuận</v>
      </c>
      <c r="E437" s="287" t="s">
        <v>4045</v>
      </c>
      <c r="F437" s="287" t="s">
        <v>4046</v>
      </c>
      <c r="G437" s="415">
        <v>807</v>
      </c>
      <c r="H437" s="369" t="s">
        <v>4047</v>
      </c>
    </row>
    <row r="438" spans="1:8" s="288" customFormat="1" ht="33">
      <c r="A438" s="287">
        <v>432</v>
      </c>
      <c r="B438" s="275" t="s">
        <v>4048</v>
      </c>
      <c r="C438" s="705" t="s">
        <v>5086</v>
      </c>
      <c r="D438" s="418" t="str">
        <f t="shared" si="7"/>
        <v>UBND Phường Tân Thuận</v>
      </c>
      <c r="E438" s="287" t="s">
        <v>4049</v>
      </c>
      <c r="F438" s="287" t="s">
        <v>4050</v>
      </c>
      <c r="G438" s="415">
        <v>50</v>
      </c>
      <c r="H438" s="369" t="s">
        <v>4051</v>
      </c>
    </row>
    <row r="439" spans="1:8" s="288" customFormat="1" ht="49.5">
      <c r="A439" s="287">
        <v>433</v>
      </c>
      <c r="B439" s="275" t="s">
        <v>4052</v>
      </c>
      <c r="C439" s="705" t="s">
        <v>5086</v>
      </c>
      <c r="D439" s="418" t="str">
        <f t="shared" si="7"/>
        <v>UBND Phường Tân Thuận</v>
      </c>
      <c r="E439" s="287" t="s">
        <v>4053</v>
      </c>
      <c r="F439" s="287" t="s">
        <v>4054</v>
      </c>
      <c r="G439" s="415">
        <v>76</v>
      </c>
      <c r="H439" s="369" t="s">
        <v>4055</v>
      </c>
    </row>
    <row r="440" spans="1:8" s="288" customFormat="1" ht="33">
      <c r="A440" s="287">
        <v>434</v>
      </c>
      <c r="B440" s="275" t="s">
        <v>4056</v>
      </c>
      <c r="C440" s="705" t="s">
        <v>5086</v>
      </c>
      <c r="D440" s="418" t="str">
        <f t="shared" si="7"/>
        <v>UBND Phường Tân Thuận</v>
      </c>
      <c r="E440" s="287" t="s">
        <v>4057</v>
      </c>
      <c r="F440" s="287"/>
      <c r="G440" s="415">
        <v>184</v>
      </c>
      <c r="H440" s="369" t="s">
        <v>4058</v>
      </c>
    </row>
    <row r="441" spans="1:8" s="288" customFormat="1">
      <c r="A441" s="287">
        <v>435</v>
      </c>
      <c r="B441" s="275" t="s">
        <v>4059</v>
      </c>
      <c r="C441" s="705" t="s">
        <v>5086</v>
      </c>
      <c r="D441" s="418" t="str">
        <f t="shared" si="7"/>
        <v>UBND Phường Tân Thuận</v>
      </c>
      <c r="E441" s="287" t="s">
        <v>4060</v>
      </c>
      <c r="F441" s="287"/>
      <c r="G441" s="415">
        <v>626</v>
      </c>
      <c r="H441" s="369" t="s">
        <v>4061</v>
      </c>
    </row>
    <row r="442" spans="1:8" s="288" customFormat="1" ht="49.5">
      <c r="A442" s="287">
        <v>436</v>
      </c>
      <c r="B442" s="275" t="s">
        <v>4062</v>
      </c>
      <c r="C442" s="705" t="s">
        <v>5086</v>
      </c>
      <c r="D442" s="418" t="str">
        <f t="shared" si="7"/>
        <v>UBND Phường Tân Thuận</v>
      </c>
      <c r="E442" s="287" t="s">
        <v>4063</v>
      </c>
      <c r="F442" s="287" t="s">
        <v>686</v>
      </c>
      <c r="G442" s="415">
        <v>818</v>
      </c>
      <c r="H442" s="369" t="s">
        <v>4064</v>
      </c>
    </row>
    <row r="443" spans="1:8" s="288" customFormat="1" ht="33">
      <c r="A443" s="287">
        <v>437</v>
      </c>
      <c r="B443" s="275" t="s">
        <v>4066</v>
      </c>
      <c r="C443" s="705" t="s">
        <v>5086</v>
      </c>
      <c r="D443" s="418" t="str">
        <f t="shared" si="7"/>
        <v>UBND Phường Tân Thuận</v>
      </c>
      <c r="E443" s="287" t="s">
        <v>3365</v>
      </c>
      <c r="F443" s="287" t="s">
        <v>4067</v>
      </c>
      <c r="G443" s="415">
        <v>722</v>
      </c>
      <c r="H443" s="369" t="s">
        <v>4068</v>
      </c>
    </row>
    <row r="444" spans="1:8" s="288" customFormat="1">
      <c r="A444" s="287">
        <v>438</v>
      </c>
      <c r="B444" s="275" t="s">
        <v>649</v>
      </c>
      <c r="C444" s="705" t="s">
        <v>5086</v>
      </c>
      <c r="D444" s="418" t="str">
        <f t="shared" si="7"/>
        <v>UBND Phường Tân Thuận</v>
      </c>
      <c r="E444" s="287" t="s">
        <v>4239</v>
      </c>
      <c r="F444" s="287" t="s">
        <v>4240</v>
      </c>
      <c r="G444" s="415">
        <v>160</v>
      </c>
      <c r="H444" s="369" t="s">
        <v>4241</v>
      </c>
    </row>
    <row r="445" spans="1:8" s="288" customFormat="1" ht="33">
      <c r="A445" s="287">
        <v>439</v>
      </c>
      <c r="B445" s="275" t="s">
        <v>4242</v>
      </c>
      <c r="C445" s="705" t="s">
        <v>5086</v>
      </c>
      <c r="D445" s="418" t="str">
        <f t="shared" si="7"/>
        <v>UBND Phường Tân Thuận</v>
      </c>
      <c r="E445" s="287" t="s">
        <v>4243</v>
      </c>
      <c r="F445" s="287" t="s">
        <v>4244</v>
      </c>
      <c r="G445" s="415">
        <v>900</v>
      </c>
      <c r="H445" s="369" t="s">
        <v>4245</v>
      </c>
    </row>
    <row r="446" spans="1:8" s="288" customFormat="1" ht="33">
      <c r="A446" s="287">
        <v>440</v>
      </c>
      <c r="B446" s="275" t="s">
        <v>4246</v>
      </c>
      <c r="C446" s="705" t="s">
        <v>5086</v>
      </c>
      <c r="D446" s="418" t="str">
        <f t="shared" si="7"/>
        <v>UBND Phường Tân Thuận</v>
      </c>
      <c r="E446" s="287" t="s">
        <v>4247</v>
      </c>
      <c r="F446" s="287" t="s">
        <v>4248</v>
      </c>
      <c r="G446" s="415">
        <v>26</v>
      </c>
      <c r="H446" s="369" t="s">
        <v>4249</v>
      </c>
    </row>
    <row r="447" spans="1:8" s="288" customFormat="1" ht="33">
      <c r="A447" s="287">
        <v>441</v>
      </c>
      <c r="B447" s="275" t="s">
        <v>4250</v>
      </c>
      <c r="C447" s="705" t="s">
        <v>5086</v>
      </c>
      <c r="D447" s="418" t="str">
        <f t="shared" si="7"/>
        <v>UBND Phường Tân Thuận</v>
      </c>
      <c r="E447" s="287" t="s">
        <v>4251</v>
      </c>
      <c r="F447" s="287" t="s">
        <v>4252</v>
      </c>
      <c r="G447" s="415">
        <v>34</v>
      </c>
      <c r="H447" s="369" t="s">
        <v>4253</v>
      </c>
    </row>
    <row r="448" spans="1:8" s="288" customFormat="1" ht="33">
      <c r="A448" s="287">
        <v>442</v>
      </c>
      <c r="B448" s="275" t="s">
        <v>4254</v>
      </c>
      <c r="C448" s="705" t="s">
        <v>5086</v>
      </c>
      <c r="D448" s="418" t="str">
        <f t="shared" si="7"/>
        <v>UBND Phường Tân Thuận</v>
      </c>
      <c r="E448" s="287" t="s">
        <v>4255</v>
      </c>
      <c r="F448" s="287" t="s">
        <v>4256</v>
      </c>
      <c r="G448" s="415">
        <v>35</v>
      </c>
      <c r="H448" s="369" t="s">
        <v>4257</v>
      </c>
    </row>
    <row r="449" spans="1:8" s="288" customFormat="1" ht="33">
      <c r="A449" s="287">
        <v>443</v>
      </c>
      <c r="B449" s="275" t="s">
        <v>4258</v>
      </c>
      <c r="C449" s="705" t="s">
        <v>5086</v>
      </c>
      <c r="D449" s="418" t="str">
        <f t="shared" si="7"/>
        <v>UBND Phường Tân Thuận</v>
      </c>
      <c r="E449" s="287" t="s">
        <v>4259</v>
      </c>
      <c r="F449" s="287" t="s">
        <v>4260</v>
      </c>
      <c r="G449" s="415">
        <v>985</v>
      </c>
      <c r="H449" s="369" t="s">
        <v>4261</v>
      </c>
    </row>
    <row r="450" spans="1:8" s="288" customFormat="1" ht="33">
      <c r="A450" s="287">
        <v>444</v>
      </c>
      <c r="B450" s="275" t="s">
        <v>4262</v>
      </c>
      <c r="C450" s="705" t="s">
        <v>5086</v>
      </c>
      <c r="D450" s="418" t="str">
        <f t="shared" si="7"/>
        <v>UBND Phường Tân Thuận</v>
      </c>
      <c r="E450" s="287" t="s">
        <v>4263</v>
      </c>
      <c r="F450" s="287" t="s">
        <v>4264</v>
      </c>
      <c r="G450" s="415">
        <v>32</v>
      </c>
      <c r="H450" s="369" t="s">
        <v>4265</v>
      </c>
    </row>
    <row r="451" spans="1:8" s="288" customFormat="1" ht="33">
      <c r="A451" s="287">
        <v>445</v>
      </c>
      <c r="B451" s="275" t="s">
        <v>4266</v>
      </c>
      <c r="C451" s="705" t="s">
        <v>5086</v>
      </c>
      <c r="D451" s="418" t="str">
        <f t="shared" si="7"/>
        <v>UBND Phường Tân Thuận</v>
      </c>
      <c r="E451" s="287" t="s">
        <v>4267</v>
      </c>
      <c r="F451" s="287" t="s">
        <v>4268</v>
      </c>
      <c r="G451" s="415">
        <v>25</v>
      </c>
      <c r="H451" s="369" t="s">
        <v>4269</v>
      </c>
    </row>
    <row r="452" spans="1:8" s="288" customFormat="1" ht="33">
      <c r="A452" s="287">
        <v>446</v>
      </c>
      <c r="B452" s="275" t="s">
        <v>4270</v>
      </c>
      <c r="C452" s="705" t="s">
        <v>5086</v>
      </c>
      <c r="D452" s="418" t="str">
        <f t="shared" si="7"/>
        <v>UBND Phường Tân Thuận</v>
      </c>
      <c r="E452" s="287" t="s">
        <v>4271</v>
      </c>
      <c r="F452" s="287" t="s">
        <v>4272</v>
      </c>
      <c r="G452" s="415">
        <v>60</v>
      </c>
      <c r="H452" s="369" t="s">
        <v>4273</v>
      </c>
    </row>
    <row r="453" spans="1:8" s="288" customFormat="1">
      <c r="A453" s="287">
        <v>447</v>
      </c>
      <c r="B453" s="275" t="s">
        <v>3618</v>
      </c>
      <c r="C453" s="705" t="s">
        <v>5076</v>
      </c>
      <c r="D453" s="418" t="str">
        <f t="shared" si="7"/>
        <v>UBND Phường Tăng Nhơn Phú</v>
      </c>
      <c r="E453" s="287" t="s">
        <v>3626</v>
      </c>
      <c r="F453" s="287" t="s">
        <v>3929</v>
      </c>
      <c r="G453" s="415">
        <v>1100</v>
      </c>
      <c r="H453" s="287" t="s">
        <v>165</v>
      </c>
    </row>
    <row r="454" spans="1:8" s="288" customFormat="1">
      <c r="A454" s="287">
        <v>448</v>
      </c>
      <c r="B454" s="275" t="s">
        <v>3619</v>
      </c>
      <c r="C454" s="705" t="s">
        <v>5076</v>
      </c>
      <c r="D454" s="418" t="str">
        <f t="shared" si="7"/>
        <v>UBND Phường Tăng Nhơn Phú</v>
      </c>
      <c r="E454" s="287" t="s">
        <v>387</v>
      </c>
      <c r="F454" s="287" t="s">
        <v>508</v>
      </c>
      <c r="G454" s="415">
        <v>660</v>
      </c>
      <c r="H454" s="287" t="s">
        <v>168</v>
      </c>
    </row>
    <row r="455" spans="1:8" s="288" customFormat="1" ht="33">
      <c r="A455" s="287">
        <v>449</v>
      </c>
      <c r="B455" s="275" t="s">
        <v>3226</v>
      </c>
      <c r="C455" s="705" t="s">
        <v>5076</v>
      </c>
      <c r="D455" s="418" t="str">
        <f t="shared" si="7"/>
        <v>UBND Phường Tăng Nhơn Phú</v>
      </c>
      <c r="E455" s="287" t="s">
        <v>3733</v>
      </c>
      <c r="F455" s="287" t="s">
        <v>508</v>
      </c>
      <c r="G455" s="415">
        <v>3100</v>
      </c>
      <c r="H455" s="287" t="s">
        <v>517</v>
      </c>
    </row>
    <row r="456" spans="1:8" s="288" customFormat="1">
      <c r="A456" s="287">
        <v>450</v>
      </c>
      <c r="B456" s="275" t="s">
        <v>3640</v>
      </c>
      <c r="C456" s="705" t="s">
        <v>5076</v>
      </c>
      <c r="D456" s="418" t="str">
        <f t="shared" ref="D456:D544" si="8">"UBND "&amp;C456</f>
        <v>UBND Phường Tăng Nhơn Phú</v>
      </c>
      <c r="E456" s="287" t="s">
        <v>3632</v>
      </c>
      <c r="F456" s="287" t="s">
        <v>3633</v>
      </c>
      <c r="G456" s="415">
        <v>1100</v>
      </c>
      <c r="H456" s="287" t="s">
        <v>168</v>
      </c>
    </row>
    <row r="457" spans="1:8" s="288" customFormat="1">
      <c r="A457" s="287">
        <v>451</v>
      </c>
      <c r="B457" s="275" t="s">
        <v>3641</v>
      </c>
      <c r="C457" s="705" t="s">
        <v>5076</v>
      </c>
      <c r="D457" s="418" t="str">
        <f t="shared" si="8"/>
        <v>UBND Phường Tăng Nhơn Phú</v>
      </c>
      <c r="E457" s="287" t="s">
        <v>3632</v>
      </c>
      <c r="F457" s="287" t="s">
        <v>3634</v>
      </c>
      <c r="G457" s="415">
        <v>429</v>
      </c>
      <c r="H457" s="420" t="s">
        <v>3931</v>
      </c>
    </row>
    <row r="458" spans="1:8" s="288" customFormat="1">
      <c r="A458" s="287">
        <v>452</v>
      </c>
      <c r="B458" s="275" t="s">
        <v>3642</v>
      </c>
      <c r="C458" s="705" t="s">
        <v>5076</v>
      </c>
      <c r="D458" s="418" t="str">
        <f t="shared" si="8"/>
        <v>UBND Phường Tăng Nhơn Phú</v>
      </c>
      <c r="E458" s="287" t="s">
        <v>387</v>
      </c>
      <c r="F458" s="287" t="s">
        <v>3632</v>
      </c>
      <c r="G458" s="415">
        <v>1000</v>
      </c>
      <c r="H458" s="420" t="s">
        <v>3932</v>
      </c>
    </row>
    <row r="459" spans="1:8" s="288" customFormat="1">
      <c r="A459" s="287">
        <v>453</v>
      </c>
      <c r="B459" s="275" t="s">
        <v>3645</v>
      </c>
      <c r="C459" s="705" t="s">
        <v>5076</v>
      </c>
      <c r="D459" s="418" t="str">
        <f t="shared" si="8"/>
        <v>UBND Phường Tăng Nhơn Phú</v>
      </c>
      <c r="E459" s="287" t="s">
        <v>387</v>
      </c>
      <c r="F459" s="287" t="s">
        <v>508</v>
      </c>
      <c r="G459" s="415">
        <v>158</v>
      </c>
      <c r="H459" s="420" t="s">
        <v>188</v>
      </c>
    </row>
    <row r="460" spans="1:8" s="288" customFormat="1">
      <c r="A460" s="287">
        <v>454</v>
      </c>
      <c r="B460" s="275" t="s">
        <v>3649</v>
      </c>
      <c r="C460" s="705" t="s">
        <v>5076</v>
      </c>
      <c r="D460" s="418" t="str">
        <f t="shared" si="8"/>
        <v>UBND Phường Tăng Nhơn Phú</v>
      </c>
      <c r="E460" s="287" t="s">
        <v>387</v>
      </c>
      <c r="F460" s="287" t="s">
        <v>3632</v>
      </c>
      <c r="G460" s="415">
        <v>510</v>
      </c>
      <c r="H460" s="287" t="s">
        <v>168</v>
      </c>
    </row>
    <row r="461" spans="1:8" s="288" customFormat="1">
      <c r="A461" s="287">
        <v>455</v>
      </c>
      <c r="B461" s="275" t="s">
        <v>3650</v>
      </c>
      <c r="C461" s="705" t="s">
        <v>5076</v>
      </c>
      <c r="D461" s="418" t="str">
        <f t="shared" si="8"/>
        <v>UBND Phường Tăng Nhơn Phú</v>
      </c>
      <c r="E461" s="287" t="s">
        <v>387</v>
      </c>
      <c r="F461" s="287" t="s">
        <v>3632</v>
      </c>
      <c r="G461" s="415">
        <v>465</v>
      </c>
      <c r="H461" s="287" t="s">
        <v>174</v>
      </c>
    </row>
    <row r="462" spans="1:8" s="288" customFormat="1">
      <c r="A462" s="287">
        <v>456</v>
      </c>
      <c r="B462" s="275" t="s">
        <v>3651</v>
      </c>
      <c r="C462" s="705" t="s">
        <v>5076</v>
      </c>
      <c r="D462" s="418" t="str">
        <f t="shared" si="8"/>
        <v>UBND Phường Tăng Nhơn Phú</v>
      </c>
      <c r="E462" s="287" t="s">
        <v>387</v>
      </c>
      <c r="F462" s="287" t="s">
        <v>1153</v>
      </c>
      <c r="G462" s="415">
        <v>410</v>
      </c>
      <c r="H462" s="287" t="s">
        <v>175</v>
      </c>
    </row>
    <row r="463" spans="1:8" s="288" customFormat="1">
      <c r="A463" s="287">
        <v>457</v>
      </c>
      <c r="B463" s="275" t="s">
        <v>3653</v>
      </c>
      <c r="C463" s="705" t="s">
        <v>5076</v>
      </c>
      <c r="D463" s="418" t="str">
        <f t="shared" si="8"/>
        <v>UBND Phường Tăng Nhơn Phú</v>
      </c>
      <c r="E463" s="287" t="s">
        <v>387</v>
      </c>
      <c r="F463" s="287" t="s">
        <v>3735</v>
      </c>
      <c r="G463" s="415">
        <v>1000</v>
      </c>
      <c r="H463" s="287" t="s">
        <v>172</v>
      </c>
    </row>
    <row r="464" spans="1:8" s="288" customFormat="1">
      <c r="A464" s="287">
        <v>458</v>
      </c>
      <c r="B464" s="275" t="s">
        <v>3654</v>
      </c>
      <c r="C464" s="705" t="s">
        <v>5076</v>
      </c>
      <c r="D464" s="418" t="str">
        <f t="shared" si="8"/>
        <v>UBND Phường Tăng Nhơn Phú</v>
      </c>
      <c r="E464" s="287" t="s">
        <v>387</v>
      </c>
      <c r="F464" s="287" t="s">
        <v>3735</v>
      </c>
      <c r="G464" s="415">
        <v>1100</v>
      </c>
      <c r="H464" s="287" t="s">
        <v>172</v>
      </c>
    </row>
    <row r="465" spans="1:8" s="288" customFormat="1" ht="33">
      <c r="A465" s="287">
        <v>459</v>
      </c>
      <c r="B465" s="275" t="s">
        <v>3489</v>
      </c>
      <c r="C465" s="705" t="s">
        <v>5103</v>
      </c>
      <c r="D465" s="418" t="str">
        <f t="shared" si="8"/>
        <v>UBND Phường Thạnh Mỹ Tây</v>
      </c>
      <c r="E465" s="287" t="s">
        <v>3384</v>
      </c>
      <c r="F465" s="287" t="s">
        <v>3382</v>
      </c>
      <c r="G465" s="415">
        <v>316</v>
      </c>
      <c r="H465" s="287">
        <v>6</v>
      </c>
    </row>
    <row r="466" spans="1:8" s="288" customFormat="1" ht="33">
      <c r="A466" s="287">
        <v>460</v>
      </c>
      <c r="B466" s="275" t="s">
        <v>3490</v>
      </c>
      <c r="C466" s="705" t="s">
        <v>5103</v>
      </c>
      <c r="D466" s="418" t="str">
        <f t="shared" si="8"/>
        <v>UBND Phường Thạnh Mỹ Tây</v>
      </c>
      <c r="E466" s="287" t="s">
        <v>3385</v>
      </c>
      <c r="F466" s="287" t="s">
        <v>370</v>
      </c>
      <c r="G466" s="415">
        <v>232</v>
      </c>
      <c r="H466" s="287">
        <v>2.8</v>
      </c>
    </row>
    <row r="467" spans="1:8" s="288" customFormat="1">
      <c r="A467" s="287">
        <v>461</v>
      </c>
      <c r="B467" s="275" t="s">
        <v>3491</v>
      </c>
      <c r="C467" s="705" t="s">
        <v>5103</v>
      </c>
      <c r="D467" s="418" t="str">
        <f t="shared" si="8"/>
        <v>UBND Phường Thạnh Mỹ Tây</v>
      </c>
      <c r="E467" s="287" t="s">
        <v>3386</v>
      </c>
      <c r="F467" s="287" t="s">
        <v>371</v>
      </c>
      <c r="G467" s="415">
        <v>138</v>
      </c>
      <c r="H467" s="287">
        <v>3</v>
      </c>
    </row>
    <row r="468" spans="1:8" s="288" customFormat="1" ht="33">
      <c r="A468" s="287">
        <v>462</v>
      </c>
      <c r="B468" s="423" t="s">
        <v>353</v>
      </c>
      <c r="C468" s="705" t="s">
        <v>5103</v>
      </c>
      <c r="D468" s="418" t="str">
        <f t="shared" si="8"/>
        <v>UBND Phường Thạnh Mỹ Tây</v>
      </c>
      <c r="E468" s="290" t="s">
        <v>3389</v>
      </c>
      <c r="F468" s="290" t="s">
        <v>433</v>
      </c>
      <c r="G468" s="415">
        <v>250</v>
      </c>
      <c r="H468" s="290">
        <v>2</v>
      </c>
    </row>
    <row r="469" spans="1:8" s="288" customFormat="1">
      <c r="A469" s="287">
        <v>463</v>
      </c>
      <c r="B469" s="275" t="s">
        <v>4331</v>
      </c>
      <c r="C469" s="705" t="s">
        <v>5068</v>
      </c>
      <c r="D469" s="418" t="str">
        <f t="shared" si="8"/>
        <v>UBND Phường Thới An</v>
      </c>
      <c r="E469" s="287" t="s">
        <v>976</v>
      </c>
      <c r="F469" s="287" t="s">
        <v>4332</v>
      </c>
      <c r="G469" s="415">
        <v>235</v>
      </c>
      <c r="H469" s="287" t="s">
        <v>4333</v>
      </c>
    </row>
    <row r="470" spans="1:8" s="288" customFormat="1">
      <c r="A470" s="287">
        <v>464</v>
      </c>
      <c r="B470" s="275" t="s">
        <v>4334</v>
      </c>
      <c r="C470" s="705" t="s">
        <v>5068</v>
      </c>
      <c r="D470" s="418" t="str">
        <f t="shared" si="8"/>
        <v>UBND Phường Thới An</v>
      </c>
      <c r="E470" s="287" t="s">
        <v>4335</v>
      </c>
      <c r="F470" s="287" t="s">
        <v>4336</v>
      </c>
      <c r="G470" s="415">
        <v>830</v>
      </c>
      <c r="H470" s="287">
        <v>4</v>
      </c>
    </row>
    <row r="471" spans="1:8" s="288" customFormat="1">
      <c r="A471" s="287">
        <v>465</v>
      </c>
      <c r="B471" s="275" t="s">
        <v>4337</v>
      </c>
      <c r="C471" s="705" t="s">
        <v>5068</v>
      </c>
      <c r="D471" s="418" t="str">
        <f t="shared" si="8"/>
        <v>UBND Phường Thới An</v>
      </c>
      <c r="E471" s="287" t="s">
        <v>614</v>
      </c>
      <c r="F471" s="287" t="s">
        <v>4338</v>
      </c>
      <c r="G471" s="415">
        <v>140</v>
      </c>
      <c r="H471" s="287">
        <v>5.5</v>
      </c>
    </row>
    <row r="472" spans="1:8" s="288" customFormat="1" ht="33">
      <c r="A472" s="287">
        <v>466</v>
      </c>
      <c r="B472" s="275" t="s">
        <v>4356</v>
      </c>
      <c r="C472" s="705" t="s">
        <v>5068</v>
      </c>
      <c r="D472" s="418" t="str">
        <f t="shared" si="8"/>
        <v>UBND Phường Thới An</v>
      </c>
      <c r="E472" s="287" t="s">
        <v>600</v>
      </c>
      <c r="F472" s="287" t="s">
        <v>407</v>
      </c>
      <c r="G472" s="415">
        <v>275</v>
      </c>
      <c r="H472" s="287" t="s">
        <v>979</v>
      </c>
    </row>
    <row r="473" spans="1:8" s="288" customFormat="1">
      <c r="A473" s="287">
        <v>467</v>
      </c>
      <c r="B473" s="275" t="s">
        <v>4367</v>
      </c>
      <c r="C473" s="705" t="s">
        <v>5068</v>
      </c>
      <c r="D473" s="418" t="str">
        <f t="shared" si="8"/>
        <v>UBND Phường Thới An</v>
      </c>
      <c r="E473" s="287" t="s">
        <v>621</v>
      </c>
      <c r="F473" s="287" t="s">
        <v>606</v>
      </c>
      <c r="G473" s="415">
        <v>2398</v>
      </c>
      <c r="H473" s="418" t="s">
        <v>1033</v>
      </c>
    </row>
    <row r="474" spans="1:8" s="288" customFormat="1">
      <c r="A474" s="287">
        <v>468</v>
      </c>
      <c r="B474" s="275" t="s">
        <v>1032</v>
      </c>
      <c r="C474" s="705" t="s">
        <v>5068</v>
      </c>
      <c r="D474" s="418" t="str">
        <f t="shared" si="8"/>
        <v>UBND Phường Thới An</v>
      </c>
      <c r="E474" s="287" t="s">
        <v>387</v>
      </c>
      <c r="F474" s="287" t="s">
        <v>606</v>
      </c>
      <c r="G474" s="415">
        <v>815</v>
      </c>
      <c r="H474" s="287" t="s">
        <v>182</v>
      </c>
    </row>
    <row r="475" spans="1:8" s="288" customFormat="1">
      <c r="A475" s="287">
        <v>469</v>
      </c>
      <c r="B475" s="275" t="s">
        <v>612</v>
      </c>
      <c r="C475" s="705" t="s">
        <v>5068</v>
      </c>
      <c r="D475" s="418" t="str">
        <f t="shared" si="8"/>
        <v>UBND Phường Thới An</v>
      </c>
      <c r="E475" s="287" t="s">
        <v>1031</v>
      </c>
      <c r="F475" s="287" t="s">
        <v>606</v>
      </c>
      <c r="G475" s="415">
        <v>568</v>
      </c>
      <c r="H475" s="287" t="s">
        <v>220</v>
      </c>
    </row>
    <row r="476" spans="1:8" s="288" customFormat="1">
      <c r="A476" s="287">
        <v>470</v>
      </c>
      <c r="B476" s="275" t="s">
        <v>1030</v>
      </c>
      <c r="C476" s="705" t="s">
        <v>5068</v>
      </c>
      <c r="D476" s="418" t="str">
        <f t="shared" si="8"/>
        <v>UBND Phường Thới An</v>
      </c>
      <c r="E476" s="287" t="s">
        <v>387</v>
      </c>
      <c r="F476" s="287" t="s">
        <v>606</v>
      </c>
      <c r="G476" s="415">
        <v>421.1</v>
      </c>
      <c r="H476" s="287" t="s">
        <v>207</v>
      </c>
    </row>
    <row r="477" spans="1:8" s="288" customFormat="1">
      <c r="A477" s="287">
        <v>471</v>
      </c>
      <c r="B477" s="275" t="s">
        <v>1029</v>
      </c>
      <c r="C477" s="705" t="s">
        <v>5068</v>
      </c>
      <c r="D477" s="418" t="str">
        <f t="shared" si="8"/>
        <v>UBND Phường Thới An</v>
      </c>
      <c r="E477" s="287" t="s">
        <v>387</v>
      </c>
      <c r="F477" s="287" t="s">
        <v>599</v>
      </c>
      <c r="G477" s="415">
        <v>260</v>
      </c>
      <c r="H477" s="287" t="s">
        <v>210</v>
      </c>
    </row>
    <row r="478" spans="1:8" s="288" customFormat="1">
      <c r="A478" s="287">
        <v>472</v>
      </c>
      <c r="B478" s="275" t="s">
        <v>1026</v>
      </c>
      <c r="C478" s="705" t="s">
        <v>5068</v>
      </c>
      <c r="D478" s="418" t="str">
        <f t="shared" si="8"/>
        <v>UBND Phường Thới An</v>
      </c>
      <c r="E478" s="287" t="s">
        <v>599</v>
      </c>
      <c r="F478" s="287" t="s">
        <v>1025</v>
      </c>
      <c r="G478" s="415">
        <v>524</v>
      </c>
      <c r="H478" s="287" t="s">
        <v>986</v>
      </c>
    </row>
    <row r="479" spans="1:8" s="288" customFormat="1">
      <c r="A479" s="287">
        <v>473</v>
      </c>
      <c r="B479" s="275" t="s">
        <v>1024</v>
      </c>
      <c r="C479" s="705" t="s">
        <v>5068</v>
      </c>
      <c r="D479" s="418" t="str">
        <f t="shared" si="8"/>
        <v>UBND Phường Thới An</v>
      </c>
      <c r="E479" s="287" t="s">
        <v>608</v>
      </c>
      <c r="F479" s="287" t="s">
        <v>606</v>
      </c>
      <c r="G479" s="415">
        <v>2253</v>
      </c>
      <c r="H479" s="287" t="s">
        <v>223</v>
      </c>
    </row>
    <row r="480" spans="1:8" s="288" customFormat="1">
      <c r="A480" s="287">
        <v>474</v>
      </c>
      <c r="B480" s="275" t="s">
        <v>622</v>
      </c>
      <c r="C480" s="705" t="s">
        <v>5068</v>
      </c>
      <c r="D480" s="418" t="str">
        <f t="shared" si="8"/>
        <v>UBND Phường Thới An</v>
      </c>
      <c r="E480" s="287" t="s">
        <v>983</v>
      </c>
      <c r="F480" s="287" t="s">
        <v>606</v>
      </c>
      <c r="G480" s="415">
        <v>895.5</v>
      </c>
      <c r="H480" s="287" t="s">
        <v>297</v>
      </c>
    </row>
    <row r="481" spans="1:9" s="288" customFormat="1" ht="33">
      <c r="A481" s="287">
        <v>475</v>
      </c>
      <c r="B481" s="275" t="s">
        <v>624</v>
      </c>
      <c r="C481" s="705" t="s">
        <v>5068</v>
      </c>
      <c r="D481" s="418" t="str">
        <f t="shared" si="8"/>
        <v>UBND Phường Thới An</v>
      </c>
      <c r="E481" s="287" t="s">
        <v>4379</v>
      </c>
      <c r="F481" s="287" t="s">
        <v>606</v>
      </c>
      <c r="G481" s="415">
        <v>200</v>
      </c>
      <c r="H481" s="287" t="s">
        <v>207</v>
      </c>
    </row>
    <row r="482" spans="1:9" s="288" customFormat="1" ht="33">
      <c r="A482" s="287">
        <v>476</v>
      </c>
      <c r="B482" s="275" t="s">
        <v>982</v>
      </c>
      <c r="C482" s="705" t="s">
        <v>5068</v>
      </c>
      <c r="D482" s="418" t="str">
        <f t="shared" si="8"/>
        <v>UBND Phường Thới An</v>
      </c>
      <c r="E482" s="287" t="s">
        <v>4379</v>
      </c>
      <c r="F482" s="287" t="s">
        <v>606</v>
      </c>
      <c r="G482" s="415">
        <v>280</v>
      </c>
      <c r="H482" s="287" t="s">
        <v>207</v>
      </c>
    </row>
    <row r="483" spans="1:9" s="288" customFormat="1">
      <c r="A483" s="287">
        <v>477</v>
      </c>
      <c r="B483" s="275" t="s">
        <v>981</v>
      </c>
      <c r="C483" s="705" t="s">
        <v>5068</v>
      </c>
      <c r="D483" s="418" t="str">
        <f t="shared" si="8"/>
        <v>UBND Phường Thới An</v>
      </c>
      <c r="E483" s="287" t="s">
        <v>387</v>
      </c>
      <c r="F483" s="287" t="s">
        <v>606</v>
      </c>
      <c r="G483" s="415">
        <v>372.1</v>
      </c>
      <c r="H483" s="287" t="s">
        <v>207</v>
      </c>
    </row>
    <row r="484" spans="1:9" s="288" customFormat="1">
      <c r="A484" s="287">
        <v>478</v>
      </c>
      <c r="B484" s="275" t="s">
        <v>980</v>
      </c>
      <c r="C484" s="705" t="s">
        <v>5068</v>
      </c>
      <c r="D484" s="418" t="str">
        <f t="shared" si="8"/>
        <v>UBND Phường Thới An</v>
      </c>
      <c r="E484" s="287" t="s">
        <v>387</v>
      </c>
      <c r="F484" s="287" t="s">
        <v>606</v>
      </c>
      <c r="G484" s="415">
        <v>800</v>
      </c>
      <c r="H484" s="287" t="s">
        <v>979</v>
      </c>
    </row>
    <row r="485" spans="1:9" s="288" customFormat="1">
      <c r="A485" s="287">
        <v>479</v>
      </c>
      <c r="B485" s="275" t="s">
        <v>607</v>
      </c>
      <c r="C485" s="705" t="s">
        <v>5068</v>
      </c>
      <c r="D485" s="418" t="str">
        <f t="shared" si="8"/>
        <v>UBND Phường Thới An</v>
      </c>
      <c r="E485" s="287" t="s">
        <v>387</v>
      </c>
      <c r="F485" s="287" t="s">
        <v>606</v>
      </c>
      <c r="G485" s="415">
        <v>595</v>
      </c>
      <c r="H485" s="287" t="s">
        <v>223</v>
      </c>
    </row>
    <row r="486" spans="1:9" s="288" customFormat="1">
      <c r="A486" s="287">
        <v>480</v>
      </c>
      <c r="B486" s="275" t="s">
        <v>619</v>
      </c>
      <c r="C486" s="705" t="s">
        <v>5068</v>
      </c>
      <c r="D486" s="418" t="str">
        <f t="shared" si="8"/>
        <v>UBND Phường Thới An</v>
      </c>
      <c r="E486" s="287" t="s">
        <v>387</v>
      </c>
      <c r="F486" s="287" t="s">
        <v>606</v>
      </c>
      <c r="G486" s="415">
        <v>173</v>
      </c>
      <c r="H486" s="287" t="s">
        <v>189</v>
      </c>
    </row>
    <row r="487" spans="1:9" s="288" customFormat="1">
      <c r="A487" s="287">
        <v>481</v>
      </c>
      <c r="B487" s="275" t="s">
        <v>977</v>
      </c>
      <c r="C487" s="705" t="s">
        <v>5068</v>
      </c>
      <c r="D487" s="418" t="str">
        <f t="shared" si="8"/>
        <v>UBND Phường Thới An</v>
      </c>
      <c r="E487" s="287" t="s">
        <v>3575</v>
      </c>
      <c r="F487" s="287" t="s">
        <v>606</v>
      </c>
      <c r="G487" s="415">
        <v>606.79999999999995</v>
      </c>
      <c r="H487" s="287" t="s">
        <v>219</v>
      </c>
    </row>
    <row r="488" spans="1:9" s="288" customFormat="1">
      <c r="A488" s="287">
        <v>482</v>
      </c>
      <c r="B488" s="275" t="s">
        <v>598</v>
      </c>
      <c r="C488" s="705" t="s">
        <v>5068</v>
      </c>
      <c r="D488" s="418" t="str">
        <f t="shared" si="8"/>
        <v>UBND Phường Thới An</v>
      </c>
      <c r="E488" s="287" t="s">
        <v>387</v>
      </c>
      <c r="F488" s="287" t="s">
        <v>597</v>
      </c>
      <c r="G488" s="415">
        <v>485</v>
      </c>
      <c r="H488" s="287" t="s">
        <v>975</v>
      </c>
    </row>
    <row r="489" spans="1:9" s="288" customFormat="1">
      <c r="A489" s="287">
        <v>483</v>
      </c>
      <c r="B489" s="275" t="s">
        <v>974</v>
      </c>
      <c r="C489" s="705" t="s">
        <v>5068</v>
      </c>
      <c r="D489" s="418" t="str">
        <f t="shared" si="8"/>
        <v>UBND Phường Thới An</v>
      </c>
      <c r="E489" s="287" t="s">
        <v>597</v>
      </c>
      <c r="F489" s="287" t="s">
        <v>407</v>
      </c>
      <c r="G489" s="415">
        <v>272.3</v>
      </c>
      <c r="H489" s="287" t="s">
        <v>189</v>
      </c>
    </row>
    <row r="490" spans="1:9" s="288" customFormat="1">
      <c r="A490" s="287">
        <v>484</v>
      </c>
      <c r="B490" s="277" t="s">
        <v>4404</v>
      </c>
      <c r="C490" s="705" t="s">
        <v>5068</v>
      </c>
      <c r="D490" s="418" t="str">
        <f t="shared" si="8"/>
        <v>UBND Phường Thới An</v>
      </c>
      <c r="E490" s="505" t="s">
        <v>4405</v>
      </c>
      <c r="F490" s="505" t="s">
        <v>4406</v>
      </c>
      <c r="G490" s="415">
        <v>200</v>
      </c>
      <c r="H490" s="420" t="s">
        <v>188</v>
      </c>
    </row>
    <row r="491" spans="1:9" s="673" customFormat="1">
      <c r="A491" s="287">
        <v>485</v>
      </c>
      <c r="B491" s="275" t="s">
        <v>3252</v>
      </c>
      <c r="C491" s="706" t="s">
        <v>5068</v>
      </c>
      <c r="D491" s="418" t="str">
        <f t="shared" ref="D491:D509" si="9">"UBND "&amp;C491</f>
        <v>UBND Phường Thới An</v>
      </c>
      <c r="E491" s="287" t="s">
        <v>2420</v>
      </c>
      <c r="F491" s="287" t="s">
        <v>407</v>
      </c>
      <c r="G491" s="415">
        <v>500</v>
      </c>
      <c r="H491" s="287"/>
    </row>
    <row r="492" spans="1:9" s="673" customFormat="1">
      <c r="A492" s="287">
        <v>486</v>
      </c>
      <c r="B492" s="275" t="s">
        <v>3253</v>
      </c>
      <c r="C492" s="706" t="s">
        <v>5068</v>
      </c>
      <c r="D492" s="418" t="str">
        <f t="shared" si="9"/>
        <v>UBND Phường Thới An</v>
      </c>
      <c r="E492" s="287" t="s">
        <v>2420</v>
      </c>
      <c r="F492" s="287" t="s">
        <v>407</v>
      </c>
      <c r="G492" s="415">
        <v>300</v>
      </c>
      <c r="H492" s="287"/>
    </row>
    <row r="493" spans="1:9" s="673" customFormat="1">
      <c r="A493" s="287">
        <v>487</v>
      </c>
      <c r="B493" s="275" t="s">
        <v>3254</v>
      </c>
      <c r="C493" s="706" t="s">
        <v>5068</v>
      </c>
      <c r="D493" s="418" t="str">
        <f t="shared" si="9"/>
        <v>UBND Phường Thới An</v>
      </c>
      <c r="E493" s="287" t="s">
        <v>2420</v>
      </c>
      <c r="F493" s="287" t="s">
        <v>4929</v>
      </c>
      <c r="G493" s="415">
        <v>1000</v>
      </c>
      <c r="H493" s="287"/>
    </row>
    <row r="494" spans="1:9" s="673" customFormat="1">
      <c r="A494" s="287">
        <v>488</v>
      </c>
      <c r="B494" s="275" t="s">
        <v>3255</v>
      </c>
      <c r="C494" s="706" t="s">
        <v>5068</v>
      </c>
      <c r="D494" s="418" t="str">
        <f t="shared" si="9"/>
        <v>UBND Phường Thới An</v>
      </c>
      <c r="E494" s="287" t="s">
        <v>2420</v>
      </c>
      <c r="F494" s="287" t="s">
        <v>4929</v>
      </c>
      <c r="G494" s="415">
        <v>800</v>
      </c>
      <c r="H494" s="287"/>
      <c r="I494" s="673" t="s">
        <v>176</v>
      </c>
    </row>
    <row r="495" spans="1:9" s="673" customFormat="1">
      <c r="A495" s="287">
        <v>489</v>
      </c>
      <c r="B495" s="275" t="s">
        <v>3256</v>
      </c>
      <c r="C495" s="706" t="s">
        <v>5068</v>
      </c>
      <c r="D495" s="418" t="str">
        <f t="shared" si="9"/>
        <v>UBND Phường Thới An</v>
      </c>
      <c r="E495" s="287" t="s">
        <v>2420</v>
      </c>
      <c r="F495" s="287" t="s">
        <v>4929</v>
      </c>
      <c r="G495" s="415">
        <v>700</v>
      </c>
      <c r="H495" s="287"/>
    </row>
    <row r="496" spans="1:9" s="673" customFormat="1">
      <c r="A496" s="287">
        <v>490</v>
      </c>
      <c r="B496" s="277" t="s">
        <v>2482</v>
      </c>
      <c r="C496" s="706" t="s">
        <v>5068</v>
      </c>
      <c r="D496" s="418" t="str">
        <f t="shared" si="9"/>
        <v>UBND Phường Thới An</v>
      </c>
      <c r="E496" s="505" t="s">
        <v>387</v>
      </c>
      <c r="F496" s="505" t="s">
        <v>2422</v>
      </c>
      <c r="G496" s="415">
        <v>193</v>
      </c>
      <c r="H496" s="370"/>
    </row>
    <row r="497" spans="1:8" s="673" customFormat="1">
      <c r="A497" s="287">
        <v>491</v>
      </c>
      <c r="B497" s="277" t="s">
        <v>2483</v>
      </c>
      <c r="C497" s="706" t="s">
        <v>5068</v>
      </c>
      <c r="D497" s="418" t="str">
        <f t="shared" si="9"/>
        <v>UBND Phường Thới An</v>
      </c>
      <c r="E497" s="505" t="s">
        <v>387</v>
      </c>
      <c r="F497" s="505" t="s">
        <v>2422</v>
      </c>
      <c r="G497" s="415">
        <v>352</v>
      </c>
      <c r="H497" s="370"/>
    </row>
    <row r="498" spans="1:8" s="673" customFormat="1">
      <c r="A498" s="287">
        <v>492</v>
      </c>
      <c r="B498" s="277" t="s">
        <v>2484</v>
      </c>
      <c r="C498" s="706" t="s">
        <v>5068</v>
      </c>
      <c r="D498" s="418" t="str">
        <f t="shared" si="9"/>
        <v>UBND Phường Thới An</v>
      </c>
      <c r="E498" s="505" t="s">
        <v>2423</v>
      </c>
      <c r="F498" s="505" t="s">
        <v>608</v>
      </c>
      <c r="G498" s="415">
        <v>643</v>
      </c>
      <c r="H498" s="370"/>
    </row>
    <row r="499" spans="1:8" s="673" customFormat="1">
      <c r="A499" s="287">
        <v>493</v>
      </c>
      <c r="B499" s="277" t="s">
        <v>2424</v>
      </c>
      <c r="C499" s="706" t="s">
        <v>5068</v>
      </c>
      <c r="D499" s="418" t="str">
        <f t="shared" si="9"/>
        <v>UBND Phường Thới An</v>
      </c>
      <c r="E499" s="505" t="s">
        <v>2423</v>
      </c>
      <c r="F499" s="505" t="s">
        <v>608</v>
      </c>
      <c r="G499" s="415">
        <v>811</v>
      </c>
      <c r="H499" s="370"/>
    </row>
    <row r="500" spans="1:8" s="673" customFormat="1">
      <c r="A500" s="287">
        <v>494</v>
      </c>
      <c r="B500" s="277" t="s">
        <v>2485</v>
      </c>
      <c r="C500" s="706" t="s">
        <v>5068</v>
      </c>
      <c r="D500" s="418" t="str">
        <f t="shared" si="9"/>
        <v>UBND Phường Thới An</v>
      </c>
      <c r="E500" s="505" t="s">
        <v>985</v>
      </c>
      <c r="F500" s="505" t="s">
        <v>608</v>
      </c>
      <c r="G500" s="415">
        <v>1040</v>
      </c>
      <c r="H500" s="370"/>
    </row>
    <row r="501" spans="1:8" s="673" customFormat="1">
      <c r="A501" s="287">
        <v>495</v>
      </c>
      <c r="B501" s="277" t="s">
        <v>2486</v>
      </c>
      <c r="C501" s="706" t="s">
        <v>5068</v>
      </c>
      <c r="D501" s="418" t="str">
        <f t="shared" si="9"/>
        <v>UBND Phường Thới An</v>
      </c>
      <c r="E501" s="505" t="s">
        <v>387</v>
      </c>
      <c r="F501" s="505" t="s">
        <v>985</v>
      </c>
      <c r="G501" s="415">
        <v>563</v>
      </c>
      <c r="H501" s="370"/>
    </row>
    <row r="502" spans="1:8" s="673" customFormat="1">
      <c r="A502" s="287">
        <v>496</v>
      </c>
      <c r="B502" s="277" t="s">
        <v>2487</v>
      </c>
      <c r="C502" s="706" t="s">
        <v>5068</v>
      </c>
      <c r="D502" s="418" t="str">
        <f t="shared" si="9"/>
        <v>UBND Phường Thới An</v>
      </c>
      <c r="E502" s="505" t="s">
        <v>2419</v>
      </c>
      <c r="F502" s="505" t="s">
        <v>610</v>
      </c>
      <c r="G502" s="415">
        <v>398</v>
      </c>
      <c r="H502" s="370"/>
    </row>
    <row r="503" spans="1:8" s="673" customFormat="1">
      <c r="A503" s="287">
        <v>497</v>
      </c>
      <c r="B503" s="277" t="s">
        <v>2488</v>
      </c>
      <c r="C503" s="706" t="s">
        <v>5068</v>
      </c>
      <c r="D503" s="418" t="str">
        <f t="shared" si="9"/>
        <v>UBND Phường Thới An</v>
      </c>
      <c r="E503" s="505" t="s">
        <v>2489</v>
      </c>
      <c r="F503" s="505" t="s">
        <v>600</v>
      </c>
      <c r="G503" s="415">
        <v>1918</v>
      </c>
      <c r="H503" s="370"/>
    </row>
    <row r="504" spans="1:8" s="673" customFormat="1">
      <c r="A504" s="287">
        <v>498</v>
      </c>
      <c r="B504" s="277" t="s">
        <v>2490</v>
      </c>
      <c r="C504" s="706" t="s">
        <v>5068</v>
      </c>
      <c r="D504" s="418" t="str">
        <f t="shared" si="9"/>
        <v>UBND Phường Thới An</v>
      </c>
      <c r="E504" s="505" t="s">
        <v>612</v>
      </c>
      <c r="F504" s="505" t="s">
        <v>1031</v>
      </c>
      <c r="G504" s="415">
        <v>325</v>
      </c>
      <c r="H504" s="370"/>
    </row>
    <row r="505" spans="1:8" s="673" customFormat="1">
      <c r="A505" s="287">
        <v>499</v>
      </c>
      <c r="B505" s="277" t="s">
        <v>2491</v>
      </c>
      <c r="C505" s="706" t="s">
        <v>5068</v>
      </c>
      <c r="D505" s="418" t="str">
        <f t="shared" si="9"/>
        <v>UBND Phường Thới An</v>
      </c>
      <c r="E505" s="505" t="s">
        <v>976</v>
      </c>
      <c r="F505" s="505" t="s">
        <v>606</v>
      </c>
      <c r="G505" s="415">
        <v>572</v>
      </c>
      <c r="H505" s="370"/>
    </row>
    <row r="506" spans="1:8" s="673" customFormat="1">
      <c r="A506" s="287">
        <v>500</v>
      </c>
      <c r="B506" s="277" t="s">
        <v>2492</v>
      </c>
      <c r="C506" s="706" t="s">
        <v>5068</v>
      </c>
      <c r="D506" s="418" t="str">
        <f t="shared" si="9"/>
        <v>UBND Phường Thới An</v>
      </c>
      <c r="E506" s="505" t="s">
        <v>1028</v>
      </c>
      <c r="F506" s="505" t="s">
        <v>2488</v>
      </c>
      <c r="G506" s="415">
        <v>822</v>
      </c>
      <c r="H506" s="370"/>
    </row>
    <row r="507" spans="1:8" s="673" customFormat="1">
      <c r="A507" s="287">
        <v>501</v>
      </c>
      <c r="B507" s="277" t="s">
        <v>2499</v>
      </c>
      <c r="C507" s="706" t="s">
        <v>5068</v>
      </c>
      <c r="D507" s="418" t="str">
        <f t="shared" si="9"/>
        <v>UBND Phường Thới An</v>
      </c>
      <c r="E507" s="505" t="s">
        <v>2419</v>
      </c>
      <c r="F507" s="505" t="s">
        <v>3517</v>
      </c>
      <c r="G507" s="415">
        <v>129</v>
      </c>
      <c r="H507" s="370"/>
    </row>
    <row r="508" spans="1:8" s="673" customFormat="1">
      <c r="A508" s="287">
        <v>502</v>
      </c>
      <c r="B508" s="277" t="s">
        <v>2519</v>
      </c>
      <c r="C508" s="706" t="s">
        <v>5068</v>
      </c>
      <c r="D508" s="418" t="str">
        <f t="shared" si="9"/>
        <v>UBND Phường Thới An</v>
      </c>
      <c r="E508" s="505" t="s">
        <v>387</v>
      </c>
      <c r="F508" s="505" t="s">
        <v>606</v>
      </c>
      <c r="G508" s="415">
        <v>257</v>
      </c>
      <c r="H508" s="370"/>
    </row>
    <row r="509" spans="1:8" s="673" customFormat="1">
      <c r="A509" s="287">
        <v>503</v>
      </c>
      <c r="B509" s="277" t="s">
        <v>4935</v>
      </c>
      <c r="C509" s="706" t="s">
        <v>5068</v>
      </c>
      <c r="D509" s="418" t="str">
        <f t="shared" si="9"/>
        <v>UBND Phường Thới An</v>
      </c>
      <c r="E509" s="505" t="s">
        <v>387</v>
      </c>
      <c r="F509" s="505" t="s">
        <v>606</v>
      </c>
      <c r="G509" s="415">
        <v>304</v>
      </c>
      <c r="H509" s="370"/>
    </row>
    <row r="510" spans="1:8" s="673" customFormat="1" ht="31.5">
      <c r="A510" s="287">
        <v>504</v>
      </c>
      <c r="B510" s="270" t="s">
        <v>2489</v>
      </c>
      <c r="C510" s="622" t="s">
        <v>5068</v>
      </c>
      <c r="D510" s="418" t="str">
        <f t="shared" ref="D510:D519" si="10">"UBND "&amp;C510</f>
        <v>UBND Phường Thới An</v>
      </c>
      <c r="E510" s="622" t="s">
        <v>9011</v>
      </c>
      <c r="F510" s="270" t="s">
        <v>9012</v>
      </c>
      <c r="G510" s="322">
        <v>1219</v>
      </c>
      <c r="H510" s="525" t="s">
        <v>9013</v>
      </c>
    </row>
    <row r="511" spans="1:8" s="673" customFormat="1" ht="31.5">
      <c r="A511" s="287">
        <v>505</v>
      </c>
      <c r="B511" s="270" t="s">
        <v>9003</v>
      </c>
      <c r="C511" s="622" t="s">
        <v>5068</v>
      </c>
      <c r="D511" s="418" t="str">
        <f t="shared" si="10"/>
        <v>UBND Phường Thới An</v>
      </c>
      <c r="E511" s="622" t="s">
        <v>622</v>
      </c>
      <c r="F511" s="270" t="s">
        <v>9014</v>
      </c>
      <c r="G511" s="322">
        <v>420</v>
      </c>
      <c r="H511" s="525" t="s">
        <v>1093</v>
      </c>
    </row>
    <row r="512" spans="1:8" s="673" customFormat="1" ht="31.5">
      <c r="A512" s="287">
        <v>506</v>
      </c>
      <c r="B512" s="270" t="s">
        <v>6449</v>
      </c>
      <c r="C512" s="622" t="s">
        <v>5068</v>
      </c>
      <c r="D512" s="418" t="str">
        <f t="shared" si="10"/>
        <v>UBND Phường Thới An</v>
      </c>
      <c r="E512" s="622" t="s">
        <v>2454</v>
      </c>
      <c r="F512" s="270" t="s">
        <v>9015</v>
      </c>
      <c r="G512" s="322">
        <v>365</v>
      </c>
      <c r="H512" s="525" t="s">
        <v>4415</v>
      </c>
    </row>
    <row r="513" spans="1:8" s="673" customFormat="1" ht="31.5">
      <c r="A513" s="287">
        <v>507</v>
      </c>
      <c r="B513" s="270" t="s">
        <v>9004</v>
      </c>
      <c r="C513" s="622" t="s">
        <v>5068</v>
      </c>
      <c r="D513" s="418" t="str">
        <f t="shared" si="10"/>
        <v>UBND Phường Thới An</v>
      </c>
      <c r="E513" s="622" t="s">
        <v>2454</v>
      </c>
      <c r="F513" s="270" t="s">
        <v>9016</v>
      </c>
      <c r="G513" s="322">
        <v>240</v>
      </c>
      <c r="H513" s="525" t="s">
        <v>9017</v>
      </c>
    </row>
    <row r="514" spans="1:8" s="673" customFormat="1" ht="31.5">
      <c r="A514" s="287">
        <v>508</v>
      </c>
      <c r="B514" s="270" t="s">
        <v>9005</v>
      </c>
      <c r="C514" s="622" t="s">
        <v>5068</v>
      </c>
      <c r="D514" s="418" t="str">
        <f t="shared" si="10"/>
        <v>UBND Phường Thới An</v>
      </c>
      <c r="E514" s="622" t="s">
        <v>4335</v>
      </c>
      <c r="F514" s="270" t="s">
        <v>9018</v>
      </c>
      <c r="G514" s="322">
        <v>240</v>
      </c>
      <c r="H514" s="525" t="s">
        <v>1059</v>
      </c>
    </row>
    <row r="515" spans="1:8" s="673" customFormat="1" ht="31.5">
      <c r="A515" s="287">
        <v>509</v>
      </c>
      <c r="B515" s="270" t="s">
        <v>9006</v>
      </c>
      <c r="C515" s="622" t="s">
        <v>5068</v>
      </c>
      <c r="D515" s="418" t="str">
        <f t="shared" si="10"/>
        <v>UBND Phường Thới An</v>
      </c>
      <c r="E515" s="622" t="s">
        <v>4335</v>
      </c>
      <c r="F515" s="270" t="s">
        <v>9019</v>
      </c>
      <c r="G515" s="322">
        <v>240</v>
      </c>
      <c r="H515" s="525" t="s">
        <v>4424</v>
      </c>
    </row>
    <row r="516" spans="1:8" s="673" customFormat="1" ht="31.5">
      <c r="A516" s="287">
        <v>510</v>
      </c>
      <c r="B516" s="270" t="s">
        <v>9007</v>
      </c>
      <c r="C516" s="622" t="s">
        <v>5068</v>
      </c>
      <c r="D516" s="418" t="str">
        <f t="shared" si="10"/>
        <v>UBND Phường Thới An</v>
      </c>
      <c r="E516" s="622" t="s">
        <v>2454</v>
      </c>
      <c r="F516" s="270" t="s">
        <v>9019</v>
      </c>
      <c r="G516" s="322">
        <v>240</v>
      </c>
      <c r="H516" s="525" t="s">
        <v>4424</v>
      </c>
    </row>
    <row r="517" spans="1:8" s="673" customFormat="1" ht="31.5">
      <c r="A517" s="287">
        <v>511</v>
      </c>
      <c r="B517" s="270" t="s">
        <v>9008</v>
      </c>
      <c r="C517" s="622" t="s">
        <v>5068</v>
      </c>
      <c r="D517" s="418" t="str">
        <f t="shared" si="10"/>
        <v>UBND Phường Thới An</v>
      </c>
      <c r="E517" s="622" t="s">
        <v>2419</v>
      </c>
      <c r="F517" s="270" t="s">
        <v>9020</v>
      </c>
      <c r="G517" s="322">
        <v>405</v>
      </c>
      <c r="H517" s="525" t="s">
        <v>220</v>
      </c>
    </row>
    <row r="518" spans="1:8" s="673" customFormat="1" ht="31.5">
      <c r="A518" s="287">
        <v>512</v>
      </c>
      <c r="B518" s="270" t="s">
        <v>9009</v>
      </c>
      <c r="C518" s="622" t="s">
        <v>5068</v>
      </c>
      <c r="D518" s="418" t="str">
        <f t="shared" si="10"/>
        <v>UBND Phường Thới An</v>
      </c>
      <c r="E518" s="622" t="s">
        <v>2454</v>
      </c>
      <c r="F518" s="270" t="s">
        <v>9021</v>
      </c>
      <c r="G518" s="322">
        <v>205</v>
      </c>
      <c r="H518" s="525" t="s">
        <v>9022</v>
      </c>
    </row>
    <row r="519" spans="1:8" s="673" customFormat="1" ht="31.5">
      <c r="A519" s="287">
        <v>513</v>
      </c>
      <c r="B519" s="270" t="s">
        <v>9010</v>
      </c>
      <c r="C519" s="622" t="s">
        <v>5068</v>
      </c>
      <c r="D519" s="418" t="str">
        <f t="shared" si="10"/>
        <v>UBND Phường Thới An</v>
      </c>
      <c r="E519" s="622" t="s">
        <v>2454</v>
      </c>
      <c r="F519" s="270" t="s">
        <v>9023</v>
      </c>
      <c r="G519" s="322">
        <v>205</v>
      </c>
      <c r="H519" s="525" t="s">
        <v>9024</v>
      </c>
    </row>
    <row r="520" spans="1:8" s="288" customFormat="1">
      <c r="A520" s="287">
        <v>514</v>
      </c>
      <c r="B520" s="275" t="s">
        <v>952</v>
      </c>
      <c r="C520" s="705" t="s">
        <v>5081</v>
      </c>
      <c r="D520" s="418" t="str">
        <f t="shared" si="8"/>
        <v>UBND Phường Thủ Đức</v>
      </c>
      <c r="E520" s="287" t="s">
        <v>3376</v>
      </c>
      <c r="F520" s="287" t="s">
        <v>433</v>
      </c>
      <c r="G520" s="415">
        <v>1972</v>
      </c>
      <c r="H520" s="287" t="s">
        <v>156</v>
      </c>
    </row>
    <row r="521" spans="1:8" s="288" customFormat="1">
      <c r="A521" s="287">
        <v>515</v>
      </c>
      <c r="B521" s="275" t="s">
        <v>3666</v>
      </c>
      <c r="C521" s="705" t="s">
        <v>5081</v>
      </c>
      <c r="D521" s="418" t="str">
        <f t="shared" si="8"/>
        <v>UBND Phường Thủ Đức</v>
      </c>
      <c r="E521" s="287" t="s">
        <v>3737</v>
      </c>
      <c r="F521" s="287" t="s">
        <v>3738</v>
      </c>
      <c r="G521" s="415">
        <v>110</v>
      </c>
      <c r="H521" s="287" t="s">
        <v>177</v>
      </c>
    </row>
    <row r="522" spans="1:8" s="288" customFormat="1">
      <c r="A522" s="287">
        <v>516</v>
      </c>
      <c r="B522" s="275" t="s">
        <v>580</v>
      </c>
      <c r="C522" s="705" t="s">
        <v>5081</v>
      </c>
      <c r="D522" s="418" t="str">
        <f t="shared" si="8"/>
        <v>UBND Phường Thủ Đức</v>
      </c>
      <c r="E522" s="287" t="s">
        <v>581</v>
      </c>
      <c r="F522" s="287" t="s">
        <v>582</v>
      </c>
      <c r="G522" s="415">
        <v>250</v>
      </c>
      <c r="H522" s="287" t="s">
        <v>178</v>
      </c>
    </row>
    <row r="523" spans="1:8" s="288" customFormat="1">
      <c r="A523" s="287">
        <v>517</v>
      </c>
      <c r="B523" s="275" t="s">
        <v>559</v>
      </c>
      <c r="C523" s="705" t="s">
        <v>5081</v>
      </c>
      <c r="D523" s="418" t="str">
        <f t="shared" si="8"/>
        <v>UBND Phường Thủ Đức</v>
      </c>
      <c r="E523" s="287" t="s">
        <v>3941</v>
      </c>
      <c r="F523" s="287" t="s">
        <v>332</v>
      </c>
      <c r="G523" s="415">
        <v>2109</v>
      </c>
      <c r="H523" s="287" t="s">
        <v>152</v>
      </c>
    </row>
    <row r="524" spans="1:8" s="288" customFormat="1">
      <c r="A524" s="287">
        <v>518</v>
      </c>
      <c r="B524" s="275" t="s">
        <v>923</v>
      </c>
      <c r="C524" s="705" t="s">
        <v>5081</v>
      </c>
      <c r="D524" s="418" t="str">
        <f t="shared" si="8"/>
        <v>UBND Phường Thủ Đức</v>
      </c>
      <c r="E524" s="287" t="s">
        <v>924</v>
      </c>
      <c r="F524" s="287" t="s">
        <v>3593</v>
      </c>
      <c r="G524" s="415">
        <v>470</v>
      </c>
      <c r="H524" s="287"/>
    </row>
    <row r="525" spans="1:8" s="288" customFormat="1">
      <c r="A525" s="287">
        <v>519</v>
      </c>
      <c r="B525" s="275" t="s">
        <v>946</v>
      </c>
      <c r="C525" s="705" t="s">
        <v>5081</v>
      </c>
      <c r="D525" s="418" t="str">
        <f t="shared" si="8"/>
        <v>UBND Phường Thủ Đức</v>
      </c>
      <c r="E525" s="287" t="s">
        <v>433</v>
      </c>
      <c r="F525" s="287" t="s">
        <v>407</v>
      </c>
      <c r="G525" s="415">
        <v>300</v>
      </c>
      <c r="H525" s="287"/>
    </row>
    <row r="526" spans="1:8" s="288" customFormat="1">
      <c r="A526" s="287">
        <v>520</v>
      </c>
      <c r="B526" s="275" t="s">
        <v>947</v>
      </c>
      <c r="C526" s="705" t="s">
        <v>5081</v>
      </c>
      <c r="D526" s="418" t="str">
        <f t="shared" si="8"/>
        <v>UBND Phường Thủ Đức</v>
      </c>
      <c r="E526" s="287" t="s">
        <v>255</v>
      </c>
      <c r="F526" s="287" t="s">
        <v>948</v>
      </c>
      <c r="G526" s="415">
        <v>550</v>
      </c>
      <c r="H526" s="287"/>
    </row>
    <row r="527" spans="1:8" s="288" customFormat="1">
      <c r="A527" s="287">
        <v>521</v>
      </c>
      <c r="B527" s="275" t="s">
        <v>951</v>
      </c>
      <c r="C527" s="705" t="s">
        <v>5081</v>
      </c>
      <c r="D527" s="418" t="str">
        <f t="shared" si="8"/>
        <v>UBND Phường Thủ Đức</v>
      </c>
      <c r="E527" s="287" t="s">
        <v>952</v>
      </c>
      <c r="F527" s="287" t="s">
        <v>407</v>
      </c>
      <c r="G527" s="415">
        <v>50</v>
      </c>
      <c r="H527" s="287"/>
    </row>
    <row r="528" spans="1:8" s="288" customFormat="1">
      <c r="A528" s="287">
        <v>522</v>
      </c>
      <c r="B528" s="275" t="s">
        <v>953</v>
      </c>
      <c r="C528" s="705" t="s">
        <v>5081</v>
      </c>
      <c r="D528" s="418" t="str">
        <f t="shared" si="8"/>
        <v>UBND Phường Thủ Đức</v>
      </c>
      <c r="E528" s="287" t="s">
        <v>954</v>
      </c>
      <c r="F528" s="287" t="s">
        <v>3974</v>
      </c>
      <c r="G528" s="415">
        <v>317</v>
      </c>
      <c r="H528" s="287"/>
    </row>
    <row r="529" spans="1:8" s="288" customFormat="1">
      <c r="A529" s="287">
        <v>523</v>
      </c>
      <c r="B529" s="275" t="s">
        <v>971</v>
      </c>
      <c r="C529" s="705" t="s">
        <v>5095</v>
      </c>
      <c r="D529" s="418" t="str">
        <f t="shared" si="8"/>
        <v>UBND Phường Trung Mỹ Tây</v>
      </c>
      <c r="E529" s="287" t="s">
        <v>970</v>
      </c>
      <c r="F529" s="287" t="s">
        <v>959</v>
      </c>
      <c r="G529" s="415">
        <v>1364</v>
      </c>
      <c r="H529" s="287" t="s">
        <v>204</v>
      </c>
    </row>
    <row r="530" spans="1:8" s="288" customFormat="1">
      <c r="A530" s="287">
        <v>524</v>
      </c>
      <c r="B530" s="275" t="s">
        <v>963</v>
      </c>
      <c r="C530" s="705" t="s">
        <v>5095</v>
      </c>
      <c r="D530" s="418" t="str">
        <f t="shared" si="8"/>
        <v>UBND Phường Trung Mỹ Tây</v>
      </c>
      <c r="E530" s="287" t="s">
        <v>960</v>
      </c>
      <c r="F530" s="287" t="s">
        <v>959</v>
      </c>
      <c r="G530" s="415">
        <v>1155</v>
      </c>
      <c r="H530" s="287" t="s">
        <v>204</v>
      </c>
    </row>
    <row r="531" spans="1:8" s="288" customFormat="1">
      <c r="A531" s="287">
        <v>525</v>
      </c>
      <c r="B531" s="275" t="s">
        <v>379</v>
      </c>
      <c r="C531" s="705" t="s">
        <v>5084</v>
      </c>
      <c r="D531" s="418" t="str">
        <f t="shared" si="8"/>
        <v>UBND Phường Vĩnh Hội</v>
      </c>
      <c r="E531" s="287" t="s">
        <v>238</v>
      </c>
      <c r="F531" s="287" t="s">
        <v>3186</v>
      </c>
      <c r="G531" s="415">
        <v>474</v>
      </c>
      <c r="H531" s="287">
        <v>6.1</v>
      </c>
    </row>
    <row r="532" spans="1:8" s="288" customFormat="1">
      <c r="A532" s="287">
        <v>526</v>
      </c>
      <c r="B532" s="275" t="s">
        <v>3975</v>
      </c>
      <c r="C532" s="705" t="s">
        <v>5084</v>
      </c>
      <c r="D532" s="418" t="str">
        <f t="shared" si="8"/>
        <v>UBND Phường Vĩnh Hội</v>
      </c>
      <c r="E532" s="287" t="s">
        <v>7351</v>
      </c>
      <c r="F532" s="287" t="s">
        <v>7351</v>
      </c>
      <c r="G532" s="415">
        <v>300</v>
      </c>
      <c r="H532" s="369" t="s">
        <v>158</v>
      </c>
    </row>
    <row r="533" spans="1:8" s="288" customFormat="1">
      <c r="A533" s="287">
        <v>527</v>
      </c>
      <c r="B533" s="275" t="s">
        <v>903</v>
      </c>
      <c r="C533" s="705" t="s">
        <v>5121</v>
      </c>
      <c r="D533" s="418" t="str">
        <f t="shared" si="8"/>
        <v>UBND Xã An Thới Đông</v>
      </c>
      <c r="E533" s="287" t="s">
        <v>902</v>
      </c>
      <c r="F533" s="287" t="s">
        <v>801</v>
      </c>
      <c r="G533" s="415">
        <v>3980</v>
      </c>
      <c r="H533" s="420" t="s">
        <v>163</v>
      </c>
    </row>
    <row r="534" spans="1:8" s="288" customFormat="1">
      <c r="A534" s="287">
        <v>528</v>
      </c>
      <c r="B534" s="275" t="s">
        <v>9035</v>
      </c>
      <c r="C534" s="287" t="s">
        <v>9036</v>
      </c>
      <c r="D534" s="287" t="s">
        <v>9037</v>
      </c>
      <c r="E534" s="287" t="s">
        <v>3576</v>
      </c>
      <c r="F534" s="287" t="s">
        <v>3545</v>
      </c>
      <c r="G534" s="415">
        <v>2324</v>
      </c>
      <c r="H534" s="421" t="s">
        <v>9045</v>
      </c>
    </row>
    <row r="535" spans="1:8" s="288" customFormat="1">
      <c r="A535" s="287">
        <v>529</v>
      </c>
      <c r="B535" s="275" t="s">
        <v>9038</v>
      </c>
      <c r="C535" s="287" t="s">
        <v>9036</v>
      </c>
      <c r="D535" s="287" t="s">
        <v>9037</v>
      </c>
      <c r="E535" s="287" t="s">
        <v>3601</v>
      </c>
      <c r="F535" s="287" t="s">
        <v>3605</v>
      </c>
      <c r="G535" s="415">
        <v>1564</v>
      </c>
      <c r="H535" s="420" t="s">
        <v>189</v>
      </c>
    </row>
    <row r="536" spans="1:8" s="288" customFormat="1">
      <c r="A536" s="287">
        <v>530</v>
      </c>
      <c r="B536" s="275" t="s">
        <v>9039</v>
      </c>
      <c r="C536" s="287" t="s">
        <v>9036</v>
      </c>
      <c r="D536" s="287" t="s">
        <v>9037</v>
      </c>
      <c r="E536" s="287" t="s">
        <v>3601</v>
      </c>
      <c r="F536" s="287" t="s">
        <v>2459</v>
      </c>
      <c r="G536" s="415">
        <v>1400</v>
      </c>
      <c r="H536" s="420" t="s">
        <v>189</v>
      </c>
    </row>
    <row r="537" spans="1:8" s="288" customFormat="1" ht="33">
      <c r="A537" s="287">
        <v>531</v>
      </c>
      <c r="B537" s="275" t="s">
        <v>9040</v>
      </c>
      <c r="C537" s="287" t="s">
        <v>9036</v>
      </c>
      <c r="D537" s="287" t="s">
        <v>9037</v>
      </c>
      <c r="E537" s="287" t="s">
        <v>9041</v>
      </c>
      <c r="F537" s="287" t="s">
        <v>2459</v>
      </c>
      <c r="G537" s="415">
        <v>450</v>
      </c>
      <c r="H537" s="420" t="s">
        <v>8109</v>
      </c>
    </row>
    <row r="538" spans="1:8" s="288" customFormat="1" ht="33">
      <c r="A538" s="287">
        <v>532</v>
      </c>
      <c r="B538" s="275" t="s">
        <v>9042</v>
      </c>
      <c r="C538" s="287" t="s">
        <v>9036</v>
      </c>
      <c r="D538" s="287" t="s">
        <v>9037</v>
      </c>
      <c r="E538" s="287" t="s">
        <v>9043</v>
      </c>
      <c r="F538" s="287" t="s">
        <v>9044</v>
      </c>
      <c r="G538" s="415">
        <v>170</v>
      </c>
      <c r="H538" s="420" t="s">
        <v>189</v>
      </c>
    </row>
    <row r="539" spans="1:8" s="288" customFormat="1">
      <c r="A539" s="287">
        <v>533</v>
      </c>
      <c r="B539" s="275" t="s">
        <v>1272</v>
      </c>
      <c r="C539" s="287" t="s">
        <v>9036</v>
      </c>
      <c r="D539" s="287" t="s">
        <v>9037</v>
      </c>
      <c r="E539" s="287" t="s">
        <v>3601</v>
      </c>
      <c r="F539" s="287" t="s">
        <v>2459</v>
      </c>
      <c r="G539" s="415">
        <v>416</v>
      </c>
      <c r="H539" s="420">
        <v>5</v>
      </c>
    </row>
    <row r="540" spans="1:8" s="288" customFormat="1" ht="19.5" customHeight="1">
      <c r="A540" s="287">
        <v>534</v>
      </c>
      <c r="B540" s="275" t="s">
        <v>4560</v>
      </c>
      <c r="C540" s="287" t="s">
        <v>5111</v>
      </c>
      <c r="D540" s="287" t="str">
        <f t="shared" si="8"/>
        <v>UBND Xã Bà Điểm</v>
      </c>
      <c r="E540" s="287" t="s">
        <v>9046</v>
      </c>
      <c r="F540" s="287" t="s">
        <v>9047</v>
      </c>
      <c r="G540" s="415">
        <v>790</v>
      </c>
      <c r="H540" s="421" t="s">
        <v>210</v>
      </c>
    </row>
    <row r="541" spans="1:8" s="288" customFormat="1">
      <c r="A541" s="287">
        <v>535</v>
      </c>
      <c r="B541" s="275" t="s">
        <v>4561</v>
      </c>
      <c r="C541" s="705" t="s">
        <v>5111</v>
      </c>
      <c r="D541" s="418" t="str">
        <f t="shared" si="8"/>
        <v>UBND Xã Bà Điểm</v>
      </c>
      <c r="E541" s="287" t="s">
        <v>4562</v>
      </c>
      <c r="F541" s="287" t="s">
        <v>4563</v>
      </c>
      <c r="G541" s="415">
        <v>300</v>
      </c>
      <c r="H541" s="421" t="s">
        <v>183</v>
      </c>
    </row>
    <row r="542" spans="1:8" s="288" customFormat="1">
      <c r="A542" s="287">
        <v>536</v>
      </c>
      <c r="B542" s="275" t="s">
        <v>4641</v>
      </c>
      <c r="C542" s="705" t="s">
        <v>5113</v>
      </c>
      <c r="D542" s="418" t="str">
        <f t="shared" si="8"/>
        <v>UBND Xã Bình Chánh</v>
      </c>
      <c r="E542" s="287" t="s">
        <v>247</v>
      </c>
      <c r="F542" s="287" t="s">
        <v>246</v>
      </c>
      <c r="G542" s="415">
        <v>5200</v>
      </c>
      <c r="H542" s="287"/>
    </row>
    <row r="543" spans="1:8" s="288" customFormat="1">
      <c r="A543" s="287">
        <v>537</v>
      </c>
      <c r="B543" s="275" t="s">
        <v>240</v>
      </c>
      <c r="C543" s="705" t="s">
        <v>5113</v>
      </c>
      <c r="D543" s="418" t="str">
        <f t="shared" si="8"/>
        <v>UBND Xã Bình Chánh</v>
      </c>
      <c r="E543" s="287" t="s">
        <v>245</v>
      </c>
      <c r="F543" s="287" t="s">
        <v>244</v>
      </c>
      <c r="G543" s="415">
        <v>3800</v>
      </c>
      <c r="H543" s="287"/>
    </row>
    <row r="544" spans="1:8" s="288" customFormat="1">
      <c r="A544" s="287">
        <v>538</v>
      </c>
      <c r="B544" s="675" t="s">
        <v>1411</v>
      </c>
      <c r="C544" s="705" t="s">
        <v>5113</v>
      </c>
      <c r="D544" s="418" t="str">
        <f t="shared" si="8"/>
        <v>UBND Xã Bình Chánh</v>
      </c>
      <c r="E544" s="287" t="s">
        <v>245</v>
      </c>
      <c r="F544" s="287" t="s">
        <v>244</v>
      </c>
      <c r="G544" s="415">
        <v>2800</v>
      </c>
      <c r="H544" s="287"/>
    </row>
    <row r="545" spans="1:8" s="288" customFormat="1" ht="33">
      <c r="A545" s="287">
        <v>539</v>
      </c>
      <c r="B545" s="275" t="s">
        <v>75</v>
      </c>
      <c r="C545" s="705" t="s">
        <v>5113</v>
      </c>
      <c r="D545" s="418" t="str">
        <f t="shared" ref="D545:D608" si="11">"UBND "&amp;C545</f>
        <v>UBND Xã Bình Chánh</v>
      </c>
      <c r="E545" s="287" t="s">
        <v>74</v>
      </c>
      <c r="F545" s="287" t="s">
        <v>2724</v>
      </c>
      <c r="G545" s="415">
        <v>1900</v>
      </c>
      <c r="H545" s="287" t="s">
        <v>228</v>
      </c>
    </row>
    <row r="546" spans="1:8" s="288" customFormat="1">
      <c r="A546" s="287">
        <v>540</v>
      </c>
      <c r="B546" s="275" t="s">
        <v>67</v>
      </c>
      <c r="C546" s="705" t="s">
        <v>5113</v>
      </c>
      <c r="D546" s="418" t="str">
        <f t="shared" si="11"/>
        <v>UBND Xã Bình Chánh</v>
      </c>
      <c r="E546" s="287" t="s">
        <v>3360</v>
      </c>
      <c r="F546" s="287" t="s">
        <v>3424</v>
      </c>
      <c r="G546" s="415">
        <v>600</v>
      </c>
      <c r="H546" s="287" t="s">
        <v>154</v>
      </c>
    </row>
    <row r="547" spans="1:8" s="288" customFormat="1">
      <c r="A547" s="287">
        <v>541</v>
      </c>
      <c r="B547" s="275" t="s">
        <v>73</v>
      </c>
      <c r="C547" s="705" t="s">
        <v>5113</v>
      </c>
      <c r="D547" s="418" t="str">
        <f t="shared" si="11"/>
        <v>UBND Xã Bình Chánh</v>
      </c>
      <c r="E547" s="287" t="s">
        <v>1086</v>
      </c>
      <c r="F547" s="287" t="s">
        <v>407</v>
      </c>
      <c r="G547" s="415">
        <v>1350</v>
      </c>
      <c r="H547" s="287" t="s">
        <v>228</v>
      </c>
    </row>
    <row r="548" spans="1:8" s="288" customFormat="1">
      <c r="A548" s="287">
        <v>542</v>
      </c>
      <c r="B548" s="275" t="s">
        <v>3441</v>
      </c>
      <c r="C548" s="705" t="s">
        <v>5089</v>
      </c>
      <c r="D548" s="418" t="str">
        <f t="shared" si="11"/>
        <v>UBND Xã Bình Hưng</v>
      </c>
      <c r="E548" s="287" t="s">
        <v>3397</v>
      </c>
      <c r="F548" s="287" t="s">
        <v>407</v>
      </c>
      <c r="G548" s="415">
        <v>400</v>
      </c>
      <c r="H548" s="287">
        <v>20</v>
      </c>
    </row>
    <row r="549" spans="1:8" s="288" customFormat="1">
      <c r="A549" s="287">
        <v>543</v>
      </c>
      <c r="B549" s="275" t="s">
        <v>30</v>
      </c>
      <c r="C549" s="705" t="s">
        <v>5089</v>
      </c>
      <c r="D549" s="418" t="str">
        <f t="shared" si="11"/>
        <v>UBND Xã Bình Hưng</v>
      </c>
      <c r="E549" s="287" t="s">
        <v>31</v>
      </c>
      <c r="F549" s="287" t="s">
        <v>32</v>
      </c>
      <c r="G549" s="415">
        <v>500</v>
      </c>
      <c r="H549" s="287" t="s">
        <v>33</v>
      </c>
    </row>
    <row r="550" spans="1:8" s="288" customFormat="1">
      <c r="A550" s="287">
        <v>544</v>
      </c>
      <c r="B550" s="275" t="s">
        <v>34</v>
      </c>
      <c r="C550" s="705" t="s">
        <v>5089</v>
      </c>
      <c r="D550" s="418" t="str">
        <f t="shared" si="11"/>
        <v>UBND Xã Bình Hưng</v>
      </c>
      <c r="E550" s="287" t="s">
        <v>35</v>
      </c>
      <c r="F550" s="287" t="s">
        <v>36</v>
      </c>
      <c r="G550" s="415">
        <v>500</v>
      </c>
      <c r="H550" s="287" t="s">
        <v>205</v>
      </c>
    </row>
    <row r="551" spans="1:8" s="288" customFormat="1">
      <c r="A551" s="287">
        <v>545</v>
      </c>
      <c r="B551" s="275" t="s">
        <v>40</v>
      </c>
      <c r="C551" s="705" t="s">
        <v>5089</v>
      </c>
      <c r="D551" s="418" t="str">
        <f t="shared" si="11"/>
        <v>UBND Xã Bình Hưng</v>
      </c>
      <c r="E551" s="287" t="s">
        <v>41</v>
      </c>
      <c r="F551" s="287" t="s">
        <v>232</v>
      </c>
      <c r="G551" s="415">
        <v>500</v>
      </c>
      <c r="H551" s="287" t="s">
        <v>42</v>
      </c>
    </row>
    <row r="552" spans="1:8" s="288" customFormat="1">
      <c r="A552" s="287">
        <v>546</v>
      </c>
      <c r="B552" s="275" t="s">
        <v>4642</v>
      </c>
      <c r="C552" s="705" t="s">
        <v>5089</v>
      </c>
      <c r="D552" s="418" t="str">
        <f t="shared" si="11"/>
        <v>UBND Xã Bình Hưng</v>
      </c>
      <c r="E552" s="287" t="s">
        <v>3351</v>
      </c>
      <c r="F552" s="287" t="s">
        <v>407</v>
      </c>
      <c r="G552" s="415">
        <v>1500</v>
      </c>
      <c r="H552" s="287" t="s">
        <v>155</v>
      </c>
    </row>
    <row r="553" spans="1:8" s="288" customFormat="1">
      <c r="A553" s="287">
        <v>547</v>
      </c>
      <c r="B553" s="275" t="s">
        <v>3711</v>
      </c>
      <c r="C553" s="705" t="s">
        <v>5089</v>
      </c>
      <c r="D553" s="418" t="str">
        <f t="shared" si="11"/>
        <v>UBND Xã Bình Hưng</v>
      </c>
      <c r="E553" s="287" t="s">
        <v>3362</v>
      </c>
      <c r="F553" s="287" t="s">
        <v>47</v>
      </c>
      <c r="G553" s="415">
        <v>300</v>
      </c>
      <c r="H553" s="287" t="s">
        <v>222</v>
      </c>
    </row>
    <row r="554" spans="1:8" s="288" customFormat="1" ht="33">
      <c r="A554" s="287">
        <v>548</v>
      </c>
      <c r="B554" s="275" t="s">
        <v>4643</v>
      </c>
      <c r="C554" s="705" t="s">
        <v>5089</v>
      </c>
      <c r="D554" s="418" t="str">
        <f t="shared" si="11"/>
        <v>UBND Xã Bình Hưng</v>
      </c>
      <c r="E554" s="287" t="s">
        <v>3361</v>
      </c>
      <c r="F554" s="287" t="s">
        <v>994</v>
      </c>
      <c r="G554" s="415">
        <v>3300</v>
      </c>
      <c r="H554" s="287" t="s">
        <v>154</v>
      </c>
    </row>
    <row r="555" spans="1:8" s="288" customFormat="1">
      <c r="A555" s="287">
        <v>549</v>
      </c>
      <c r="B555" s="275" t="s">
        <v>4644</v>
      </c>
      <c r="C555" s="705" t="s">
        <v>5089</v>
      </c>
      <c r="D555" s="418" t="str">
        <f t="shared" si="11"/>
        <v>UBND Xã Bình Hưng</v>
      </c>
      <c r="E555" s="287" t="s">
        <v>50</v>
      </c>
      <c r="F555" s="287" t="s">
        <v>54</v>
      </c>
      <c r="G555" s="415">
        <v>1000</v>
      </c>
      <c r="H555" s="287" t="s">
        <v>55</v>
      </c>
    </row>
    <row r="556" spans="1:8" s="288" customFormat="1">
      <c r="A556" s="287">
        <v>550</v>
      </c>
      <c r="B556" s="275" t="s">
        <v>60</v>
      </c>
      <c r="C556" s="705" t="s">
        <v>5089</v>
      </c>
      <c r="D556" s="418" t="str">
        <f t="shared" si="11"/>
        <v>UBND Xã Bình Hưng</v>
      </c>
      <c r="E556" s="287" t="s">
        <v>61</v>
      </c>
      <c r="F556" s="287" t="s">
        <v>62</v>
      </c>
      <c r="G556" s="415">
        <v>2000</v>
      </c>
      <c r="H556" s="287" t="s">
        <v>645</v>
      </c>
    </row>
    <row r="557" spans="1:8" s="288" customFormat="1">
      <c r="A557" s="287">
        <v>551</v>
      </c>
      <c r="B557" s="275" t="s">
        <v>3263</v>
      </c>
      <c r="C557" s="705" t="s">
        <v>5089</v>
      </c>
      <c r="D557" s="418" t="str">
        <f t="shared" si="11"/>
        <v>UBND Xã Bình Hưng</v>
      </c>
      <c r="E557" s="287" t="s">
        <v>60</v>
      </c>
      <c r="F557" s="287" t="s">
        <v>407</v>
      </c>
      <c r="G557" s="415">
        <v>800</v>
      </c>
      <c r="H557" s="287" t="s">
        <v>156</v>
      </c>
    </row>
    <row r="558" spans="1:8" s="288" customFormat="1">
      <c r="A558" s="287">
        <v>552</v>
      </c>
      <c r="B558" s="275" t="s">
        <v>3264</v>
      </c>
      <c r="C558" s="705" t="s">
        <v>5089</v>
      </c>
      <c r="D558" s="418" t="str">
        <f t="shared" si="11"/>
        <v>UBND Xã Bình Hưng</v>
      </c>
      <c r="E558" s="287" t="s">
        <v>60</v>
      </c>
      <c r="F558" s="287" t="s">
        <v>407</v>
      </c>
      <c r="G558" s="415">
        <v>600</v>
      </c>
      <c r="H558" s="287" t="s">
        <v>156</v>
      </c>
    </row>
    <row r="559" spans="1:8" s="288" customFormat="1">
      <c r="A559" s="287">
        <v>553</v>
      </c>
      <c r="B559" s="275" t="s">
        <v>3265</v>
      </c>
      <c r="C559" s="705" t="s">
        <v>5089</v>
      </c>
      <c r="D559" s="418" t="str">
        <f t="shared" si="11"/>
        <v>UBND Xã Bình Hưng</v>
      </c>
      <c r="E559" s="287" t="s">
        <v>60</v>
      </c>
      <c r="F559" s="287" t="s">
        <v>407</v>
      </c>
      <c r="G559" s="415">
        <v>1000</v>
      </c>
      <c r="H559" s="287" t="s">
        <v>156</v>
      </c>
    </row>
    <row r="560" spans="1:8" s="288" customFormat="1">
      <c r="A560" s="287">
        <v>554</v>
      </c>
      <c r="B560" s="275" t="s">
        <v>3266</v>
      </c>
      <c r="C560" s="705" t="s">
        <v>5089</v>
      </c>
      <c r="D560" s="418" t="str">
        <f t="shared" si="11"/>
        <v>UBND Xã Bình Hưng</v>
      </c>
      <c r="E560" s="287" t="s">
        <v>60</v>
      </c>
      <c r="F560" s="287" t="s">
        <v>407</v>
      </c>
      <c r="G560" s="415">
        <v>400</v>
      </c>
      <c r="H560" s="287" t="s">
        <v>156</v>
      </c>
    </row>
    <row r="561" spans="1:8" s="288" customFormat="1">
      <c r="A561" s="287">
        <v>555</v>
      </c>
      <c r="B561" s="275" t="s">
        <v>396</v>
      </c>
      <c r="C561" s="705" t="s">
        <v>5089</v>
      </c>
      <c r="D561" s="418" t="str">
        <f t="shared" si="11"/>
        <v>UBND Xã Bình Hưng</v>
      </c>
      <c r="E561" s="287" t="s">
        <v>50</v>
      </c>
      <c r="F561" s="287" t="s">
        <v>61</v>
      </c>
      <c r="G561" s="415">
        <v>3000</v>
      </c>
      <c r="H561" s="287" t="s">
        <v>176</v>
      </c>
    </row>
    <row r="562" spans="1:8" s="288" customFormat="1">
      <c r="A562" s="287">
        <v>556</v>
      </c>
      <c r="B562" s="275" t="s">
        <v>63</v>
      </c>
      <c r="C562" s="705" t="s">
        <v>5089</v>
      </c>
      <c r="D562" s="418" t="str">
        <f t="shared" si="11"/>
        <v>UBND Xã Bình Hưng</v>
      </c>
      <c r="E562" s="287" t="s">
        <v>50</v>
      </c>
      <c r="F562" s="287" t="s">
        <v>54</v>
      </c>
      <c r="G562" s="415">
        <v>3000</v>
      </c>
      <c r="H562" s="287" t="s">
        <v>645</v>
      </c>
    </row>
    <row r="563" spans="1:8" s="288" customFormat="1">
      <c r="A563" s="287">
        <v>557</v>
      </c>
      <c r="B563" s="275" t="s">
        <v>64</v>
      </c>
      <c r="C563" s="705" t="s">
        <v>5089</v>
      </c>
      <c r="D563" s="418" t="str">
        <f t="shared" si="11"/>
        <v>UBND Xã Bình Hưng</v>
      </c>
      <c r="E563" s="287" t="s">
        <v>3360</v>
      </c>
      <c r="F563" s="287" t="s">
        <v>3423</v>
      </c>
      <c r="G563" s="415">
        <v>800</v>
      </c>
      <c r="H563" s="287" t="s">
        <v>150</v>
      </c>
    </row>
    <row r="564" spans="1:8" s="288" customFormat="1" ht="33">
      <c r="A564" s="287">
        <v>558</v>
      </c>
      <c r="B564" s="275" t="s">
        <v>8513</v>
      </c>
      <c r="C564" s="705" t="s">
        <v>5089</v>
      </c>
      <c r="D564" s="418" t="str">
        <f t="shared" si="11"/>
        <v>UBND Xã Bình Hưng</v>
      </c>
      <c r="E564" s="287" t="s">
        <v>3360</v>
      </c>
      <c r="F564" s="287" t="s">
        <v>53</v>
      </c>
      <c r="G564" s="415">
        <v>700</v>
      </c>
      <c r="H564" s="287" t="s">
        <v>150</v>
      </c>
    </row>
    <row r="565" spans="1:8" s="288" customFormat="1" ht="33">
      <c r="A565" s="287">
        <v>559</v>
      </c>
      <c r="B565" s="275" t="s">
        <v>8514</v>
      </c>
      <c r="C565" s="705" t="s">
        <v>5089</v>
      </c>
      <c r="D565" s="418" t="str">
        <f t="shared" si="11"/>
        <v>UBND Xã Bình Hưng</v>
      </c>
      <c r="E565" s="287" t="s">
        <v>3360</v>
      </c>
      <c r="F565" s="287" t="s">
        <v>53</v>
      </c>
      <c r="G565" s="415">
        <v>750</v>
      </c>
      <c r="H565" s="287" t="s">
        <v>154</v>
      </c>
    </row>
    <row r="566" spans="1:8" s="288" customFormat="1" ht="33">
      <c r="A566" s="287">
        <v>560</v>
      </c>
      <c r="B566" s="275" t="s">
        <v>8515</v>
      </c>
      <c r="C566" s="705" t="s">
        <v>5089</v>
      </c>
      <c r="D566" s="418" t="str">
        <f t="shared" si="11"/>
        <v>UBND Xã Bình Hưng</v>
      </c>
      <c r="E566" s="287" t="s">
        <v>69</v>
      </c>
      <c r="F566" s="287" t="s">
        <v>562</v>
      </c>
      <c r="G566" s="415">
        <v>2800</v>
      </c>
      <c r="H566" s="287" t="s">
        <v>152</v>
      </c>
    </row>
    <row r="567" spans="1:8" s="288" customFormat="1" ht="33">
      <c r="A567" s="287">
        <v>561</v>
      </c>
      <c r="B567" s="275" t="s">
        <v>76</v>
      </c>
      <c r="C567" s="705" t="s">
        <v>5089</v>
      </c>
      <c r="D567" s="418" t="str">
        <f t="shared" si="11"/>
        <v>UBND Xã Bình Hưng</v>
      </c>
      <c r="E567" s="287" t="s">
        <v>74</v>
      </c>
      <c r="F567" s="287" t="s">
        <v>77</v>
      </c>
      <c r="G567" s="415">
        <v>1000</v>
      </c>
      <c r="H567" s="287" t="s">
        <v>228</v>
      </c>
    </row>
    <row r="568" spans="1:8" s="288" customFormat="1">
      <c r="A568" s="287">
        <v>562</v>
      </c>
      <c r="B568" s="275" t="s">
        <v>78</v>
      </c>
      <c r="C568" s="705" t="s">
        <v>5089</v>
      </c>
      <c r="D568" s="418" t="str">
        <f t="shared" si="11"/>
        <v>UBND Xã Bình Hưng</v>
      </c>
      <c r="E568" s="287" t="s">
        <v>79</v>
      </c>
      <c r="F568" s="287" t="s">
        <v>80</v>
      </c>
      <c r="G568" s="415">
        <v>350</v>
      </c>
      <c r="H568" s="287" t="s">
        <v>163</v>
      </c>
    </row>
    <row r="569" spans="1:8" s="288" customFormat="1">
      <c r="A569" s="287">
        <v>563</v>
      </c>
      <c r="B569" s="275" t="s">
        <v>81</v>
      </c>
      <c r="C569" s="705" t="s">
        <v>5089</v>
      </c>
      <c r="D569" s="418" t="str">
        <f t="shared" si="11"/>
        <v>UBND Xã Bình Hưng</v>
      </c>
      <c r="E569" s="287" t="s">
        <v>387</v>
      </c>
      <c r="F569" s="287" t="s">
        <v>80</v>
      </c>
      <c r="G569" s="415">
        <v>1000</v>
      </c>
      <c r="H569" s="287" t="s">
        <v>155</v>
      </c>
    </row>
    <row r="570" spans="1:8" s="288" customFormat="1">
      <c r="A570" s="287">
        <v>564</v>
      </c>
      <c r="B570" s="275" t="s">
        <v>83</v>
      </c>
      <c r="C570" s="705" t="s">
        <v>5089</v>
      </c>
      <c r="D570" s="418" t="str">
        <f t="shared" si="11"/>
        <v>UBND Xã Bình Hưng</v>
      </c>
      <c r="E570" s="287" t="s">
        <v>84</v>
      </c>
      <c r="F570" s="287" t="s">
        <v>80</v>
      </c>
      <c r="G570" s="415">
        <v>750</v>
      </c>
      <c r="H570" s="287" t="s">
        <v>156</v>
      </c>
    </row>
    <row r="571" spans="1:8" s="288" customFormat="1">
      <c r="A571" s="287">
        <v>565</v>
      </c>
      <c r="B571" s="275" t="s">
        <v>85</v>
      </c>
      <c r="C571" s="705" t="s">
        <v>5089</v>
      </c>
      <c r="D571" s="418" t="str">
        <f t="shared" si="11"/>
        <v>UBND Xã Bình Hưng</v>
      </c>
      <c r="E571" s="287" t="s">
        <v>387</v>
      </c>
      <c r="F571" s="287" t="s">
        <v>80</v>
      </c>
      <c r="G571" s="415">
        <v>500</v>
      </c>
      <c r="H571" s="287" t="s">
        <v>161</v>
      </c>
    </row>
    <row r="572" spans="1:8" s="288" customFormat="1">
      <c r="A572" s="287">
        <v>566</v>
      </c>
      <c r="B572" s="275" t="s">
        <v>89</v>
      </c>
      <c r="C572" s="705" t="s">
        <v>5089</v>
      </c>
      <c r="D572" s="418" t="str">
        <f t="shared" si="11"/>
        <v>UBND Xã Bình Hưng</v>
      </c>
      <c r="E572" s="287" t="s">
        <v>3358</v>
      </c>
      <c r="F572" s="287" t="s">
        <v>407</v>
      </c>
      <c r="G572" s="415">
        <v>500</v>
      </c>
      <c r="H572" s="287" t="s">
        <v>154</v>
      </c>
    </row>
    <row r="573" spans="1:8" s="288" customFormat="1">
      <c r="A573" s="287">
        <v>567</v>
      </c>
      <c r="B573" s="275" t="s">
        <v>90</v>
      </c>
      <c r="C573" s="705" t="s">
        <v>5089</v>
      </c>
      <c r="D573" s="418" t="str">
        <f t="shared" si="11"/>
        <v>UBND Xã Bình Hưng</v>
      </c>
      <c r="E573" s="287" t="s">
        <v>3358</v>
      </c>
      <c r="F573" s="287" t="s">
        <v>407</v>
      </c>
      <c r="G573" s="415">
        <v>400</v>
      </c>
      <c r="H573" s="287" t="s">
        <v>150</v>
      </c>
    </row>
    <row r="574" spans="1:8" s="288" customFormat="1">
      <c r="A574" s="287">
        <v>568</v>
      </c>
      <c r="B574" s="275" t="s">
        <v>91</v>
      </c>
      <c r="C574" s="705" t="s">
        <v>5089</v>
      </c>
      <c r="D574" s="418" t="str">
        <f t="shared" si="11"/>
        <v>UBND Xã Bình Hưng</v>
      </c>
      <c r="E574" s="287" t="s">
        <v>3358</v>
      </c>
      <c r="F574" s="287" t="s">
        <v>3425</v>
      </c>
      <c r="G574" s="415">
        <v>1200</v>
      </c>
      <c r="H574" s="287" t="s">
        <v>155</v>
      </c>
    </row>
    <row r="575" spans="1:8" s="288" customFormat="1">
      <c r="A575" s="287">
        <v>569</v>
      </c>
      <c r="B575" s="275" t="s">
        <v>92</v>
      </c>
      <c r="C575" s="705" t="s">
        <v>5089</v>
      </c>
      <c r="D575" s="418" t="str">
        <f t="shared" si="11"/>
        <v>UBND Xã Bình Hưng</v>
      </c>
      <c r="E575" s="287" t="s">
        <v>80</v>
      </c>
      <c r="F575" s="287" t="s">
        <v>407</v>
      </c>
      <c r="G575" s="415">
        <v>3000</v>
      </c>
      <c r="H575" s="287" t="s">
        <v>159</v>
      </c>
    </row>
    <row r="576" spans="1:8" s="288" customFormat="1" ht="33">
      <c r="A576" s="287">
        <v>570</v>
      </c>
      <c r="B576" s="275" t="s">
        <v>3468</v>
      </c>
      <c r="C576" s="705" t="s">
        <v>5089</v>
      </c>
      <c r="D576" s="418" t="str">
        <f t="shared" si="11"/>
        <v>UBND Xã Bình Hưng</v>
      </c>
      <c r="E576" s="287" t="s">
        <v>3357</v>
      </c>
      <c r="F576" s="287" t="s">
        <v>407</v>
      </c>
      <c r="G576" s="415">
        <v>3500</v>
      </c>
      <c r="H576" s="287" t="s">
        <v>155</v>
      </c>
    </row>
    <row r="577" spans="1:8" s="288" customFormat="1" ht="33">
      <c r="A577" s="287">
        <v>571</v>
      </c>
      <c r="B577" s="275" t="s">
        <v>3469</v>
      </c>
      <c r="C577" s="705" t="s">
        <v>5089</v>
      </c>
      <c r="D577" s="418" t="str">
        <f t="shared" si="11"/>
        <v>UBND Xã Bình Hưng</v>
      </c>
      <c r="E577" s="287" t="s">
        <v>3357</v>
      </c>
      <c r="F577" s="287" t="s">
        <v>407</v>
      </c>
      <c r="G577" s="415">
        <v>500</v>
      </c>
      <c r="H577" s="287" t="s">
        <v>156</v>
      </c>
    </row>
    <row r="578" spans="1:8" s="288" customFormat="1" ht="33">
      <c r="A578" s="287">
        <v>572</v>
      </c>
      <c r="B578" s="275" t="s">
        <v>3470</v>
      </c>
      <c r="C578" s="705" t="s">
        <v>5089</v>
      </c>
      <c r="D578" s="418" t="str">
        <f t="shared" si="11"/>
        <v>UBND Xã Bình Hưng</v>
      </c>
      <c r="E578" s="287" t="s">
        <v>3357</v>
      </c>
      <c r="F578" s="287" t="s">
        <v>407</v>
      </c>
      <c r="G578" s="415">
        <v>500</v>
      </c>
      <c r="H578" s="287" t="s">
        <v>156</v>
      </c>
    </row>
    <row r="579" spans="1:8" s="288" customFormat="1">
      <c r="A579" s="287">
        <v>573</v>
      </c>
      <c r="B579" s="275" t="s">
        <v>3269</v>
      </c>
      <c r="C579" s="705" t="s">
        <v>5089</v>
      </c>
      <c r="D579" s="418" t="str">
        <f t="shared" si="11"/>
        <v>UBND Xã Bình Hưng</v>
      </c>
      <c r="E579" s="287" t="s">
        <v>72</v>
      </c>
      <c r="F579" s="287" t="s">
        <v>407</v>
      </c>
      <c r="G579" s="415">
        <v>500</v>
      </c>
      <c r="H579" s="287" t="s">
        <v>154</v>
      </c>
    </row>
    <row r="580" spans="1:8" s="288" customFormat="1">
      <c r="A580" s="287">
        <v>574</v>
      </c>
      <c r="B580" s="275" t="s">
        <v>3270</v>
      </c>
      <c r="C580" s="705" t="s">
        <v>5089</v>
      </c>
      <c r="D580" s="418" t="str">
        <f t="shared" si="11"/>
        <v>UBND Xã Bình Hưng</v>
      </c>
      <c r="E580" s="287" t="s">
        <v>72</v>
      </c>
      <c r="F580" s="287" t="s">
        <v>3426</v>
      </c>
      <c r="G580" s="415">
        <v>700</v>
      </c>
      <c r="H580" s="287" t="s">
        <v>153</v>
      </c>
    </row>
    <row r="581" spans="1:8" s="288" customFormat="1">
      <c r="A581" s="287">
        <v>575</v>
      </c>
      <c r="B581" s="275" t="s">
        <v>3271</v>
      </c>
      <c r="C581" s="705" t="s">
        <v>5089</v>
      </c>
      <c r="D581" s="418" t="str">
        <f t="shared" si="11"/>
        <v>UBND Xã Bình Hưng</v>
      </c>
      <c r="E581" s="287" t="s">
        <v>72</v>
      </c>
      <c r="F581" s="287" t="s">
        <v>407</v>
      </c>
      <c r="G581" s="415">
        <v>350</v>
      </c>
      <c r="H581" s="287" t="s">
        <v>150</v>
      </c>
    </row>
    <row r="582" spans="1:8" s="288" customFormat="1">
      <c r="A582" s="287">
        <v>576</v>
      </c>
      <c r="B582" s="275" t="s">
        <v>3272</v>
      </c>
      <c r="C582" s="705" t="s">
        <v>5089</v>
      </c>
      <c r="D582" s="418" t="str">
        <f t="shared" si="11"/>
        <v>UBND Xã Bình Hưng</v>
      </c>
      <c r="E582" s="287" t="s">
        <v>72</v>
      </c>
      <c r="F582" s="287" t="s">
        <v>407</v>
      </c>
      <c r="G582" s="415">
        <v>250</v>
      </c>
      <c r="H582" s="287" t="s">
        <v>150</v>
      </c>
    </row>
    <row r="583" spans="1:8" s="288" customFormat="1" ht="33">
      <c r="A583" s="287">
        <v>577</v>
      </c>
      <c r="B583" s="275" t="s">
        <v>3273</v>
      </c>
      <c r="C583" s="705" t="s">
        <v>5089</v>
      </c>
      <c r="D583" s="418" t="str">
        <f t="shared" si="11"/>
        <v>UBND Xã Bình Hưng</v>
      </c>
      <c r="E583" s="287" t="s">
        <v>72</v>
      </c>
      <c r="F583" s="287" t="s">
        <v>3427</v>
      </c>
      <c r="G583" s="415">
        <v>1300</v>
      </c>
      <c r="H583" s="287" t="s">
        <v>156</v>
      </c>
    </row>
    <row r="584" spans="1:8" s="288" customFormat="1">
      <c r="A584" s="287">
        <v>578</v>
      </c>
      <c r="B584" s="275" t="s">
        <v>3274</v>
      </c>
      <c r="C584" s="705" t="s">
        <v>5089</v>
      </c>
      <c r="D584" s="418" t="str">
        <f t="shared" si="11"/>
        <v>UBND Xã Bình Hưng</v>
      </c>
      <c r="E584" s="287" t="s">
        <v>72</v>
      </c>
      <c r="F584" s="287" t="s">
        <v>3426</v>
      </c>
      <c r="G584" s="415">
        <v>700</v>
      </c>
      <c r="H584" s="287" t="s">
        <v>154</v>
      </c>
    </row>
    <row r="585" spans="1:8" s="288" customFormat="1">
      <c r="A585" s="287">
        <v>579</v>
      </c>
      <c r="B585" s="275" t="s">
        <v>3275</v>
      </c>
      <c r="C585" s="705" t="s">
        <v>5089</v>
      </c>
      <c r="D585" s="418" t="str">
        <f t="shared" si="11"/>
        <v>UBND Xã Bình Hưng</v>
      </c>
      <c r="E585" s="287" t="s">
        <v>72</v>
      </c>
      <c r="F585" s="287" t="s">
        <v>407</v>
      </c>
      <c r="G585" s="415">
        <v>1200</v>
      </c>
      <c r="H585" s="287" t="s">
        <v>150</v>
      </c>
    </row>
    <row r="586" spans="1:8" s="288" customFormat="1">
      <c r="A586" s="287">
        <v>580</v>
      </c>
      <c r="B586" s="275" t="s">
        <v>3276</v>
      </c>
      <c r="C586" s="705" t="s">
        <v>5089</v>
      </c>
      <c r="D586" s="418" t="str">
        <f t="shared" si="11"/>
        <v>UBND Xã Bình Hưng</v>
      </c>
      <c r="E586" s="287" t="s">
        <v>72</v>
      </c>
      <c r="F586" s="287" t="s">
        <v>407</v>
      </c>
      <c r="G586" s="415">
        <v>500</v>
      </c>
      <c r="H586" s="287" t="s">
        <v>150</v>
      </c>
    </row>
    <row r="587" spans="1:8" s="288" customFormat="1">
      <c r="A587" s="287">
        <v>581</v>
      </c>
      <c r="B587" s="275" t="s">
        <v>3277</v>
      </c>
      <c r="C587" s="705" t="s">
        <v>5089</v>
      </c>
      <c r="D587" s="418" t="str">
        <f t="shared" si="11"/>
        <v>UBND Xã Bình Hưng</v>
      </c>
      <c r="E587" s="287" t="s">
        <v>72</v>
      </c>
      <c r="F587" s="287" t="s">
        <v>407</v>
      </c>
      <c r="G587" s="415">
        <v>1000</v>
      </c>
      <c r="H587" s="287" t="s">
        <v>153</v>
      </c>
    </row>
    <row r="588" spans="1:8" s="288" customFormat="1">
      <c r="A588" s="287">
        <v>582</v>
      </c>
      <c r="B588" s="275" t="s">
        <v>3278</v>
      </c>
      <c r="C588" s="705" t="s">
        <v>5089</v>
      </c>
      <c r="D588" s="418" t="str">
        <f t="shared" si="11"/>
        <v>UBND Xã Bình Hưng</v>
      </c>
      <c r="E588" s="287" t="s">
        <v>72</v>
      </c>
      <c r="F588" s="287" t="s">
        <v>3351</v>
      </c>
      <c r="G588" s="415">
        <v>800</v>
      </c>
      <c r="H588" s="287" t="s">
        <v>156</v>
      </c>
    </row>
    <row r="589" spans="1:8" s="288" customFormat="1">
      <c r="A589" s="287">
        <v>583</v>
      </c>
      <c r="B589" s="275" t="s">
        <v>3279</v>
      </c>
      <c r="C589" s="705" t="s">
        <v>5089</v>
      </c>
      <c r="D589" s="418" t="str">
        <f t="shared" si="11"/>
        <v>UBND Xã Bình Hưng</v>
      </c>
      <c r="E589" s="287" t="s">
        <v>72</v>
      </c>
      <c r="F589" s="287" t="s">
        <v>407</v>
      </c>
      <c r="G589" s="415">
        <v>300</v>
      </c>
      <c r="H589" s="287" t="s">
        <v>150</v>
      </c>
    </row>
    <row r="590" spans="1:8" s="288" customFormat="1">
      <c r="A590" s="287">
        <v>584</v>
      </c>
      <c r="B590" s="275" t="s">
        <v>3280</v>
      </c>
      <c r="C590" s="705" t="s">
        <v>5089</v>
      </c>
      <c r="D590" s="418" t="str">
        <f t="shared" si="11"/>
        <v>UBND Xã Bình Hưng</v>
      </c>
      <c r="E590" s="287" t="s">
        <v>100</v>
      </c>
      <c r="F590" s="287" t="s">
        <v>407</v>
      </c>
      <c r="G590" s="415">
        <v>400</v>
      </c>
      <c r="H590" s="287" t="s">
        <v>155</v>
      </c>
    </row>
    <row r="591" spans="1:8" s="288" customFormat="1">
      <c r="A591" s="287">
        <v>585</v>
      </c>
      <c r="B591" s="275" t="s">
        <v>3281</v>
      </c>
      <c r="C591" s="705" t="s">
        <v>5089</v>
      </c>
      <c r="D591" s="418" t="str">
        <f t="shared" si="11"/>
        <v>UBND Xã Bình Hưng</v>
      </c>
      <c r="E591" s="287" t="s">
        <v>100</v>
      </c>
      <c r="F591" s="287" t="s">
        <v>407</v>
      </c>
      <c r="G591" s="415">
        <v>400</v>
      </c>
      <c r="H591" s="287" t="s">
        <v>155</v>
      </c>
    </row>
    <row r="592" spans="1:8" s="288" customFormat="1">
      <c r="A592" s="287">
        <v>586</v>
      </c>
      <c r="B592" s="275" t="s">
        <v>3282</v>
      </c>
      <c r="C592" s="705" t="s">
        <v>5089</v>
      </c>
      <c r="D592" s="418" t="str">
        <f t="shared" si="11"/>
        <v>UBND Xã Bình Hưng</v>
      </c>
      <c r="E592" s="287" t="s">
        <v>100</v>
      </c>
      <c r="F592" s="287" t="s">
        <v>407</v>
      </c>
      <c r="G592" s="415">
        <v>500</v>
      </c>
      <c r="H592" s="287" t="s">
        <v>155</v>
      </c>
    </row>
    <row r="593" spans="1:8" s="288" customFormat="1">
      <c r="A593" s="287">
        <v>587</v>
      </c>
      <c r="B593" s="275" t="s">
        <v>93</v>
      </c>
      <c r="C593" s="705" t="s">
        <v>5089</v>
      </c>
      <c r="D593" s="418" t="str">
        <f t="shared" si="11"/>
        <v>UBND Xã Bình Hưng</v>
      </c>
      <c r="E593" s="287" t="s">
        <v>1082</v>
      </c>
      <c r="F593" s="287" t="s">
        <v>407</v>
      </c>
      <c r="G593" s="415">
        <v>4000</v>
      </c>
      <c r="H593" s="287" t="s">
        <v>154</v>
      </c>
    </row>
    <row r="594" spans="1:8" s="288" customFormat="1">
      <c r="A594" s="287">
        <v>588</v>
      </c>
      <c r="B594" s="275" t="s">
        <v>94</v>
      </c>
      <c r="C594" s="705" t="s">
        <v>5089</v>
      </c>
      <c r="D594" s="418" t="str">
        <f t="shared" si="11"/>
        <v>UBND Xã Bình Hưng</v>
      </c>
      <c r="E594" s="287" t="s">
        <v>1082</v>
      </c>
      <c r="F594" s="287" t="s">
        <v>407</v>
      </c>
      <c r="G594" s="415">
        <v>2800</v>
      </c>
      <c r="H594" s="287" t="s">
        <v>150</v>
      </c>
    </row>
    <row r="595" spans="1:8" s="288" customFormat="1">
      <c r="A595" s="287">
        <v>589</v>
      </c>
      <c r="B595" s="275" t="s">
        <v>3288</v>
      </c>
      <c r="C595" s="705" t="s">
        <v>5089</v>
      </c>
      <c r="D595" s="418" t="str">
        <f t="shared" si="11"/>
        <v>UBND Xã Bình Hưng</v>
      </c>
      <c r="E595" s="287" t="s">
        <v>3356</v>
      </c>
      <c r="F595" s="287" t="s">
        <v>79</v>
      </c>
      <c r="G595" s="415">
        <v>1800</v>
      </c>
      <c r="H595" s="287" t="s">
        <v>155</v>
      </c>
    </row>
    <row r="596" spans="1:8" s="288" customFormat="1">
      <c r="A596" s="287">
        <v>590</v>
      </c>
      <c r="B596" s="275" t="s">
        <v>3289</v>
      </c>
      <c r="C596" s="705" t="s">
        <v>5089</v>
      </c>
      <c r="D596" s="418" t="str">
        <f t="shared" si="11"/>
        <v>UBND Xã Bình Hưng</v>
      </c>
      <c r="E596" s="287" t="s">
        <v>3356</v>
      </c>
      <c r="F596" s="287" t="s">
        <v>407</v>
      </c>
      <c r="G596" s="415">
        <v>1200</v>
      </c>
      <c r="H596" s="287" t="s">
        <v>156</v>
      </c>
    </row>
    <row r="597" spans="1:8" s="288" customFormat="1">
      <c r="A597" s="287">
        <v>591</v>
      </c>
      <c r="B597" s="275" t="s">
        <v>3291</v>
      </c>
      <c r="C597" s="705" t="s">
        <v>5089</v>
      </c>
      <c r="D597" s="418" t="str">
        <f t="shared" si="11"/>
        <v>UBND Xã Bình Hưng</v>
      </c>
      <c r="E597" s="287" t="s">
        <v>3355</v>
      </c>
      <c r="F597" s="287" t="s">
        <v>407</v>
      </c>
      <c r="G597" s="415">
        <v>900</v>
      </c>
      <c r="H597" s="287" t="s">
        <v>163</v>
      </c>
    </row>
    <row r="598" spans="1:8" s="288" customFormat="1">
      <c r="A598" s="287">
        <v>592</v>
      </c>
      <c r="B598" s="275" t="s">
        <v>3292</v>
      </c>
      <c r="C598" s="705" t="s">
        <v>5089</v>
      </c>
      <c r="D598" s="418" t="str">
        <f t="shared" si="11"/>
        <v>UBND Xã Bình Hưng</v>
      </c>
      <c r="E598" s="287" t="s">
        <v>3355</v>
      </c>
      <c r="F598" s="287" t="s">
        <v>407</v>
      </c>
      <c r="G598" s="415">
        <v>1600</v>
      </c>
      <c r="H598" s="287" t="s">
        <v>163</v>
      </c>
    </row>
    <row r="599" spans="1:8" s="288" customFormat="1">
      <c r="A599" s="287">
        <v>593</v>
      </c>
      <c r="B599" s="275" t="s">
        <v>3293</v>
      </c>
      <c r="C599" s="705" t="s">
        <v>5089</v>
      </c>
      <c r="D599" s="418" t="str">
        <f t="shared" si="11"/>
        <v>UBND Xã Bình Hưng</v>
      </c>
      <c r="E599" s="287" t="s">
        <v>3355</v>
      </c>
      <c r="F599" s="287" t="s">
        <v>407</v>
      </c>
      <c r="G599" s="415">
        <v>500</v>
      </c>
      <c r="H599" s="287" t="s">
        <v>155</v>
      </c>
    </row>
    <row r="600" spans="1:8" s="288" customFormat="1">
      <c r="A600" s="287">
        <v>594</v>
      </c>
      <c r="B600" s="275" t="s">
        <v>3294</v>
      </c>
      <c r="C600" s="705" t="s">
        <v>5089</v>
      </c>
      <c r="D600" s="418" t="str">
        <f t="shared" si="11"/>
        <v>UBND Xã Bình Hưng</v>
      </c>
      <c r="E600" s="287" t="s">
        <v>3355</v>
      </c>
      <c r="F600" s="287" t="s">
        <v>407</v>
      </c>
      <c r="G600" s="415">
        <v>400</v>
      </c>
      <c r="H600" s="287" t="s">
        <v>155</v>
      </c>
    </row>
    <row r="601" spans="1:8" s="288" customFormat="1">
      <c r="A601" s="287">
        <v>595</v>
      </c>
      <c r="B601" s="275" t="s">
        <v>3295</v>
      </c>
      <c r="C601" s="705" t="s">
        <v>5089</v>
      </c>
      <c r="D601" s="418" t="str">
        <f t="shared" si="11"/>
        <v>UBND Xã Bình Hưng</v>
      </c>
      <c r="E601" s="287" t="s">
        <v>3355</v>
      </c>
      <c r="F601" s="287" t="s">
        <v>407</v>
      </c>
      <c r="G601" s="415">
        <v>400</v>
      </c>
      <c r="H601" s="287" t="s">
        <v>155</v>
      </c>
    </row>
    <row r="602" spans="1:8" s="288" customFormat="1">
      <c r="A602" s="287">
        <v>596</v>
      </c>
      <c r="B602" s="275" t="s">
        <v>397</v>
      </c>
      <c r="C602" s="705" t="s">
        <v>5089</v>
      </c>
      <c r="D602" s="418" t="str">
        <f t="shared" si="11"/>
        <v>UBND Xã Bình Hưng</v>
      </c>
      <c r="E602" s="287" t="s">
        <v>3198</v>
      </c>
      <c r="F602" s="287" t="s">
        <v>396</v>
      </c>
      <c r="G602" s="415">
        <v>291</v>
      </c>
      <c r="H602" s="287">
        <v>5</v>
      </c>
    </row>
    <row r="603" spans="1:8" s="288" customFormat="1">
      <c r="A603" s="287">
        <v>597</v>
      </c>
      <c r="B603" s="275" t="s">
        <v>398</v>
      </c>
      <c r="C603" s="705" t="s">
        <v>5089</v>
      </c>
      <c r="D603" s="418" t="str">
        <f t="shared" si="11"/>
        <v>UBND Xã Bình Hưng</v>
      </c>
      <c r="E603" s="287" t="s">
        <v>3198</v>
      </c>
      <c r="F603" s="287" t="s">
        <v>396</v>
      </c>
      <c r="G603" s="415">
        <v>236</v>
      </c>
      <c r="H603" s="287">
        <v>4.8</v>
      </c>
    </row>
    <row r="604" spans="1:8" s="288" customFormat="1">
      <c r="A604" s="287">
        <v>598</v>
      </c>
      <c r="B604" s="275" t="s">
        <v>318</v>
      </c>
      <c r="C604" s="705" t="s">
        <v>5089</v>
      </c>
      <c r="D604" s="418" t="str">
        <f t="shared" si="11"/>
        <v>UBND Xã Bình Hưng</v>
      </c>
      <c r="E604" s="287" t="s">
        <v>50</v>
      </c>
      <c r="F604" s="287" t="s">
        <v>80</v>
      </c>
      <c r="G604" s="415">
        <v>550</v>
      </c>
      <c r="H604" s="287" t="s">
        <v>153</v>
      </c>
    </row>
    <row r="605" spans="1:8" s="288" customFormat="1">
      <c r="A605" s="287">
        <v>599</v>
      </c>
      <c r="B605" s="275" t="s">
        <v>104</v>
      </c>
      <c r="C605" s="705" t="s">
        <v>5119</v>
      </c>
      <c r="D605" s="418" t="str">
        <f t="shared" si="11"/>
        <v>UBND Xã Bình Khánh</v>
      </c>
      <c r="E605" s="287" t="s">
        <v>691</v>
      </c>
      <c r="F605" s="287" t="s">
        <v>407</v>
      </c>
      <c r="G605" s="415">
        <v>1500</v>
      </c>
      <c r="H605" s="287" t="s">
        <v>156</v>
      </c>
    </row>
    <row r="606" spans="1:8" s="288" customFormat="1">
      <c r="A606" s="287">
        <v>600</v>
      </c>
      <c r="B606" s="275" t="s">
        <v>105</v>
      </c>
      <c r="C606" s="705" t="s">
        <v>5119</v>
      </c>
      <c r="D606" s="418" t="str">
        <f t="shared" si="11"/>
        <v>UBND Xã Bình Khánh</v>
      </c>
      <c r="E606" s="287" t="s">
        <v>691</v>
      </c>
      <c r="F606" s="287" t="s">
        <v>407</v>
      </c>
      <c r="G606" s="415">
        <v>900</v>
      </c>
      <c r="H606" s="287" t="s">
        <v>150</v>
      </c>
    </row>
    <row r="607" spans="1:8" s="288" customFormat="1">
      <c r="A607" s="287">
        <v>601</v>
      </c>
      <c r="B607" s="275" t="s">
        <v>882</v>
      </c>
      <c r="C607" s="705" t="s">
        <v>5119</v>
      </c>
      <c r="D607" s="418" t="str">
        <f t="shared" si="11"/>
        <v>UBND Xã Bình Khánh</v>
      </c>
      <c r="E607" s="287" t="s">
        <v>881</v>
      </c>
      <c r="F607" s="287" t="s">
        <v>691</v>
      </c>
      <c r="G607" s="415">
        <v>1338</v>
      </c>
      <c r="H607" s="369" t="s">
        <v>824</v>
      </c>
    </row>
    <row r="608" spans="1:8" s="288" customFormat="1">
      <c r="A608" s="287">
        <v>602</v>
      </c>
      <c r="B608" s="275" t="s">
        <v>21</v>
      </c>
      <c r="C608" s="705" t="s">
        <v>5114</v>
      </c>
      <c r="D608" s="418" t="str">
        <f t="shared" si="11"/>
        <v>UBND Xã Bình Lợi</v>
      </c>
      <c r="E608" s="287" t="s">
        <v>22</v>
      </c>
      <c r="F608" s="287" t="s">
        <v>23</v>
      </c>
      <c r="G608" s="415">
        <v>1584</v>
      </c>
      <c r="H608" s="287" t="s">
        <v>217</v>
      </c>
    </row>
    <row r="609" spans="1:8" s="288" customFormat="1">
      <c r="A609" s="287">
        <v>603</v>
      </c>
      <c r="B609" s="275" t="s">
        <v>4619</v>
      </c>
      <c r="C609" s="705" t="s">
        <v>5066</v>
      </c>
      <c r="D609" s="418" t="str">
        <f t="shared" ref="D609:D672" si="12">"UBND "&amp;C609</f>
        <v>UBND Xã Bình Mỹ</v>
      </c>
      <c r="E609" s="287" t="s">
        <v>4620</v>
      </c>
      <c r="F609" s="287" t="s">
        <v>4621</v>
      </c>
      <c r="G609" s="415">
        <v>150</v>
      </c>
      <c r="H609" s="421" t="s">
        <v>164</v>
      </c>
    </row>
    <row r="610" spans="1:8" s="288" customFormat="1" ht="33">
      <c r="A610" s="287">
        <v>604</v>
      </c>
      <c r="B610" s="275" t="s">
        <v>402</v>
      </c>
      <c r="C610" s="705" t="s">
        <v>5066</v>
      </c>
      <c r="D610" s="418" t="str">
        <f t="shared" si="12"/>
        <v>UBND Xã Bình Mỹ</v>
      </c>
      <c r="E610" s="287" t="s">
        <v>3552</v>
      </c>
      <c r="F610" s="287" t="s">
        <v>396</v>
      </c>
      <c r="G610" s="415">
        <v>438</v>
      </c>
      <c r="H610" s="287">
        <v>6.2</v>
      </c>
    </row>
    <row r="611" spans="1:8" s="288" customFormat="1">
      <c r="A611" s="287">
        <v>605</v>
      </c>
      <c r="B611" s="275" t="s">
        <v>860</v>
      </c>
      <c r="C611" s="705" t="s">
        <v>5122</v>
      </c>
      <c r="D611" s="418" t="str">
        <f t="shared" si="12"/>
        <v>UBND Xã Cần Giờ</v>
      </c>
      <c r="E611" s="287" t="s">
        <v>722</v>
      </c>
      <c r="F611" s="287" t="s">
        <v>843</v>
      </c>
      <c r="G611" s="415">
        <v>1630</v>
      </c>
      <c r="H611" s="369" t="s">
        <v>329</v>
      </c>
    </row>
    <row r="612" spans="1:8" s="288" customFormat="1">
      <c r="A612" s="287">
        <v>606</v>
      </c>
      <c r="B612" s="275" t="s">
        <v>719</v>
      </c>
      <c r="C612" s="705" t="s">
        <v>5122</v>
      </c>
      <c r="D612" s="418" t="str">
        <f t="shared" si="12"/>
        <v>UBND Xã Cần Giờ</v>
      </c>
      <c r="E612" s="287" t="s">
        <v>387</v>
      </c>
      <c r="F612" s="287" t="s">
        <v>717</v>
      </c>
      <c r="G612" s="415">
        <v>1900</v>
      </c>
      <c r="H612" s="369" t="s">
        <v>662</v>
      </c>
    </row>
    <row r="613" spans="1:8" s="673" customFormat="1">
      <c r="A613" s="287">
        <v>607</v>
      </c>
      <c r="B613" s="277" t="s">
        <v>599</v>
      </c>
      <c r="C613" s="705" t="s">
        <v>5122</v>
      </c>
      <c r="D613" s="418" t="str">
        <f t="shared" si="12"/>
        <v>UBND Xã Cần Giờ</v>
      </c>
      <c r="E613" s="505" t="s">
        <v>722</v>
      </c>
      <c r="F613" s="505" t="s">
        <v>8525</v>
      </c>
      <c r="G613" s="415">
        <v>1516</v>
      </c>
      <c r="H613" s="369" t="s">
        <v>8526</v>
      </c>
    </row>
    <row r="614" spans="1:8" s="288" customFormat="1">
      <c r="A614" s="287">
        <v>608</v>
      </c>
      <c r="B614" s="275" t="s">
        <v>640</v>
      </c>
      <c r="C614" s="705" t="s">
        <v>5118</v>
      </c>
      <c r="D614" s="418" t="str">
        <f t="shared" si="12"/>
        <v>UBND Xã Củ Chi</v>
      </c>
      <c r="E614" s="287" t="s">
        <v>576</v>
      </c>
      <c r="F614" s="287" t="s">
        <v>642</v>
      </c>
      <c r="G614" s="415">
        <v>800</v>
      </c>
      <c r="H614" s="287" t="s">
        <v>156</v>
      </c>
    </row>
    <row r="615" spans="1:8" s="288" customFormat="1" ht="33">
      <c r="A615" s="287">
        <v>609</v>
      </c>
      <c r="B615" s="275" t="s">
        <v>3604</v>
      </c>
      <c r="C615" s="705" t="s">
        <v>5067</v>
      </c>
      <c r="D615" s="418" t="str">
        <f t="shared" si="12"/>
        <v>UBND Xã Đông Thạnh</v>
      </c>
      <c r="E615" s="287" t="s">
        <v>3603</v>
      </c>
      <c r="F615" s="287" t="s">
        <v>1115</v>
      </c>
      <c r="G615" s="415">
        <v>600</v>
      </c>
      <c r="H615" s="287" t="s">
        <v>628</v>
      </c>
    </row>
    <row r="616" spans="1:8" s="288" customFormat="1">
      <c r="A616" s="287">
        <v>610</v>
      </c>
      <c r="B616" s="275" t="s">
        <v>4544</v>
      </c>
      <c r="C616" s="705" t="s">
        <v>5067</v>
      </c>
      <c r="D616" s="418" t="str">
        <f t="shared" si="12"/>
        <v>UBND Xã Đông Thạnh</v>
      </c>
      <c r="E616" s="287" t="s">
        <v>4545</v>
      </c>
      <c r="F616" s="287" t="s">
        <v>1115</v>
      </c>
      <c r="G616" s="415">
        <v>23</v>
      </c>
      <c r="H616" s="420" t="s">
        <v>210</v>
      </c>
    </row>
    <row r="617" spans="1:8" s="288" customFormat="1">
      <c r="A617" s="287">
        <v>611</v>
      </c>
      <c r="B617" s="275" t="s">
        <v>4546</v>
      </c>
      <c r="C617" s="705" t="s">
        <v>5067</v>
      </c>
      <c r="D617" s="418" t="str">
        <f t="shared" si="12"/>
        <v>UBND Xã Đông Thạnh</v>
      </c>
      <c r="E617" s="287" t="s">
        <v>4547</v>
      </c>
      <c r="F617" s="287" t="s">
        <v>1115</v>
      </c>
      <c r="G617" s="415">
        <v>84</v>
      </c>
      <c r="H617" s="420" t="s">
        <v>210</v>
      </c>
    </row>
    <row r="618" spans="1:8" s="288" customFormat="1" ht="33">
      <c r="A618" s="287">
        <v>612</v>
      </c>
      <c r="B618" s="275" t="s">
        <v>4548</v>
      </c>
      <c r="C618" s="705" t="s">
        <v>5067</v>
      </c>
      <c r="D618" s="418" t="str">
        <f t="shared" si="12"/>
        <v>UBND Xã Đông Thạnh</v>
      </c>
      <c r="E618" s="287" t="s">
        <v>4549</v>
      </c>
      <c r="F618" s="287" t="s">
        <v>4550</v>
      </c>
      <c r="G618" s="415">
        <v>2037</v>
      </c>
      <c r="H618" s="421" t="s">
        <v>215</v>
      </c>
    </row>
    <row r="619" spans="1:8" s="288" customFormat="1">
      <c r="A619" s="287">
        <v>613</v>
      </c>
      <c r="B619" s="275" t="s">
        <v>4567</v>
      </c>
      <c r="C619" s="705" t="s">
        <v>5067</v>
      </c>
      <c r="D619" s="418" t="str">
        <f t="shared" si="12"/>
        <v>UBND Xã Đông Thạnh</v>
      </c>
      <c r="E619" s="287" t="s">
        <v>4568</v>
      </c>
      <c r="F619" s="287" t="s">
        <v>407</v>
      </c>
      <c r="G619" s="415">
        <v>30</v>
      </c>
      <c r="H619" s="421" t="s">
        <v>183</v>
      </c>
    </row>
    <row r="620" spans="1:8" s="288" customFormat="1">
      <c r="A620" s="287">
        <v>614</v>
      </c>
      <c r="B620" s="275" t="s">
        <v>4569</v>
      </c>
      <c r="C620" s="705" t="s">
        <v>5067</v>
      </c>
      <c r="D620" s="418" t="str">
        <f t="shared" si="12"/>
        <v>UBND Xã Đông Thạnh</v>
      </c>
      <c r="E620" s="287" t="s">
        <v>4568</v>
      </c>
      <c r="F620" s="287" t="s">
        <v>407</v>
      </c>
      <c r="G620" s="415">
        <v>150</v>
      </c>
      <c r="H620" s="421" t="s">
        <v>183</v>
      </c>
    </row>
    <row r="621" spans="1:8" s="288" customFormat="1">
      <c r="A621" s="287">
        <v>615</v>
      </c>
      <c r="B621" s="275" t="s">
        <v>4570</v>
      </c>
      <c r="C621" s="705" t="s">
        <v>5067</v>
      </c>
      <c r="D621" s="418" t="str">
        <f t="shared" si="12"/>
        <v>UBND Xã Đông Thạnh</v>
      </c>
      <c r="E621" s="287" t="s">
        <v>4568</v>
      </c>
      <c r="F621" s="287" t="s">
        <v>407</v>
      </c>
      <c r="G621" s="415">
        <v>300</v>
      </c>
      <c r="H621" s="421" t="s">
        <v>183</v>
      </c>
    </row>
    <row r="622" spans="1:8" s="288" customFormat="1">
      <c r="A622" s="287">
        <v>616</v>
      </c>
      <c r="B622" s="275" t="s">
        <v>4571</v>
      </c>
      <c r="C622" s="705" t="s">
        <v>5067</v>
      </c>
      <c r="D622" s="418" t="str">
        <f t="shared" si="12"/>
        <v>UBND Xã Đông Thạnh</v>
      </c>
      <c r="E622" s="287" t="s">
        <v>4568</v>
      </c>
      <c r="F622" s="287" t="s">
        <v>407</v>
      </c>
      <c r="G622" s="415">
        <v>150</v>
      </c>
      <c r="H622" s="421" t="s">
        <v>183</v>
      </c>
    </row>
    <row r="623" spans="1:8" s="288" customFormat="1">
      <c r="A623" s="287">
        <v>617</v>
      </c>
      <c r="B623" s="275" t="s">
        <v>4572</v>
      </c>
      <c r="C623" s="705" t="s">
        <v>5067</v>
      </c>
      <c r="D623" s="418" t="str">
        <f t="shared" si="12"/>
        <v>UBND Xã Đông Thạnh</v>
      </c>
      <c r="E623" s="287" t="s">
        <v>4568</v>
      </c>
      <c r="F623" s="287" t="s">
        <v>407</v>
      </c>
      <c r="G623" s="415">
        <v>315</v>
      </c>
      <c r="H623" s="421" t="s">
        <v>183</v>
      </c>
    </row>
    <row r="624" spans="1:8" s="288" customFormat="1">
      <c r="A624" s="287">
        <v>618</v>
      </c>
      <c r="B624" s="275" t="s">
        <v>4573</v>
      </c>
      <c r="C624" s="705" t="s">
        <v>5067</v>
      </c>
      <c r="D624" s="418" t="str">
        <f t="shared" si="12"/>
        <v>UBND Xã Đông Thạnh</v>
      </c>
      <c r="E624" s="287" t="s">
        <v>4574</v>
      </c>
      <c r="F624" s="287" t="s">
        <v>4575</v>
      </c>
      <c r="G624" s="415">
        <v>450</v>
      </c>
      <c r="H624" s="421" t="s">
        <v>163</v>
      </c>
    </row>
    <row r="625" spans="1:8" s="288" customFormat="1">
      <c r="A625" s="287">
        <v>619</v>
      </c>
      <c r="B625" s="275" t="s">
        <v>1105</v>
      </c>
      <c r="C625" s="705" t="s">
        <v>5067</v>
      </c>
      <c r="D625" s="418" t="str">
        <f t="shared" si="12"/>
        <v>UBND Xã Đông Thạnh</v>
      </c>
      <c r="E625" s="287" t="s">
        <v>4576</v>
      </c>
      <c r="F625" s="287" t="s">
        <v>4577</v>
      </c>
      <c r="G625" s="415">
        <v>650</v>
      </c>
      <c r="H625" s="421" t="s">
        <v>163</v>
      </c>
    </row>
    <row r="626" spans="1:8" s="288" customFormat="1">
      <c r="A626" s="287">
        <v>620</v>
      </c>
      <c r="B626" s="275" t="s">
        <v>4578</v>
      </c>
      <c r="C626" s="705" t="s">
        <v>5067</v>
      </c>
      <c r="D626" s="418" t="str">
        <f t="shared" si="12"/>
        <v>UBND Xã Đông Thạnh</v>
      </c>
      <c r="E626" s="287" t="s">
        <v>4579</v>
      </c>
      <c r="F626" s="287" t="s">
        <v>4580</v>
      </c>
      <c r="G626" s="415">
        <v>800</v>
      </c>
      <c r="H626" s="421" t="s">
        <v>155</v>
      </c>
    </row>
    <row r="627" spans="1:8" s="288" customFormat="1">
      <c r="A627" s="287">
        <v>621</v>
      </c>
      <c r="B627" s="275" t="s">
        <v>4581</v>
      </c>
      <c r="C627" s="705" t="s">
        <v>5067</v>
      </c>
      <c r="D627" s="418" t="str">
        <f t="shared" si="12"/>
        <v>UBND Xã Đông Thạnh</v>
      </c>
      <c r="E627" s="287" t="s">
        <v>4582</v>
      </c>
      <c r="F627" s="287" t="s">
        <v>4583</v>
      </c>
      <c r="G627" s="415">
        <v>1200</v>
      </c>
      <c r="H627" s="421" t="s">
        <v>184</v>
      </c>
    </row>
    <row r="628" spans="1:8" s="288" customFormat="1" ht="33">
      <c r="A628" s="287">
        <v>622</v>
      </c>
      <c r="B628" s="275" t="s">
        <v>450</v>
      </c>
      <c r="C628" s="705" t="s">
        <v>5067</v>
      </c>
      <c r="D628" s="418" t="str">
        <f t="shared" si="12"/>
        <v>UBND Xã Đông Thạnh</v>
      </c>
      <c r="E628" s="287" t="s">
        <v>4584</v>
      </c>
      <c r="F628" s="287" t="s">
        <v>407</v>
      </c>
      <c r="G628" s="415">
        <v>630</v>
      </c>
      <c r="H628" s="421" t="s">
        <v>4585</v>
      </c>
    </row>
    <row r="629" spans="1:8" s="288" customFormat="1">
      <c r="A629" s="287">
        <v>623</v>
      </c>
      <c r="B629" s="275" t="s">
        <v>3800</v>
      </c>
      <c r="C629" s="705" t="s">
        <v>5067</v>
      </c>
      <c r="D629" s="418" t="str">
        <f t="shared" si="12"/>
        <v>UBND Xã Đông Thạnh</v>
      </c>
      <c r="E629" s="287" t="s">
        <v>4586</v>
      </c>
      <c r="F629" s="287" t="s">
        <v>4587</v>
      </c>
      <c r="G629" s="415">
        <v>1200</v>
      </c>
      <c r="H629" s="421" t="s">
        <v>1093</v>
      </c>
    </row>
    <row r="630" spans="1:8" s="288" customFormat="1" ht="33">
      <c r="A630" s="287">
        <v>624</v>
      </c>
      <c r="B630" s="275" t="s">
        <v>4596</v>
      </c>
      <c r="C630" s="705" t="s">
        <v>5067</v>
      </c>
      <c r="D630" s="418" t="str">
        <f t="shared" si="12"/>
        <v>UBND Xã Đông Thạnh</v>
      </c>
      <c r="E630" s="287" t="s">
        <v>4584</v>
      </c>
      <c r="F630" s="287" t="s">
        <v>407</v>
      </c>
      <c r="G630" s="415">
        <v>400</v>
      </c>
      <c r="H630" s="421" t="s">
        <v>4597</v>
      </c>
    </row>
    <row r="631" spans="1:8" s="288" customFormat="1" ht="33">
      <c r="A631" s="287">
        <v>625</v>
      </c>
      <c r="B631" s="275" t="s">
        <v>4598</v>
      </c>
      <c r="C631" s="705" t="s">
        <v>5067</v>
      </c>
      <c r="D631" s="418" t="str">
        <f t="shared" si="12"/>
        <v>UBND Xã Đông Thạnh</v>
      </c>
      <c r="E631" s="287" t="s">
        <v>4584</v>
      </c>
      <c r="F631" s="287" t="s">
        <v>407</v>
      </c>
      <c r="G631" s="415">
        <v>78</v>
      </c>
      <c r="H631" s="421" t="s">
        <v>184</v>
      </c>
    </row>
    <row r="632" spans="1:8" s="288" customFormat="1" ht="33">
      <c r="A632" s="287">
        <v>626</v>
      </c>
      <c r="B632" s="275" t="s">
        <v>4599</v>
      </c>
      <c r="C632" s="705" t="s">
        <v>5067</v>
      </c>
      <c r="D632" s="418" t="str">
        <f t="shared" si="12"/>
        <v>UBND Xã Đông Thạnh</v>
      </c>
      <c r="E632" s="506" t="s">
        <v>4584</v>
      </c>
      <c r="F632" s="287" t="s">
        <v>407</v>
      </c>
      <c r="G632" s="415">
        <v>685</v>
      </c>
      <c r="H632" s="421" t="s">
        <v>184</v>
      </c>
    </row>
    <row r="633" spans="1:8" s="288" customFormat="1" ht="33">
      <c r="A633" s="287">
        <v>627</v>
      </c>
      <c r="B633" s="275" t="s">
        <v>2553</v>
      </c>
      <c r="C633" s="705" t="s">
        <v>5067</v>
      </c>
      <c r="D633" s="418" t="str">
        <f t="shared" si="12"/>
        <v>UBND Xã Đông Thạnh</v>
      </c>
      <c r="E633" s="287" t="s">
        <v>4584</v>
      </c>
      <c r="F633" s="287" t="s">
        <v>407</v>
      </c>
      <c r="G633" s="415">
        <v>359</v>
      </c>
      <c r="H633" s="421" t="s">
        <v>202</v>
      </c>
    </row>
    <row r="634" spans="1:8" s="288" customFormat="1">
      <c r="A634" s="287">
        <v>628</v>
      </c>
      <c r="B634" s="275" t="s">
        <v>2581</v>
      </c>
      <c r="C634" s="705" t="s">
        <v>5067</v>
      </c>
      <c r="D634" s="418" t="str">
        <f t="shared" si="12"/>
        <v>UBND Xã Đông Thạnh</v>
      </c>
      <c r="E634" s="287" t="s">
        <v>4586</v>
      </c>
      <c r="F634" s="287" t="s">
        <v>407</v>
      </c>
      <c r="G634" s="415">
        <v>250</v>
      </c>
      <c r="H634" s="421" t="s">
        <v>202</v>
      </c>
    </row>
    <row r="635" spans="1:8" s="288" customFormat="1" ht="33">
      <c r="A635" s="287">
        <v>629</v>
      </c>
      <c r="B635" s="275" t="s">
        <v>4600</v>
      </c>
      <c r="C635" s="705" t="s">
        <v>5067</v>
      </c>
      <c r="D635" s="418" t="str">
        <f t="shared" si="12"/>
        <v>UBND Xã Đông Thạnh</v>
      </c>
      <c r="E635" s="287" t="s">
        <v>4575</v>
      </c>
      <c r="F635" s="287" t="s">
        <v>4601</v>
      </c>
      <c r="G635" s="415">
        <v>800</v>
      </c>
      <c r="H635" s="421" t="s">
        <v>163</v>
      </c>
    </row>
    <row r="636" spans="1:8" s="288" customFormat="1">
      <c r="A636" s="287">
        <v>630</v>
      </c>
      <c r="B636" s="275" t="s">
        <v>4602</v>
      </c>
      <c r="C636" s="705" t="s">
        <v>5067</v>
      </c>
      <c r="D636" s="418" t="str">
        <f t="shared" si="12"/>
        <v>UBND Xã Đông Thạnh</v>
      </c>
      <c r="E636" s="287" t="s">
        <v>4577</v>
      </c>
      <c r="F636" s="287" t="s">
        <v>407</v>
      </c>
      <c r="G636" s="415">
        <v>450</v>
      </c>
      <c r="H636" s="421" t="s">
        <v>183</v>
      </c>
    </row>
    <row r="637" spans="1:8" s="288" customFormat="1">
      <c r="A637" s="287">
        <v>631</v>
      </c>
      <c r="B637" s="275" t="s">
        <v>4603</v>
      </c>
      <c r="C637" s="705" t="s">
        <v>5067</v>
      </c>
      <c r="D637" s="418" t="str">
        <f t="shared" si="12"/>
        <v>UBND Xã Đông Thạnh</v>
      </c>
      <c r="E637" s="287" t="s">
        <v>4577</v>
      </c>
      <c r="F637" s="287" t="s">
        <v>407</v>
      </c>
      <c r="G637" s="415">
        <v>350</v>
      </c>
      <c r="H637" s="421" t="s">
        <v>183</v>
      </c>
    </row>
    <row r="638" spans="1:8" s="288" customFormat="1">
      <c r="A638" s="287">
        <v>632</v>
      </c>
      <c r="B638" s="275" t="s">
        <v>4604</v>
      </c>
      <c r="C638" s="705" t="s">
        <v>5067</v>
      </c>
      <c r="D638" s="418" t="str">
        <f t="shared" si="12"/>
        <v>UBND Xã Đông Thạnh</v>
      </c>
      <c r="E638" s="287" t="s">
        <v>4577</v>
      </c>
      <c r="F638" s="287" t="s">
        <v>407</v>
      </c>
      <c r="G638" s="415">
        <v>400</v>
      </c>
      <c r="H638" s="421" t="s">
        <v>183</v>
      </c>
    </row>
    <row r="639" spans="1:8" s="288" customFormat="1" ht="33">
      <c r="A639" s="287">
        <v>633</v>
      </c>
      <c r="B639" s="275" t="s">
        <v>4607</v>
      </c>
      <c r="C639" s="705" t="s">
        <v>5067</v>
      </c>
      <c r="D639" s="418" t="str">
        <f t="shared" si="12"/>
        <v>UBND Xã Đông Thạnh</v>
      </c>
      <c r="E639" s="287" t="s">
        <v>4584</v>
      </c>
      <c r="F639" s="287" t="s">
        <v>407</v>
      </c>
      <c r="G639" s="415">
        <v>400</v>
      </c>
      <c r="H639" s="421" t="s">
        <v>4608</v>
      </c>
    </row>
    <row r="640" spans="1:8" s="288" customFormat="1" ht="33">
      <c r="A640" s="287">
        <v>634</v>
      </c>
      <c r="B640" s="275" t="s">
        <v>4609</v>
      </c>
      <c r="C640" s="705" t="s">
        <v>5067</v>
      </c>
      <c r="D640" s="418" t="str">
        <f t="shared" si="12"/>
        <v>UBND Xã Đông Thạnh</v>
      </c>
      <c r="E640" s="287" t="s">
        <v>4584</v>
      </c>
      <c r="F640" s="287" t="s">
        <v>407</v>
      </c>
      <c r="G640" s="415">
        <v>130</v>
      </c>
      <c r="H640" s="421" t="s">
        <v>4363</v>
      </c>
    </row>
    <row r="641" spans="1:8" s="288" customFormat="1" ht="33">
      <c r="A641" s="287">
        <v>635</v>
      </c>
      <c r="B641" s="275" t="s">
        <v>4610</v>
      </c>
      <c r="C641" s="705" t="s">
        <v>5067</v>
      </c>
      <c r="D641" s="418" t="str">
        <f t="shared" si="12"/>
        <v>UBND Xã Đông Thạnh</v>
      </c>
      <c r="E641" s="287" t="s">
        <v>4584</v>
      </c>
      <c r="F641" s="287" t="s">
        <v>407</v>
      </c>
      <c r="G641" s="415">
        <v>130</v>
      </c>
      <c r="H641" s="421" t="s">
        <v>210</v>
      </c>
    </row>
    <row r="642" spans="1:8" s="288" customFormat="1" ht="33">
      <c r="A642" s="287">
        <v>636</v>
      </c>
      <c r="B642" s="275" t="s">
        <v>2550</v>
      </c>
      <c r="C642" s="705" t="s">
        <v>5067</v>
      </c>
      <c r="D642" s="418" t="str">
        <f t="shared" si="12"/>
        <v>UBND Xã Đông Thạnh</v>
      </c>
      <c r="E642" s="287" t="s">
        <v>4584</v>
      </c>
      <c r="F642" s="287" t="s">
        <v>407</v>
      </c>
      <c r="G642" s="415">
        <v>219</v>
      </c>
      <c r="H642" s="421" t="s">
        <v>4611</v>
      </c>
    </row>
    <row r="643" spans="1:8" s="288" customFormat="1" ht="33">
      <c r="A643" s="287">
        <v>637</v>
      </c>
      <c r="B643" s="275" t="s">
        <v>2558</v>
      </c>
      <c r="C643" s="705" t="s">
        <v>5067</v>
      </c>
      <c r="D643" s="418" t="str">
        <f t="shared" si="12"/>
        <v>UBND Xã Đông Thạnh</v>
      </c>
      <c r="E643" s="287" t="s">
        <v>4584</v>
      </c>
      <c r="F643" s="287" t="s">
        <v>407</v>
      </c>
      <c r="G643" s="415">
        <v>298</v>
      </c>
      <c r="H643" s="421" t="s">
        <v>297</v>
      </c>
    </row>
    <row r="644" spans="1:8" s="288" customFormat="1">
      <c r="A644" s="287">
        <v>638</v>
      </c>
      <c r="B644" s="275" t="s">
        <v>4612</v>
      </c>
      <c r="C644" s="705" t="s">
        <v>5067</v>
      </c>
      <c r="D644" s="418" t="str">
        <f t="shared" si="12"/>
        <v>UBND Xã Đông Thạnh</v>
      </c>
      <c r="E644" s="287" t="s">
        <v>4613</v>
      </c>
      <c r="F644" s="287" t="s">
        <v>407</v>
      </c>
      <c r="G644" s="415">
        <v>680</v>
      </c>
      <c r="H644" s="421" t="s">
        <v>4614</v>
      </c>
    </row>
    <row r="645" spans="1:8" s="288" customFormat="1">
      <c r="A645" s="287">
        <v>639</v>
      </c>
      <c r="B645" s="275" t="s">
        <v>2586</v>
      </c>
      <c r="C645" s="705" t="s">
        <v>5067</v>
      </c>
      <c r="D645" s="418" t="str">
        <f t="shared" si="12"/>
        <v>UBND Xã Đông Thạnh</v>
      </c>
      <c r="E645" s="287" t="s">
        <v>4613</v>
      </c>
      <c r="F645" s="287" t="s">
        <v>407</v>
      </c>
      <c r="G645" s="415">
        <v>350</v>
      </c>
      <c r="H645" s="421" t="s">
        <v>1093</v>
      </c>
    </row>
    <row r="646" spans="1:8" s="288" customFormat="1">
      <c r="A646" s="287">
        <v>640</v>
      </c>
      <c r="B646" s="275" t="s">
        <v>2582</v>
      </c>
      <c r="C646" s="705" t="s">
        <v>5067</v>
      </c>
      <c r="D646" s="418" t="str">
        <f t="shared" si="12"/>
        <v>UBND Xã Đông Thạnh</v>
      </c>
      <c r="E646" s="287" t="s">
        <v>4586</v>
      </c>
      <c r="F646" s="287" t="s">
        <v>407</v>
      </c>
      <c r="G646" s="415">
        <v>285</v>
      </c>
      <c r="H646" s="421" t="s">
        <v>4615</v>
      </c>
    </row>
    <row r="647" spans="1:8" s="288" customFormat="1">
      <c r="A647" s="287">
        <v>641</v>
      </c>
      <c r="B647" s="275" t="s">
        <v>4616</v>
      </c>
      <c r="C647" s="705" t="s">
        <v>5067</v>
      </c>
      <c r="D647" s="418" t="str">
        <f t="shared" si="12"/>
        <v>UBND Xã Đông Thạnh</v>
      </c>
      <c r="E647" s="287" t="s">
        <v>4586</v>
      </c>
      <c r="F647" s="287" t="s">
        <v>407</v>
      </c>
      <c r="G647" s="415">
        <v>126</v>
      </c>
      <c r="H647" s="421" t="s">
        <v>4617</v>
      </c>
    </row>
    <row r="648" spans="1:8" s="288" customFormat="1">
      <c r="A648" s="287">
        <v>642</v>
      </c>
      <c r="B648" s="275" t="s">
        <v>2554</v>
      </c>
      <c r="C648" s="705" t="s">
        <v>5067</v>
      </c>
      <c r="D648" s="418" t="str">
        <f t="shared" si="12"/>
        <v>UBND Xã Đông Thạnh</v>
      </c>
      <c r="E648" s="287" t="s">
        <v>4586</v>
      </c>
      <c r="F648" s="287" t="s">
        <v>407</v>
      </c>
      <c r="G648" s="415">
        <v>396</v>
      </c>
      <c r="H648" s="421" t="s">
        <v>4618</v>
      </c>
    </row>
    <row r="649" spans="1:8" s="288" customFormat="1">
      <c r="A649" s="287">
        <v>643</v>
      </c>
      <c r="B649" s="275" t="s">
        <v>4622</v>
      </c>
      <c r="C649" s="705" t="s">
        <v>5067</v>
      </c>
      <c r="D649" s="418" t="str">
        <f t="shared" si="12"/>
        <v>UBND Xã Đông Thạnh</v>
      </c>
      <c r="E649" s="287" t="s">
        <v>4582</v>
      </c>
      <c r="F649" s="287" t="s">
        <v>4623</v>
      </c>
      <c r="G649" s="415">
        <v>1000</v>
      </c>
      <c r="H649" s="421" t="s">
        <v>153</v>
      </c>
    </row>
    <row r="650" spans="1:8" s="288" customFormat="1">
      <c r="A650" s="287">
        <v>644</v>
      </c>
      <c r="B650" s="275" t="s">
        <v>4624</v>
      </c>
      <c r="C650" s="705" t="s">
        <v>5067</v>
      </c>
      <c r="D650" s="418" t="str">
        <f t="shared" si="12"/>
        <v>UBND Xã Đông Thạnh</v>
      </c>
      <c r="E650" s="287" t="s">
        <v>4577</v>
      </c>
      <c r="F650" s="287" t="s">
        <v>407</v>
      </c>
      <c r="G650" s="415">
        <v>850</v>
      </c>
      <c r="H650" s="421" t="s">
        <v>150</v>
      </c>
    </row>
    <row r="651" spans="1:8" s="288" customFormat="1">
      <c r="A651" s="287">
        <v>645</v>
      </c>
      <c r="B651" s="275" t="s">
        <v>4625</v>
      </c>
      <c r="C651" s="705" t="s">
        <v>5067</v>
      </c>
      <c r="D651" s="418" t="str">
        <f t="shared" si="12"/>
        <v>UBND Xã Đông Thạnh</v>
      </c>
      <c r="E651" s="287" t="s">
        <v>4626</v>
      </c>
      <c r="F651" s="287" t="s">
        <v>407</v>
      </c>
      <c r="G651" s="415">
        <v>2200</v>
      </c>
      <c r="H651" s="421" t="s">
        <v>163</v>
      </c>
    </row>
    <row r="652" spans="1:8" s="288" customFormat="1" ht="33">
      <c r="A652" s="287">
        <v>646</v>
      </c>
      <c r="B652" s="275" t="s">
        <v>4627</v>
      </c>
      <c r="C652" s="705" t="s">
        <v>5067</v>
      </c>
      <c r="D652" s="418" t="str">
        <f t="shared" si="12"/>
        <v>UBND Xã Đông Thạnh</v>
      </c>
      <c r="E652" s="287" t="s">
        <v>4626</v>
      </c>
      <c r="F652" s="287" t="s">
        <v>4628</v>
      </c>
      <c r="G652" s="415">
        <v>2000</v>
      </c>
      <c r="H652" s="421" t="s">
        <v>163</v>
      </c>
    </row>
    <row r="653" spans="1:8" s="288" customFormat="1">
      <c r="A653" s="287">
        <v>647</v>
      </c>
      <c r="B653" s="275" t="s">
        <v>4629</v>
      </c>
      <c r="C653" s="705" t="s">
        <v>5067</v>
      </c>
      <c r="D653" s="418" t="str">
        <f t="shared" si="12"/>
        <v>UBND Xã Đông Thạnh</v>
      </c>
      <c r="E653" s="287" t="s">
        <v>4630</v>
      </c>
      <c r="F653" s="287" t="s">
        <v>407</v>
      </c>
      <c r="G653" s="415">
        <v>300</v>
      </c>
      <c r="H653" s="421" t="s">
        <v>178</v>
      </c>
    </row>
    <row r="654" spans="1:8" s="288" customFormat="1">
      <c r="A654" s="287">
        <v>648</v>
      </c>
      <c r="B654" s="275" t="s">
        <v>4631</v>
      </c>
      <c r="C654" s="705" t="s">
        <v>5067</v>
      </c>
      <c r="D654" s="418" t="str">
        <f t="shared" si="12"/>
        <v>UBND Xã Đông Thạnh</v>
      </c>
      <c r="E654" s="287" t="s">
        <v>4630</v>
      </c>
      <c r="F654" s="287" t="s">
        <v>407</v>
      </c>
      <c r="G654" s="415">
        <v>350</v>
      </c>
      <c r="H654" s="421" t="s">
        <v>178</v>
      </c>
    </row>
    <row r="655" spans="1:8" s="288" customFormat="1">
      <c r="A655" s="287">
        <v>649</v>
      </c>
      <c r="B655" s="275" t="s">
        <v>4632</v>
      </c>
      <c r="C655" s="705" t="s">
        <v>5067</v>
      </c>
      <c r="D655" s="418" t="str">
        <f t="shared" si="12"/>
        <v>UBND Xã Đông Thạnh</v>
      </c>
      <c r="E655" s="287" t="s">
        <v>4630</v>
      </c>
      <c r="F655" s="287" t="s">
        <v>407</v>
      </c>
      <c r="G655" s="415">
        <v>240</v>
      </c>
      <c r="H655" s="421" t="s">
        <v>178</v>
      </c>
    </row>
    <row r="656" spans="1:8" s="288" customFormat="1">
      <c r="A656" s="287">
        <v>650</v>
      </c>
      <c r="B656" s="275" t="s">
        <v>4633</v>
      </c>
      <c r="C656" s="705" t="s">
        <v>5067</v>
      </c>
      <c r="D656" s="418" t="str">
        <f t="shared" si="12"/>
        <v>UBND Xã Đông Thạnh</v>
      </c>
      <c r="E656" s="287" t="s">
        <v>4630</v>
      </c>
      <c r="F656" s="287" t="s">
        <v>407</v>
      </c>
      <c r="G656" s="415">
        <v>140</v>
      </c>
      <c r="H656" s="421" t="s">
        <v>178</v>
      </c>
    </row>
    <row r="657" spans="1:8" s="288" customFormat="1">
      <c r="A657" s="287">
        <v>651</v>
      </c>
      <c r="B657" s="275" t="s">
        <v>4634</v>
      </c>
      <c r="C657" s="705" t="s">
        <v>5067</v>
      </c>
      <c r="D657" s="418" t="str">
        <f t="shared" si="12"/>
        <v>UBND Xã Đông Thạnh</v>
      </c>
      <c r="E657" s="287" t="s">
        <v>4635</v>
      </c>
      <c r="F657" s="287" t="s">
        <v>407</v>
      </c>
      <c r="G657" s="415">
        <v>190</v>
      </c>
      <c r="H657" s="421" t="s">
        <v>178</v>
      </c>
    </row>
    <row r="658" spans="1:8" s="288" customFormat="1">
      <c r="A658" s="287">
        <v>652</v>
      </c>
      <c r="B658" s="275" t="s">
        <v>4636</v>
      </c>
      <c r="C658" s="705" t="s">
        <v>5067</v>
      </c>
      <c r="D658" s="418" t="str">
        <f t="shared" si="12"/>
        <v>UBND Xã Đông Thạnh</v>
      </c>
      <c r="E658" s="287" t="s">
        <v>4635</v>
      </c>
      <c r="F658" s="287" t="s">
        <v>407</v>
      </c>
      <c r="G658" s="415">
        <v>180</v>
      </c>
      <c r="H658" s="421" t="s">
        <v>178</v>
      </c>
    </row>
    <row r="659" spans="1:8" s="288" customFormat="1">
      <c r="A659" s="287">
        <v>653</v>
      </c>
      <c r="B659" s="275" t="s">
        <v>4637</v>
      </c>
      <c r="C659" s="705" t="s">
        <v>5067</v>
      </c>
      <c r="D659" s="418" t="str">
        <f t="shared" si="12"/>
        <v>UBND Xã Đông Thạnh</v>
      </c>
      <c r="E659" s="287" t="s">
        <v>4635</v>
      </c>
      <c r="F659" s="287" t="s">
        <v>407</v>
      </c>
      <c r="G659" s="415">
        <v>180</v>
      </c>
      <c r="H659" s="421" t="s">
        <v>178</v>
      </c>
    </row>
    <row r="660" spans="1:8" s="288" customFormat="1">
      <c r="A660" s="287">
        <v>654</v>
      </c>
      <c r="B660" s="275" t="s">
        <v>4638</v>
      </c>
      <c r="C660" s="705" t="s">
        <v>5067</v>
      </c>
      <c r="D660" s="418" t="str">
        <f t="shared" si="12"/>
        <v>UBND Xã Đông Thạnh</v>
      </c>
      <c r="E660" s="287" t="s">
        <v>4635</v>
      </c>
      <c r="F660" s="287" t="s">
        <v>407</v>
      </c>
      <c r="G660" s="415">
        <v>190</v>
      </c>
      <c r="H660" s="421" t="s">
        <v>178</v>
      </c>
    </row>
    <row r="661" spans="1:8" s="288" customFormat="1">
      <c r="A661" s="287">
        <v>655</v>
      </c>
      <c r="B661" s="275" t="s">
        <v>4639</v>
      </c>
      <c r="C661" s="705" t="s">
        <v>5067</v>
      </c>
      <c r="D661" s="418" t="str">
        <f t="shared" si="12"/>
        <v>UBND Xã Đông Thạnh</v>
      </c>
      <c r="E661" s="287" t="s">
        <v>4635</v>
      </c>
      <c r="F661" s="287" t="s">
        <v>407</v>
      </c>
      <c r="G661" s="415">
        <v>200</v>
      </c>
      <c r="H661" s="421" t="s">
        <v>178</v>
      </c>
    </row>
    <row r="662" spans="1:8" s="288" customFormat="1">
      <c r="A662" s="287">
        <v>656</v>
      </c>
      <c r="B662" s="275" t="s">
        <v>4640</v>
      </c>
      <c r="C662" s="705" t="s">
        <v>5067</v>
      </c>
      <c r="D662" s="418" t="str">
        <f t="shared" si="12"/>
        <v>UBND Xã Đông Thạnh</v>
      </c>
      <c r="E662" s="287" t="s">
        <v>4635</v>
      </c>
      <c r="F662" s="287" t="s">
        <v>407</v>
      </c>
      <c r="G662" s="415">
        <v>200</v>
      </c>
      <c r="H662" s="421" t="s">
        <v>178</v>
      </c>
    </row>
    <row r="663" spans="1:8" s="288" customFormat="1">
      <c r="A663" s="287">
        <v>657</v>
      </c>
      <c r="B663" s="275" t="s">
        <v>107</v>
      </c>
      <c r="C663" s="705" t="s">
        <v>5120</v>
      </c>
      <c r="D663" s="418" t="str">
        <f t="shared" si="12"/>
        <v>UBND Xã Hiệp Phước</v>
      </c>
      <c r="E663" s="287" t="s">
        <v>691</v>
      </c>
      <c r="F663" s="287" t="s">
        <v>3428</v>
      </c>
      <c r="G663" s="415">
        <v>1000</v>
      </c>
      <c r="H663" s="287" t="s">
        <v>150</v>
      </c>
    </row>
    <row r="664" spans="1:8" s="288" customFormat="1" ht="33">
      <c r="A664" s="287">
        <v>658</v>
      </c>
      <c r="B664" s="275" t="s">
        <v>123</v>
      </c>
      <c r="C664" s="705" t="s">
        <v>5120</v>
      </c>
      <c r="D664" s="418" t="str">
        <f t="shared" si="12"/>
        <v>UBND Xã Hiệp Phước</v>
      </c>
      <c r="E664" s="287" t="s">
        <v>387</v>
      </c>
      <c r="F664" s="287" t="s">
        <v>122</v>
      </c>
      <c r="G664" s="415">
        <v>450</v>
      </c>
      <c r="H664" s="287" t="s">
        <v>230</v>
      </c>
    </row>
    <row r="665" spans="1:8" s="288" customFormat="1" ht="33">
      <c r="A665" s="287">
        <v>659</v>
      </c>
      <c r="B665" s="275" t="s">
        <v>124</v>
      </c>
      <c r="C665" s="705" t="s">
        <v>5120</v>
      </c>
      <c r="D665" s="418" t="str">
        <f t="shared" si="12"/>
        <v>UBND Xã Hiệp Phước</v>
      </c>
      <c r="E665" s="287" t="s">
        <v>387</v>
      </c>
      <c r="F665" s="287" t="s">
        <v>122</v>
      </c>
      <c r="G665" s="415">
        <v>1600</v>
      </c>
      <c r="H665" s="287" t="s">
        <v>203</v>
      </c>
    </row>
    <row r="666" spans="1:8" s="288" customFormat="1">
      <c r="A666" s="287">
        <v>660</v>
      </c>
      <c r="B666" s="275" t="s">
        <v>235</v>
      </c>
      <c r="C666" s="705" t="s">
        <v>5120</v>
      </c>
      <c r="D666" s="418" t="str">
        <f t="shared" si="12"/>
        <v>UBND Xã Hiệp Phước</v>
      </c>
      <c r="E666" s="287" t="s">
        <v>126</v>
      </c>
      <c r="F666" s="287" t="s">
        <v>127</v>
      </c>
      <c r="G666" s="415">
        <v>3000</v>
      </c>
      <c r="H666" s="287" t="s">
        <v>226</v>
      </c>
    </row>
    <row r="667" spans="1:8" s="288" customFormat="1">
      <c r="A667" s="287">
        <v>661</v>
      </c>
      <c r="B667" s="275" t="s">
        <v>236</v>
      </c>
      <c r="C667" s="705" t="s">
        <v>5120</v>
      </c>
      <c r="D667" s="418" t="str">
        <f t="shared" si="12"/>
        <v>UBND Xã Hiệp Phước</v>
      </c>
      <c r="E667" s="287" t="s">
        <v>128</v>
      </c>
      <c r="F667" s="287" t="s">
        <v>234</v>
      </c>
      <c r="G667" s="415">
        <v>1400</v>
      </c>
      <c r="H667" s="287" t="s">
        <v>224</v>
      </c>
    </row>
    <row r="668" spans="1:8" s="288" customFormat="1">
      <c r="A668" s="287">
        <v>662</v>
      </c>
      <c r="B668" s="275" t="s">
        <v>4651</v>
      </c>
      <c r="C668" s="705" t="s">
        <v>5120</v>
      </c>
      <c r="D668" s="418" t="str">
        <f t="shared" si="12"/>
        <v>UBND Xã Hiệp Phước</v>
      </c>
      <c r="E668" s="287" t="s">
        <v>4652</v>
      </c>
      <c r="F668" s="287" t="s">
        <v>4653</v>
      </c>
      <c r="G668" s="415">
        <v>484</v>
      </c>
      <c r="H668" s="287">
        <v>9</v>
      </c>
    </row>
    <row r="669" spans="1:8" s="288" customFormat="1">
      <c r="A669" s="287">
        <v>663</v>
      </c>
      <c r="B669" s="275" t="s">
        <v>4654</v>
      </c>
      <c r="C669" s="705" t="s">
        <v>5120</v>
      </c>
      <c r="D669" s="418" t="str">
        <f t="shared" si="12"/>
        <v>UBND Xã Hiệp Phước</v>
      </c>
      <c r="E669" s="287" t="s">
        <v>236</v>
      </c>
      <c r="F669" s="287" t="s">
        <v>407</v>
      </c>
      <c r="G669" s="415">
        <v>93.5</v>
      </c>
      <c r="H669" s="424">
        <v>2</v>
      </c>
    </row>
    <row r="670" spans="1:8" s="288" customFormat="1">
      <c r="A670" s="287">
        <v>664</v>
      </c>
      <c r="B670" s="275" t="s">
        <v>4655</v>
      </c>
      <c r="C670" s="705" t="s">
        <v>5120</v>
      </c>
      <c r="D670" s="418" t="str">
        <f t="shared" si="12"/>
        <v>UBND Xã Hiệp Phước</v>
      </c>
      <c r="E670" s="287" t="s">
        <v>4656</v>
      </c>
      <c r="F670" s="287" t="s">
        <v>4657</v>
      </c>
      <c r="G670" s="415">
        <v>1190</v>
      </c>
      <c r="H670" s="287">
        <v>5</v>
      </c>
    </row>
    <row r="671" spans="1:8" s="288" customFormat="1">
      <c r="A671" s="287">
        <v>665</v>
      </c>
      <c r="B671" s="275" t="s">
        <v>4658</v>
      </c>
      <c r="C671" s="705" t="s">
        <v>5120</v>
      </c>
      <c r="D671" s="418" t="str">
        <f t="shared" si="12"/>
        <v>UBND Xã Hiệp Phước</v>
      </c>
      <c r="E671" s="287" t="s">
        <v>387</v>
      </c>
      <c r="F671" s="287" t="s">
        <v>4659</v>
      </c>
      <c r="G671" s="415">
        <v>2560</v>
      </c>
      <c r="H671" s="287">
        <v>22</v>
      </c>
    </row>
    <row r="672" spans="1:8" s="288" customFormat="1">
      <c r="A672" s="287">
        <v>666</v>
      </c>
      <c r="B672" s="275" t="s">
        <v>3713</v>
      </c>
      <c r="C672" s="705" t="s">
        <v>5120</v>
      </c>
      <c r="D672" s="418" t="str">
        <f t="shared" si="12"/>
        <v>UBND Xã Hiệp Phước</v>
      </c>
      <c r="E672" s="287" t="s">
        <v>50</v>
      </c>
      <c r="F672" s="287" t="s">
        <v>144</v>
      </c>
      <c r="G672" s="415">
        <v>700</v>
      </c>
      <c r="H672" s="287" t="s">
        <v>218</v>
      </c>
    </row>
    <row r="673" spans="1:8" s="288" customFormat="1">
      <c r="A673" s="287">
        <v>667</v>
      </c>
      <c r="B673" s="275" t="s">
        <v>3301</v>
      </c>
      <c r="C673" s="705" t="s">
        <v>5120</v>
      </c>
      <c r="D673" s="418" t="str">
        <f t="shared" ref="D673:D736" si="13">"UBND "&amp;C673</f>
        <v>UBND Xã Hiệp Phước</v>
      </c>
      <c r="E673" s="287" t="s">
        <v>3586</v>
      </c>
      <c r="F673" s="287" t="s">
        <v>3429</v>
      </c>
      <c r="G673" s="415">
        <v>540</v>
      </c>
      <c r="H673" s="287" t="s">
        <v>163</v>
      </c>
    </row>
    <row r="674" spans="1:8" s="288" customFormat="1">
      <c r="A674" s="287">
        <v>668</v>
      </c>
      <c r="B674" s="275" t="s">
        <v>129</v>
      </c>
      <c r="C674" s="705" t="s">
        <v>5120</v>
      </c>
      <c r="D674" s="418" t="str">
        <f t="shared" si="13"/>
        <v>UBND Xã Hiệp Phước</v>
      </c>
      <c r="E674" s="287" t="s">
        <v>50</v>
      </c>
      <c r="F674" s="287" t="s">
        <v>84</v>
      </c>
      <c r="G674" s="415">
        <v>600</v>
      </c>
      <c r="H674" s="287" t="s">
        <v>156</v>
      </c>
    </row>
    <row r="675" spans="1:8" s="288" customFormat="1">
      <c r="A675" s="287">
        <v>669</v>
      </c>
      <c r="B675" s="275" t="s">
        <v>3328</v>
      </c>
      <c r="C675" s="705" t="s">
        <v>5120</v>
      </c>
      <c r="D675" s="418" t="str">
        <f t="shared" si="13"/>
        <v>UBND Xã Hiệp Phước</v>
      </c>
      <c r="E675" s="287" t="s">
        <v>3437</v>
      </c>
      <c r="F675" s="287" t="s">
        <v>102</v>
      </c>
      <c r="G675" s="415">
        <v>980</v>
      </c>
      <c r="H675" s="287" t="s">
        <v>154</v>
      </c>
    </row>
    <row r="676" spans="1:8" s="288" customFormat="1">
      <c r="A676" s="287">
        <v>670</v>
      </c>
      <c r="B676" s="275" t="s">
        <v>3329</v>
      </c>
      <c r="C676" s="705" t="s">
        <v>5120</v>
      </c>
      <c r="D676" s="418" t="str">
        <f t="shared" si="13"/>
        <v>UBND Xã Hiệp Phước</v>
      </c>
      <c r="E676" s="287" t="s">
        <v>132</v>
      </c>
      <c r="F676" s="287" t="s">
        <v>3584</v>
      </c>
      <c r="G676" s="415">
        <v>860</v>
      </c>
      <c r="H676" s="287" t="s">
        <v>150</v>
      </c>
    </row>
    <row r="677" spans="1:8" s="288" customFormat="1">
      <c r="A677" s="287">
        <v>671</v>
      </c>
      <c r="B677" s="275" t="s">
        <v>3714</v>
      </c>
      <c r="C677" s="705" t="s">
        <v>5120</v>
      </c>
      <c r="D677" s="418" t="str">
        <f t="shared" si="13"/>
        <v>UBND Xã Hiệp Phước</v>
      </c>
      <c r="E677" s="287" t="s">
        <v>50</v>
      </c>
      <c r="F677" s="287" t="s">
        <v>691</v>
      </c>
      <c r="G677" s="415">
        <v>480</v>
      </c>
      <c r="H677" s="287" t="s">
        <v>152</v>
      </c>
    </row>
    <row r="678" spans="1:8" s="288" customFormat="1">
      <c r="A678" s="287">
        <v>672</v>
      </c>
      <c r="B678" s="275" t="s">
        <v>3715</v>
      </c>
      <c r="C678" s="705" t="s">
        <v>5120</v>
      </c>
      <c r="D678" s="418" t="str">
        <f t="shared" si="13"/>
        <v>UBND Xã Hiệp Phước</v>
      </c>
      <c r="E678" s="287" t="s">
        <v>50</v>
      </c>
      <c r="F678" s="287" t="s">
        <v>691</v>
      </c>
      <c r="G678" s="415">
        <v>220</v>
      </c>
      <c r="H678" s="287" t="s">
        <v>184</v>
      </c>
    </row>
    <row r="679" spans="1:8" s="288" customFormat="1">
      <c r="A679" s="287">
        <v>673</v>
      </c>
      <c r="B679" s="275" t="s">
        <v>3716</v>
      </c>
      <c r="C679" s="705" t="s">
        <v>5120</v>
      </c>
      <c r="D679" s="418" t="str">
        <f t="shared" si="13"/>
        <v>UBND Xã Hiệp Phước</v>
      </c>
      <c r="E679" s="287" t="s">
        <v>50</v>
      </c>
      <c r="F679" s="287" t="s">
        <v>691</v>
      </c>
      <c r="G679" s="415">
        <v>340</v>
      </c>
      <c r="H679" s="287" t="s">
        <v>152</v>
      </c>
    </row>
    <row r="680" spans="1:8" s="288" customFormat="1">
      <c r="A680" s="287">
        <v>674</v>
      </c>
      <c r="B680" s="275" t="s">
        <v>3717</v>
      </c>
      <c r="C680" s="705" t="s">
        <v>5120</v>
      </c>
      <c r="D680" s="418" t="str">
        <f t="shared" si="13"/>
        <v>UBND Xã Hiệp Phước</v>
      </c>
      <c r="E680" s="287" t="s">
        <v>50</v>
      </c>
      <c r="F680" s="287" t="s">
        <v>691</v>
      </c>
      <c r="G680" s="415">
        <v>110</v>
      </c>
      <c r="H680" s="287" t="s">
        <v>164</v>
      </c>
    </row>
    <row r="681" spans="1:8" s="288" customFormat="1">
      <c r="A681" s="287">
        <v>675</v>
      </c>
      <c r="B681" s="275" t="s">
        <v>3718</v>
      </c>
      <c r="C681" s="705" t="s">
        <v>5120</v>
      </c>
      <c r="D681" s="418" t="str">
        <f t="shared" si="13"/>
        <v>UBND Xã Hiệp Phước</v>
      </c>
      <c r="E681" s="287" t="s">
        <v>50</v>
      </c>
      <c r="F681" s="287" t="s">
        <v>691</v>
      </c>
      <c r="G681" s="415">
        <v>90</v>
      </c>
      <c r="H681" s="287" t="s">
        <v>164</v>
      </c>
    </row>
    <row r="682" spans="1:8" s="288" customFormat="1">
      <c r="A682" s="287">
        <v>676</v>
      </c>
      <c r="B682" s="275" t="s">
        <v>3720</v>
      </c>
      <c r="C682" s="705" t="s">
        <v>5120</v>
      </c>
      <c r="D682" s="418" t="str">
        <f t="shared" si="13"/>
        <v>UBND Xã Hiệp Phước</v>
      </c>
      <c r="E682" s="287" t="s">
        <v>50</v>
      </c>
      <c r="F682" s="287" t="s">
        <v>691</v>
      </c>
      <c r="G682" s="415">
        <v>470</v>
      </c>
      <c r="H682" s="287" t="s">
        <v>165</v>
      </c>
    </row>
    <row r="683" spans="1:8" s="288" customFormat="1" ht="33">
      <c r="A683" s="287">
        <v>677</v>
      </c>
      <c r="B683" s="275" t="s">
        <v>327</v>
      </c>
      <c r="C683" s="705" t="s">
        <v>5120</v>
      </c>
      <c r="D683" s="418" t="str">
        <f t="shared" si="13"/>
        <v>UBND Xã Hiệp Phước</v>
      </c>
      <c r="E683" s="287" t="s">
        <v>79</v>
      </c>
      <c r="F683" s="287" t="s">
        <v>3434</v>
      </c>
      <c r="G683" s="415">
        <v>580</v>
      </c>
      <c r="H683" s="287" t="s">
        <v>326</v>
      </c>
    </row>
    <row r="684" spans="1:8" s="288" customFormat="1" ht="33">
      <c r="A684" s="287">
        <v>678</v>
      </c>
      <c r="B684" s="275" t="s">
        <v>324</v>
      </c>
      <c r="C684" s="705" t="s">
        <v>5120</v>
      </c>
      <c r="D684" s="418" t="str">
        <f t="shared" si="13"/>
        <v>UBND Xã Hiệp Phước</v>
      </c>
      <c r="E684" s="287" t="s">
        <v>50</v>
      </c>
      <c r="F684" s="287" t="s">
        <v>3434</v>
      </c>
      <c r="G684" s="415">
        <v>175</v>
      </c>
      <c r="H684" s="287" t="s">
        <v>152</v>
      </c>
    </row>
    <row r="685" spans="1:8" s="288" customFormat="1" ht="33">
      <c r="A685" s="287">
        <v>679</v>
      </c>
      <c r="B685" s="275" t="s">
        <v>323</v>
      </c>
      <c r="C685" s="705" t="s">
        <v>5120</v>
      </c>
      <c r="D685" s="418" t="str">
        <f t="shared" si="13"/>
        <v>UBND Xã Hiệp Phước</v>
      </c>
      <c r="E685" s="287" t="s">
        <v>50</v>
      </c>
      <c r="F685" s="287" t="s">
        <v>3434</v>
      </c>
      <c r="G685" s="415">
        <v>800</v>
      </c>
      <c r="H685" s="287" t="s">
        <v>154</v>
      </c>
    </row>
    <row r="686" spans="1:8" s="288" customFormat="1" ht="33">
      <c r="A686" s="287">
        <v>680</v>
      </c>
      <c r="B686" s="275" t="s">
        <v>322</v>
      </c>
      <c r="C686" s="705" t="s">
        <v>5120</v>
      </c>
      <c r="D686" s="418" t="str">
        <f t="shared" si="13"/>
        <v>UBND Xã Hiệp Phước</v>
      </c>
      <c r="E686" s="287" t="s">
        <v>50</v>
      </c>
      <c r="F686" s="287" t="s">
        <v>3434</v>
      </c>
      <c r="G686" s="415">
        <v>460</v>
      </c>
      <c r="H686" s="287" t="s">
        <v>153</v>
      </c>
    </row>
    <row r="687" spans="1:8" s="288" customFormat="1">
      <c r="A687" s="287">
        <v>681</v>
      </c>
      <c r="B687" s="275" t="s">
        <v>3344</v>
      </c>
      <c r="C687" s="705" t="s">
        <v>5120</v>
      </c>
      <c r="D687" s="418" t="str">
        <f t="shared" si="13"/>
        <v>UBND Xã Hiệp Phước</v>
      </c>
      <c r="E687" s="287" t="s">
        <v>50</v>
      </c>
      <c r="F687" s="287" t="s">
        <v>132</v>
      </c>
      <c r="G687" s="415">
        <v>370</v>
      </c>
      <c r="H687" s="287" t="s">
        <v>153</v>
      </c>
    </row>
    <row r="688" spans="1:8" s="288" customFormat="1">
      <c r="A688" s="287">
        <v>682</v>
      </c>
      <c r="B688" s="275" t="s">
        <v>3345</v>
      </c>
      <c r="C688" s="705" t="s">
        <v>5120</v>
      </c>
      <c r="D688" s="418" t="str">
        <f t="shared" si="13"/>
        <v>UBND Xã Hiệp Phước</v>
      </c>
      <c r="E688" s="287" t="s">
        <v>50</v>
      </c>
      <c r="F688" s="287" t="s">
        <v>132</v>
      </c>
      <c r="G688" s="415">
        <v>340</v>
      </c>
      <c r="H688" s="287" t="s">
        <v>162</v>
      </c>
    </row>
    <row r="689" spans="1:8" s="288" customFormat="1">
      <c r="A689" s="287">
        <v>683</v>
      </c>
      <c r="B689" s="275" t="s">
        <v>3346</v>
      </c>
      <c r="C689" s="705" t="s">
        <v>5120</v>
      </c>
      <c r="D689" s="418" t="str">
        <f t="shared" si="13"/>
        <v>UBND Xã Hiệp Phước</v>
      </c>
      <c r="E689" s="287" t="s">
        <v>3586</v>
      </c>
      <c r="F689" s="287" t="s">
        <v>132</v>
      </c>
      <c r="G689" s="415">
        <v>300</v>
      </c>
      <c r="H689" s="287" t="s">
        <v>152</v>
      </c>
    </row>
    <row r="690" spans="1:8" s="288" customFormat="1">
      <c r="A690" s="287">
        <v>684</v>
      </c>
      <c r="B690" s="275" t="s">
        <v>4715</v>
      </c>
      <c r="C690" s="705" t="s">
        <v>5120</v>
      </c>
      <c r="D690" s="418" t="str">
        <f t="shared" si="13"/>
        <v>UBND Xã Hiệp Phước</v>
      </c>
      <c r="E690" s="287" t="s">
        <v>4716</v>
      </c>
      <c r="F690" s="287" t="s">
        <v>126</v>
      </c>
      <c r="G690" s="415">
        <v>1400</v>
      </c>
      <c r="H690" s="287">
        <v>26</v>
      </c>
    </row>
    <row r="691" spans="1:8" s="288" customFormat="1">
      <c r="A691" s="287">
        <v>685</v>
      </c>
      <c r="B691" s="275" t="s">
        <v>4717</v>
      </c>
      <c r="C691" s="705" t="s">
        <v>5120</v>
      </c>
      <c r="D691" s="418" t="str">
        <f t="shared" si="13"/>
        <v>UBND Xã Hiệp Phước</v>
      </c>
      <c r="E691" s="287" t="s">
        <v>2423</v>
      </c>
      <c r="F691" s="287" t="s">
        <v>4718</v>
      </c>
      <c r="G691" s="415">
        <v>780</v>
      </c>
      <c r="H691" s="287">
        <v>4</v>
      </c>
    </row>
    <row r="692" spans="1:8" s="288" customFormat="1">
      <c r="A692" s="287">
        <v>686</v>
      </c>
      <c r="B692" s="275" t="s">
        <v>4719</v>
      </c>
      <c r="C692" s="705" t="s">
        <v>5120</v>
      </c>
      <c r="D692" s="418" t="str">
        <f t="shared" si="13"/>
        <v>UBND Xã Hiệp Phước</v>
      </c>
      <c r="E692" s="287" t="s">
        <v>4652</v>
      </c>
      <c r="F692" s="287" t="s">
        <v>4718</v>
      </c>
      <c r="G692" s="415">
        <v>910</v>
      </c>
      <c r="H692" s="287">
        <v>7.5</v>
      </c>
    </row>
    <row r="693" spans="1:8" s="288" customFormat="1">
      <c r="A693" s="287">
        <v>687</v>
      </c>
      <c r="B693" s="275" t="s">
        <v>4720</v>
      </c>
      <c r="C693" s="705" t="s">
        <v>5120</v>
      </c>
      <c r="D693" s="418" t="str">
        <f t="shared" si="13"/>
        <v>UBND Xã Hiệp Phước</v>
      </c>
      <c r="E693" s="287" t="s">
        <v>4721</v>
      </c>
      <c r="F693" s="287" t="s">
        <v>4652</v>
      </c>
      <c r="G693" s="415">
        <v>564</v>
      </c>
      <c r="H693" s="287">
        <v>8</v>
      </c>
    </row>
    <row r="694" spans="1:8" s="288" customFormat="1">
      <c r="A694" s="287">
        <v>688</v>
      </c>
      <c r="B694" s="275" t="s">
        <v>4722</v>
      </c>
      <c r="C694" s="705" t="s">
        <v>5120</v>
      </c>
      <c r="D694" s="418" t="str">
        <f t="shared" si="13"/>
        <v>UBND Xã Hiệp Phước</v>
      </c>
      <c r="E694" s="287" t="s">
        <v>4721</v>
      </c>
      <c r="F694" s="287" t="s">
        <v>4723</v>
      </c>
      <c r="G694" s="415">
        <v>498.2</v>
      </c>
      <c r="H694" s="287">
        <v>5.5</v>
      </c>
    </row>
    <row r="695" spans="1:8" s="288" customFormat="1">
      <c r="A695" s="287">
        <v>689</v>
      </c>
      <c r="B695" s="275" t="s">
        <v>4724</v>
      </c>
      <c r="C695" s="705" t="s">
        <v>5120</v>
      </c>
      <c r="D695" s="418" t="str">
        <f t="shared" si="13"/>
        <v>UBND Xã Hiệp Phước</v>
      </c>
      <c r="E695" s="287" t="s">
        <v>4725</v>
      </c>
      <c r="F695" s="287" t="s">
        <v>407</v>
      </c>
      <c r="G695" s="415"/>
      <c r="H695" s="287"/>
    </row>
    <row r="696" spans="1:8" s="288" customFormat="1">
      <c r="A696" s="287">
        <v>690</v>
      </c>
      <c r="B696" s="275" t="s">
        <v>4726</v>
      </c>
      <c r="C696" s="705" t="s">
        <v>5120</v>
      </c>
      <c r="D696" s="418" t="str">
        <f t="shared" si="13"/>
        <v>UBND Xã Hiệp Phước</v>
      </c>
      <c r="E696" s="287" t="s">
        <v>4727</v>
      </c>
      <c r="F696" s="287" t="s">
        <v>407</v>
      </c>
      <c r="G696" s="415">
        <v>206</v>
      </c>
      <c r="H696" s="287">
        <v>2.8</v>
      </c>
    </row>
    <row r="697" spans="1:8" s="288" customFormat="1">
      <c r="A697" s="287">
        <v>691</v>
      </c>
      <c r="B697" s="275" t="s">
        <v>4728</v>
      </c>
      <c r="C697" s="705" t="s">
        <v>5120</v>
      </c>
      <c r="D697" s="418" t="str">
        <f t="shared" si="13"/>
        <v>UBND Xã Hiệp Phước</v>
      </c>
      <c r="E697" s="287" t="s">
        <v>3882</v>
      </c>
      <c r="F697" s="287" t="s">
        <v>407</v>
      </c>
      <c r="G697" s="415"/>
      <c r="H697" s="287"/>
    </row>
    <row r="698" spans="1:8" s="288" customFormat="1">
      <c r="A698" s="287">
        <v>692</v>
      </c>
      <c r="B698" s="275" t="s">
        <v>4729</v>
      </c>
      <c r="C698" s="705" t="s">
        <v>5120</v>
      </c>
      <c r="D698" s="418" t="str">
        <f t="shared" si="13"/>
        <v>UBND Xã Hiệp Phước</v>
      </c>
      <c r="E698" s="287" t="s">
        <v>4730</v>
      </c>
      <c r="F698" s="287" t="s">
        <v>4652</v>
      </c>
      <c r="G698" s="415">
        <v>1126</v>
      </c>
      <c r="H698" s="287">
        <v>6</v>
      </c>
    </row>
    <row r="699" spans="1:8" s="288" customFormat="1">
      <c r="A699" s="287">
        <v>693</v>
      </c>
      <c r="B699" s="275" t="s">
        <v>4731</v>
      </c>
      <c r="C699" s="705" t="s">
        <v>5120</v>
      </c>
      <c r="D699" s="418" t="str">
        <f t="shared" si="13"/>
        <v>UBND Xã Hiệp Phước</v>
      </c>
      <c r="E699" s="287" t="s">
        <v>4732</v>
      </c>
      <c r="F699" s="287" t="s">
        <v>4733</v>
      </c>
      <c r="G699" s="415">
        <v>154</v>
      </c>
      <c r="H699" s="287">
        <v>3</v>
      </c>
    </row>
    <row r="700" spans="1:8" s="288" customFormat="1">
      <c r="A700" s="287">
        <v>694</v>
      </c>
      <c r="B700" s="275" t="s">
        <v>4734</v>
      </c>
      <c r="C700" s="705" t="s">
        <v>5120</v>
      </c>
      <c r="D700" s="418" t="str">
        <f t="shared" si="13"/>
        <v>UBND Xã Hiệp Phước</v>
      </c>
      <c r="E700" s="287" t="s">
        <v>4652</v>
      </c>
      <c r="F700" s="287" t="s">
        <v>4735</v>
      </c>
      <c r="G700" s="415">
        <v>895</v>
      </c>
      <c r="H700" s="287">
        <v>4</v>
      </c>
    </row>
    <row r="701" spans="1:8" s="288" customFormat="1">
      <c r="A701" s="287">
        <v>695</v>
      </c>
      <c r="B701" s="275" t="s">
        <v>4736</v>
      </c>
      <c r="C701" s="705" t="s">
        <v>5120</v>
      </c>
      <c r="D701" s="418" t="str">
        <f t="shared" si="13"/>
        <v>UBND Xã Hiệp Phước</v>
      </c>
      <c r="E701" s="287" t="s">
        <v>4737</v>
      </c>
      <c r="F701" s="287" t="s">
        <v>4652</v>
      </c>
      <c r="G701" s="415">
        <v>900</v>
      </c>
      <c r="H701" s="287">
        <v>5.4</v>
      </c>
    </row>
    <row r="702" spans="1:8" s="288" customFormat="1">
      <c r="A702" s="287">
        <v>696</v>
      </c>
      <c r="B702" s="275" t="s">
        <v>4738</v>
      </c>
      <c r="C702" s="705" t="s">
        <v>5120</v>
      </c>
      <c r="D702" s="418" t="str">
        <f t="shared" si="13"/>
        <v>UBND Xã Hiệp Phước</v>
      </c>
      <c r="E702" s="287" t="s">
        <v>4659</v>
      </c>
      <c r="F702" s="287" t="s">
        <v>407</v>
      </c>
      <c r="G702" s="415">
        <v>500</v>
      </c>
      <c r="H702" s="287">
        <v>6.5</v>
      </c>
    </row>
    <row r="703" spans="1:8" s="288" customFormat="1">
      <c r="A703" s="287">
        <v>697</v>
      </c>
      <c r="B703" s="275" t="s">
        <v>4739</v>
      </c>
      <c r="C703" s="705" t="s">
        <v>5120</v>
      </c>
      <c r="D703" s="418" t="str">
        <f t="shared" si="13"/>
        <v>UBND Xã Hiệp Phước</v>
      </c>
      <c r="E703" s="287" t="s">
        <v>4740</v>
      </c>
      <c r="F703" s="287" t="s">
        <v>407</v>
      </c>
      <c r="G703" s="415">
        <v>104.9</v>
      </c>
      <c r="H703" s="287">
        <v>2</v>
      </c>
    </row>
    <row r="704" spans="1:8" s="288" customFormat="1">
      <c r="A704" s="287">
        <v>698</v>
      </c>
      <c r="B704" s="275" t="s">
        <v>4741</v>
      </c>
      <c r="C704" s="705" t="s">
        <v>5120</v>
      </c>
      <c r="D704" s="418" t="str">
        <f t="shared" si="13"/>
        <v>UBND Xã Hiệp Phước</v>
      </c>
      <c r="E704" s="287" t="s">
        <v>4742</v>
      </c>
      <c r="F704" s="287" t="s">
        <v>4743</v>
      </c>
      <c r="G704" s="415">
        <v>481</v>
      </c>
      <c r="H704" s="287">
        <v>4</v>
      </c>
    </row>
    <row r="705" spans="1:8" s="288" customFormat="1">
      <c r="A705" s="287">
        <v>699</v>
      </c>
      <c r="B705" s="275" t="s">
        <v>4744</v>
      </c>
      <c r="C705" s="705" t="s">
        <v>5120</v>
      </c>
      <c r="D705" s="418" t="str">
        <f t="shared" si="13"/>
        <v>UBND Xã Hiệp Phước</v>
      </c>
      <c r="E705" s="287" t="s">
        <v>4742</v>
      </c>
      <c r="F705" s="287" t="s">
        <v>244</v>
      </c>
      <c r="G705" s="415">
        <v>630</v>
      </c>
      <c r="H705" s="287">
        <v>3</v>
      </c>
    </row>
    <row r="706" spans="1:8" s="288" customFormat="1" ht="33">
      <c r="A706" s="287">
        <v>700</v>
      </c>
      <c r="B706" s="275" t="s">
        <v>4745</v>
      </c>
      <c r="C706" s="705" t="s">
        <v>5120</v>
      </c>
      <c r="D706" s="418" t="str">
        <f t="shared" si="13"/>
        <v>UBND Xã Hiệp Phước</v>
      </c>
      <c r="E706" s="287" t="s">
        <v>3882</v>
      </c>
      <c r="F706" s="287" t="s">
        <v>4659</v>
      </c>
      <c r="G706" s="415">
        <v>1389</v>
      </c>
      <c r="H706" s="287">
        <v>9</v>
      </c>
    </row>
    <row r="707" spans="1:8" s="288" customFormat="1">
      <c r="A707" s="287">
        <v>701</v>
      </c>
      <c r="B707" s="275" t="s">
        <v>4746</v>
      </c>
      <c r="C707" s="705" t="s">
        <v>5120</v>
      </c>
      <c r="D707" s="418" t="str">
        <f t="shared" si="13"/>
        <v>UBND Xã Hiệp Phước</v>
      </c>
      <c r="E707" s="287" t="s">
        <v>126</v>
      </c>
      <c r="F707" s="287" t="s">
        <v>4730</v>
      </c>
      <c r="G707" s="415">
        <v>2800</v>
      </c>
      <c r="H707" s="287">
        <v>9</v>
      </c>
    </row>
    <row r="708" spans="1:8" s="288" customFormat="1">
      <c r="A708" s="287">
        <v>702</v>
      </c>
      <c r="B708" s="275" t="s">
        <v>4747</v>
      </c>
      <c r="C708" s="705" t="s">
        <v>5120</v>
      </c>
      <c r="D708" s="418" t="str">
        <f t="shared" si="13"/>
        <v>UBND Xã Hiệp Phước</v>
      </c>
      <c r="E708" s="287" t="s">
        <v>4748</v>
      </c>
      <c r="F708" s="287" t="s">
        <v>4749</v>
      </c>
      <c r="G708" s="415">
        <v>281</v>
      </c>
      <c r="H708" s="287">
        <v>3</v>
      </c>
    </row>
    <row r="709" spans="1:8" s="288" customFormat="1" ht="33">
      <c r="A709" s="287">
        <v>703</v>
      </c>
      <c r="B709" s="275" t="s">
        <v>4750</v>
      </c>
      <c r="C709" s="705" t="s">
        <v>5120</v>
      </c>
      <c r="D709" s="418" t="str">
        <f t="shared" si="13"/>
        <v>UBND Xã Hiệp Phước</v>
      </c>
      <c r="E709" s="287" t="s">
        <v>4659</v>
      </c>
      <c r="F709" s="287" t="s">
        <v>4733</v>
      </c>
      <c r="G709" s="415">
        <v>350</v>
      </c>
      <c r="H709" s="287">
        <v>4</v>
      </c>
    </row>
    <row r="710" spans="1:8" s="288" customFormat="1">
      <c r="A710" s="287">
        <v>704</v>
      </c>
      <c r="B710" s="275" t="s">
        <v>4751</v>
      </c>
      <c r="C710" s="705" t="s">
        <v>5120</v>
      </c>
      <c r="D710" s="418" t="str">
        <f t="shared" si="13"/>
        <v>UBND Xã Hiệp Phước</v>
      </c>
      <c r="E710" s="287" t="s">
        <v>4752</v>
      </c>
      <c r="F710" s="287" t="s">
        <v>4753</v>
      </c>
      <c r="G710" s="415">
        <v>84</v>
      </c>
      <c r="H710" s="287">
        <v>5</v>
      </c>
    </row>
    <row r="711" spans="1:8" s="288" customFormat="1">
      <c r="A711" s="287">
        <v>705</v>
      </c>
      <c r="B711" s="275" t="s">
        <v>4754</v>
      </c>
      <c r="C711" s="705" t="s">
        <v>5120</v>
      </c>
      <c r="D711" s="418" t="str">
        <f t="shared" si="13"/>
        <v>UBND Xã Hiệp Phước</v>
      </c>
      <c r="E711" s="287" t="s">
        <v>4730</v>
      </c>
      <c r="F711" s="287" t="s">
        <v>4733</v>
      </c>
      <c r="G711" s="415">
        <v>558</v>
      </c>
      <c r="H711" s="287">
        <v>18.600000000000001</v>
      </c>
    </row>
    <row r="712" spans="1:8" s="288" customFormat="1">
      <c r="A712" s="287">
        <v>706</v>
      </c>
      <c r="B712" s="275" t="s">
        <v>4755</v>
      </c>
      <c r="C712" s="705" t="s">
        <v>5120</v>
      </c>
      <c r="D712" s="418" t="str">
        <f t="shared" si="13"/>
        <v>UBND Xã Hiệp Phước</v>
      </c>
      <c r="E712" s="287" t="s">
        <v>4733</v>
      </c>
      <c r="F712" s="287" t="s">
        <v>407</v>
      </c>
      <c r="G712" s="415">
        <v>581</v>
      </c>
      <c r="H712" s="287">
        <v>3.5</v>
      </c>
    </row>
    <row r="713" spans="1:8" s="288" customFormat="1">
      <c r="A713" s="287">
        <v>707</v>
      </c>
      <c r="B713" s="275" t="s">
        <v>4756</v>
      </c>
      <c r="C713" s="705" t="s">
        <v>5120</v>
      </c>
      <c r="D713" s="418" t="str">
        <f t="shared" si="13"/>
        <v>UBND Xã Hiệp Phước</v>
      </c>
      <c r="E713" s="287" t="s">
        <v>4657</v>
      </c>
      <c r="F713" s="287" t="s">
        <v>407</v>
      </c>
      <c r="G713" s="415">
        <f>151+144.4</f>
        <v>295.39999999999998</v>
      </c>
      <c r="H713" s="287"/>
    </row>
    <row r="714" spans="1:8" s="288" customFormat="1">
      <c r="A714" s="287">
        <v>708</v>
      </c>
      <c r="B714" s="275" t="s">
        <v>4797</v>
      </c>
      <c r="C714" s="705" t="s">
        <v>5120</v>
      </c>
      <c r="D714" s="418" t="str">
        <f t="shared" si="13"/>
        <v>UBND Xã Hiệp Phước</v>
      </c>
      <c r="E714" s="287" t="s">
        <v>3352</v>
      </c>
      <c r="F714" s="287" t="s">
        <v>4798</v>
      </c>
      <c r="G714" s="415">
        <v>2375</v>
      </c>
      <c r="H714" s="425">
        <v>20</v>
      </c>
    </row>
    <row r="715" spans="1:8" s="288" customFormat="1">
      <c r="A715" s="287">
        <v>709</v>
      </c>
      <c r="B715" s="275" t="s">
        <v>4799</v>
      </c>
      <c r="C715" s="705" t="s">
        <v>5120</v>
      </c>
      <c r="D715" s="418" t="str">
        <f t="shared" si="13"/>
        <v>UBND Xã Hiệp Phước</v>
      </c>
      <c r="E715" s="287" t="s">
        <v>132</v>
      </c>
      <c r="F715" s="287" t="s">
        <v>4800</v>
      </c>
      <c r="G715" s="415">
        <v>1577</v>
      </c>
      <c r="H715" s="426">
        <v>18.5</v>
      </c>
    </row>
    <row r="716" spans="1:8" s="288" customFormat="1">
      <c r="A716" s="287">
        <v>710</v>
      </c>
      <c r="B716" s="275" t="s">
        <v>4801</v>
      </c>
      <c r="C716" s="705" t="s">
        <v>5120</v>
      </c>
      <c r="D716" s="418" t="str">
        <f t="shared" si="13"/>
        <v>UBND Xã Hiệp Phước</v>
      </c>
      <c r="E716" s="287" t="s">
        <v>4802</v>
      </c>
      <c r="F716" s="287" t="s">
        <v>3353</v>
      </c>
      <c r="G716" s="415">
        <v>2436</v>
      </c>
      <c r="H716" s="425">
        <v>45</v>
      </c>
    </row>
    <row r="717" spans="1:8" s="288" customFormat="1">
      <c r="A717" s="287">
        <v>711</v>
      </c>
      <c r="B717" s="275" t="s">
        <v>4803</v>
      </c>
      <c r="C717" s="705" t="s">
        <v>5120</v>
      </c>
      <c r="D717" s="418" t="str">
        <f t="shared" si="13"/>
        <v>UBND Xã Hiệp Phước</v>
      </c>
      <c r="E717" s="287" t="s">
        <v>84</v>
      </c>
      <c r="F717" s="287" t="s">
        <v>1127</v>
      </c>
      <c r="G717" s="415">
        <v>3921</v>
      </c>
      <c r="H717" s="425">
        <v>180</v>
      </c>
    </row>
    <row r="718" spans="1:8" s="288" customFormat="1">
      <c r="A718" s="287">
        <v>712</v>
      </c>
      <c r="B718" s="275" t="s">
        <v>4804</v>
      </c>
      <c r="C718" s="705" t="s">
        <v>5120</v>
      </c>
      <c r="D718" s="418" t="str">
        <f t="shared" si="13"/>
        <v>UBND Xã Hiệp Phước</v>
      </c>
      <c r="E718" s="287" t="s">
        <v>4798</v>
      </c>
      <c r="F718" s="287" t="s">
        <v>132</v>
      </c>
      <c r="G718" s="415">
        <v>1946</v>
      </c>
      <c r="H718" s="425">
        <v>30</v>
      </c>
    </row>
    <row r="719" spans="1:8" s="288" customFormat="1">
      <c r="A719" s="287">
        <v>713</v>
      </c>
      <c r="B719" s="275" t="s">
        <v>4805</v>
      </c>
      <c r="C719" s="705" t="s">
        <v>5120</v>
      </c>
      <c r="D719" s="418" t="str">
        <f t="shared" si="13"/>
        <v>UBND Xã Hiệp Phước</v>
      </c>
      <c r="E719" s="287" t="s">
        <v>4718</v>
      </c>
      <c r="F719" s="287" t="s">
        <v>1127</v>
      </c>
      <c r="G719" s="415">
        <v>1145</v>
      </c>
      <c r="H719" s="425">
        <v>8</v>
      </c>
    </row>
    <row r="720" spans="1:8" s="288" customFormat="1">
      <c r="A720" s="287">
        <v>714</v>
      </c>
      <c r="B720" s="275" t="s">
        <v>4806</v>
      </c>
      <c r="C720" s="705" t="s">
        <v>5120</v>
      </c>
      <c r="D720" s="418" t="str">
        <f t="shared" si="13"/>
        <v>UBND Xã Hiệp Phước</v>
      </c>
      <c r="E720" s="425" t="s">
        <v>4807</v>
      </c>
      <c r="F720" s="287" t="s">
        <v>132</v>
      </c>
      <c r="G720" s="415">
        <v>829</v>
      </c>
      <c r="H720" s="287">
        <v>37</v>
      </c>
    </row>
    <row r="721" spans="1:8" s="288" customFormat="1">
      <c r="A721" s="287">
        <v>715</v>
      </c>
      <c r="B721" s="275" t="s">
        <v>4808</v>
      </c>
      <c r="C721" s="705" t="s">
        <v>5120</v>
      </c>
      <c r="D721" s="418" t="str">
        <f t="shared" si="13"/>
        <v>UBND Xã Hiệp Phước</v>
      </c>
      <c r="E721" s="287" t="s">
        <v>4809</v>
      </c>
      <c r="F721" s="287" t="s">
        <v>4798</v>
      </c>
      <c r="G721" s="415">
        <v>800</v>
      </c>
      <c r="H721" s="425">
        <v>17</v>
      </c>
    </row>
    <row r="722" spans="1:8" s="288" customFormat="1">
      <c r="A722" s="287">
        <v>716</v>
      </c>
      <c r="B722" s="275" t="s">
        <v>4810</v>
      </c>
      <c r="C722" s="705" t="s">
        <v>5120</v>
      </c>
      <c r="D722" s="418" t="str">
        <f t="shared" si="13"/>
        <v>UBND Xã Hiệp Phước</v>
      </c>
      <c r="E722" s="287" t="s">
        <v>132</v>
      </c>
      <c r="F722" s="287" t="s">
        <v>407</v>
      </c>
      <c r="G722" s="415">
        <v>370</v>
      </c>
      <c r="H722" s="425">
        <v>25</v>
      </c>
    </row>
    <row r="723" spans="1:8" s="288" customFormat="1">
      <c r="A723" s="287">
        <v>717</v>
      </c>
      <c r="B723" s="275" t="s">
        <v>4811</v>
      </c>
      <c r="C723" s="705" t="s">
        <v>5120</v>
      </c>
      <c r="D723" s="418" t="str">
        <f t="shared" si="13"/>
        <v>UBND Xã Hiệp Phước</v>
      </c>
      <c r="E723" s="287" t="s">
        <v>132</v>
      </c>
      <c r="F723" s="287" t="s">
        <v>4798</v>
      </c>
      <c r="G723" s="415">
        <v>1520</v>
      </c>
      <c r="H723" s="425">
        <v>26</v>
      </c>
    </row>
    <row r="724" spans="1:8" s="288" customFormat="1">
      <c r="A724" s="287">
        <v>718</v>
      </c>
      <c r="B724" s="275" t="s">
        <v>4812</v>
      </c>
      <c r="C724" s="705" t="s">
        <v>5120</v>
      </c>
      <c r="D724" s="418" t="str">
        <f t="shared" si="13"/>
        <v>UBND Xã Hiệp Phước</v>
      </c>
      <c r="E724" s="287" t="s">
        <v>4813</v>
      </c>
      <c r="F724" s="287" t="s">
        <v>3352</v>
      </c>
      <c r="G724" s="415">
        <v>970</v>
      </c>
      <c r="H724" s="425">
        <v>15</v>
      </c>
    </row>
    <row r="725" spans="1:8" s="288" customFormat="1">
      <c r="A725" s="287">
        <v>719</v>
      </c>
      <c r="B725" s="275" t="s">
        <v>4814</v>
      </c>
      <c r="C725" s="705" t="s">
        <v>5120</v>
      </c>
      <c r="D725" s="418" t="str">
        <f t="shared" si="13"/>
        <v>UBND Xã Hiệp Phước</v>
      </c>
      <c r="E725" s="287" t="s">
        <v>4798</v>
      </c>
      <c r="F725" s="287" t="s">
        <v>407</v>
      </c>
      <c r="G725" s="415">
        <v>840</v>
      </c>
      <c r="H725" s="425">
        <v>7</v>
      </c>
    </row>
    <row r="726" spans="1:8" s="288" customFormat="1">
      <c r="A726" s="287">
        <v>720</v>
      </c>
      <c r="B726" s="275" t="s">
        <v>4815</v>
      </c>
      <c r="C726" s="705" t="s">
        <v>5120</v>
      </c>
      <c r="D726" s="418" t="str">
        <f t="shared" si="13"/>
        <v>UBND Xã Hiệp Phước</v>
      </c>
      <c r="E726" s="287" t="s">
        <v>4798</v>
      </c>
      <c r="F726" s="287" t="s">
        <v>4816</v>
      </c>
      <c r="G726" s="415">
        <v>590</v>
      </c>
      <c r="H726" s="425">
        <v>10</v>
      </c>
    </row>
    <row r="727" spans="1:8" s="288" customFormat="1">
      <c r="A727" s="287">
        <v>721</v>
      </c>
      <c r="B727" s="275" t="s">
        <v>4817</v>
      </c>
      <c r="C727" s="705" t="s">
        <v>5120</v>
      </c>
      <c r="D727" s="418" t="str">
        <f t="shared" si="13"/>
        <v>UBND Xã Hiệp Phước</v>
      </c>
      <c r="E727" s="287" t="s">
        <v>4809</v>
      </c>
      <c r="F727" s="287" t="s">
        <v>4798</v>
      </c>
      <c r="G727" s="415">
        <v>1130</v>
      </c>
      <c r="H727" s="425">
        <v>30</v>
      </c>
    </row>
    <row r="728" spans="1:8" s="288" customFormat="1">
      <c r="A728" s="287">
        <v>722</v>
      </c>
      <c r="B728" s="275" t="s">
        <v>4818</v>
      </c>
      <c r="C728" s="705" t="s">
        <v>5120</v>
      </c>
      <c r="D728" s="418" t="str">
        <f t="shared" si="13"/>
        <v>UBND Xã Hiệp Phước</v>
      </c>
      <c r="E728" s="287" t="s">
        <v>4809</v>
      </c>
      <c r="F728" s="287" t="s">
        <v>4798</v>
      </c>
      <c r="G728" s="415">
        <v>525</v>
      </c>
      <c r="H728" s="425">
        <v>37</v>
      </c>
    </row>
    <row r="729" spans="1:8" s="288" customFormat="1">
      <c r="A729" s="287">
        <v>723</v>
      </c>
      <c r="B729" s="275" t="s">
        <v>4819</v>
      </c>
      <c r="C729" s="705" t="s">
        <v>5120</v>
      </c>
      <c r="D729" s="418" t="str">
        <f t="shared" si="13"/>
        <v>UBND Xã Hiệp Phước</v>
      </c>
      <c r="E729" s="287" t="s">
        <v>1127</v>
      </c>
      <c r="F729" s="287" t="s">
        <v>4718</v>
      </c>
      <c r="G729" s="415">
        <v>1078</v>
      </c>
      <c r="H729" s="425">
        <v>15</v>
      </c>
    </row>
    <row r="730" spans="1:8" s="288" customFormat="1">
      <c r="A730" s="287">
        <v>724</v>
      </c>
      <c r="B730" s="275" t="s">
        <v>4820</v>
      </c>
      <c r="C730" s="705" t="s">
        <v>5120</v>
      </c>
      <c r="D730" s="418" t="str">
        <f t="shared" si="13"/>
        <v>UBND Xã Hiệp Phước</v>
      </c>
      <c r="E730" s="287" t="s">
        <v>4813</v>
      </c>
      <c r="F730" s="287" t="s">
        <v>132</v>
      </c>
      <c r="G730" s="415">
        <v>860</v>
      </c>
      <c r="H730" s="425">
        <v>10</v>
      </c>
    </row>
    <row r="731" spans="1:8" s="288" customFormat="1">
      <c r="A731" s="287">
        <v>725</v>
      </c>
      <c r="B731" s="275" t="s">
        <v>4821</v>
      </c>
      <c r="C731" s="705" t="s">
        <v>5120</v>
      </c>
      <c r="D731" s="418" t="str">
        <f t="shared" si="13"/>
        <v>UBND Xã Hiệp Phước</v>
      </c>
      <c r="E731" s="287" t="s">
        <v>132</v>
      </c>
      <c r="F731" s="287" t="s">
        <v>304</v>
      </c>
      <c r="G731" s="415">
        <v>622</v>
      </c>
      <c r="H731" s="425">
        <v>22</v>
      </c>
    </row>
    <row r="732" spans="1:8" s="288" customFormat="1">
      <c r="A732" s="287">
        <v>726</v>
      </c>
      <c r="B732" s="275" t="s">
        <v>4822</v>
      </c>
      <c r="C732" s="705" t="s">
        <v>5120</v>
      </c>
      <c r="D732" s="418" t="str">
        <f t="shared" si="13"/>
        <v>UBND Xã Hiệp Phước</v>
      </c>
      <c r="E732" s="287" t="s">
        <v>80</v>
      </c>
      <c r="F732" s="287" t="s">
        <v>305</v>
      </c>
      <c r="G732" s="415">
        <v>800</v>
      </c>
      <c r="H732" s="425">
        <v>14</v>
      </c>
    </row>
    <row r="733" spans="1:8" s="288" customFormat="1">
      <c r="A733" s="287">
        <v>727</v>
      </c>
      <c r="B733" s="275" t="s">
        <v>4823</v>
      </c>
      <c r="C733" s="705" t="s">
        <v>5120</v>
      </c>
      <c r="D733" s="418" t="str">
        <f t="shared" si="13"/>
        <v>UBND Xã Hiệp Phước</v>
      </c>
      <c r="E733" s="287" t="s">
        <v>4813</v>
      </c>
      <c r="F733" s="287" t="s">
        <v>80</v>
      </c>
      <c r="G733" s="415">
        <v>825</v>
      </c>
      <c r="H733" s="425">
        <v>10</v>
      </c>
    </row>
    <row r="734" spans="1:8" s="288" customFormat="1">
      <c r="A734" s="287">
        <v>728</v>
      </c>
      <c r="B734" s="275" t="s">
        <v>4824</v>
      </c>
      <c r="C734" s="705" t="s">
        <v>5120</v>
      </c>
      <c r="D734" s="418" t="str">
        <f t="shared" si="13"/>
        <v>UBND Xã Hiệp Phước</v>
      </c>
      <c r="E734" s="287" t="s">
        <v>132</v>
      </c>
      <c r="F734" s="287" t="s">
        <v>4813</v>
      </c>
      <c r="G734" s="415">
        <v>1456</v>
      </c>
      <c r="H734" s="425">
        <v>12</v>
      </c>
    </row>
    <row r="735" spans="1:8" s="288" customFormat="1" ht="49.5">
      <c r="A735" s="287">
        <v>729</v>
      </c>
      <c r="B735" s="275" t="s">
        <v>4825</v>
      </c>
      <c r="C735" s="705" t="s">
        <v>5120</v>
      </c>
      <c r="D735" s="418" t="str">
        <f t="shared" si="13"/>
        <v>UBND Xã Hiệp Phước</v>
      </c>
      <c r="E735" s="287" t="s">
        <v>4826</v>
      </c>
      <c r="F735" s="287" t="s">
        <v>4827</v>
      </c>
      <c r="G735" s="415">
        <v>1180</v>
      </c>
      <c r="H735" s="425">
        <v>15</v>
      </c>
    </row>
    <row r="736" spans="1:8" s="288" customFormat="1" ht="33">
      <c r="A736" s="287">
        <v>730</v>
      </c>
      <c r="B736" s="275" t="s">
        <v>4828</v>
      </c>
      <c r="C736" s="705" t="s">
        <v>5120</v>
      </c>
      <c r="D736" s="418" t="str">
        <f t="shared" si="13"/>
        <v>UBND Xã Hiệp Phước</v>
      </c>
      <c r="E736" s="287" t="s">
        <v>132</v>
      </c>
      <c r="F736" s="287" t="s">
        <v>4798</v>
      </c>
      <c r="G736" s="415">
        <v>1575</v>
      </c>
      <c r="H736" s="425">
        <v>26</v>
      </c>
    </row>
    <row r="737" spans="1:8" s="288" customFormat="1" ht="33">
      <c r="A737" s="287">
        <v>731</v>
      </c>
      <c r="B737" s="275" t="s">
        <v>4829</v>
      </c>
      <c r="C737" s="705" t="s">
        <v>5120</v>
      </c>
      <c r="D737" s="418" t="str">
        <f t="shared" ref="D737:D800" si="14">"UBND "&amp;C737</f>
        <v>UBND Xã Hiệp Phước</v>
      </c>
      <c r="E737" s="287" t="s">
        <v>4830</v>
      </c>
      <c r="F737" s="287" t="s">
        <v>4831</v>
      </c>
      <c r="G737" s="415">
        <v>600</v>
      </c>
      <c r="H737" s="425">
        <v>12</v>
      </c>
    </row>
    <row r="738" spans="1:8" s="288" customFormat="1" ht="33">
      <c r="A738" s="287">
        <v>732</v>
      </c>
      <c r="B738" s="275" t="s">
        <v>4832</v>
      </c>
      <c r="C738" s="705" t="s">
        <v>5120</v>
      </c>
      <c r="D738" s="418" t="str">
        <f t="shared" si="14"/>
        <v>UBND Xã Hiệp Phước</v>
      </c>
      <c r="E738" s="287" t="s">
        <v>132</v>
      </c>
      <c r="F738" s="287" t="s">
        <v>4833</v>
      </c>
      <c r="G738" s="415">
        <v>622</v>
      </c>
      <c r="H738" s="425">
        <v>10</v>
      </c>
    </row>
    <row r="739" spans="1:8" s="288" customFormat="1">
      <c r="A739" s="287">
        <v>733</v>
      </c>
      <c r="B739" s="275" t="s">
        <v>4834</v>
      </c>
      <c r="C739" s="705" t="s">
        <v>5120</v>
      </c>
      <c r="D739" s="418" t="str">
        <f t="shared" si="14"/>
        <v>UBND Xã Hiệp Phước</v>
      </c>
      <c r="E739" s="287" t="s">
        <v>132</v>
      </c>
      <c r="F739" s="287" t="s">
        <v>407</v>
      </c>
      <c r="G739" s="415">
        <v>619</v>
      </c>
      <c r="H739" s="425">
        <v>10</v>
      </c>
    </row>
    <row r="740" spans="1:8" s="288" customFormat="1">
      <c r="A740" s="287">
        <v>734</v>
      </c>
      <c r="B740" s="275" t="s">
        <v>4835</v>
      </c>
      <c r="C740" s="705" t="s">
        <v>5120</v>
      </c>
      <c r="D740" s="418" t="str">
        <f t="shared" si="14"/>
        <v>UBND Xã Hiệp Phước</v>
      </c>
      <c r="E740" s="287" t="s">
        <v>132</v>
      </c>
      <c r="F740" s="287" t="s">
        <v>407</v>
      </c>
      <c r="G740" s="415">
        <v>181</v>
      </c>
      <c r="H740" s="426">
        <v>2.5</v>
      </c>
    </row>
    <row r="741" spans="1:8" s="288" customFormat="1">
      <c r="A741" s="287">
        <v>735</v>
      </c>
      <c r="B741" s="275" t="s">
        <v>4836</v>
      </c>
      <c r="C741" s="705" t="s">
        <v>5120</v>
      </c>
      <c r="D741" s="418" t="str">
        <f t="shared" si="14"/>
        <v>UBND Xã Hiệp Phước</v>
      </c>
      <c r="E741" s="426" t="s">
        <v>132</v>
      </c>
      <c r="F741" s="287" t="s">
        <v>2744</v>
      </c>
      <c r="G741" s="415">
        <v>148</v>
      </c>
      <c r="H741" s="287">
        <v>3</v>
      </c>
    </row>
    <row r="742" spans="1:8" s="288" customFormat="1">
      <c r="A742" s="287">
        <v>736</v>
      </c>
      <c r="B742" s="275" t="s">
        <v>4837</v>
      </c>
      <c r="C742" s="705" t="s">
        <v>5120</v>
      </c>
      <c r="D742" s="418" t="str">
        <f t="shared" si="14"/>
        <v>UBND Xã Hiệp Phước</v>
      </c>
      <c r="E742" s="287" t="s">
        <v>132</v>
      </c>
      <c r="F742" s="287" t="s">
        <v>407</v>
      </c>
      <c r="G742" s="415">
        <v>574</v>
      </c>
      <c r="H742" s="426">
        <v>3.5</v>
      </c>
    </row>
    <row r="743" spans="1:8" s="288" customFormat="1">
      <c r="A743" s="287">
        <v>737</v>
      </c>
      <c r="B743" s="275" t="s">
        <v>4838</v>
      </c>
      <c r="C743" s="705" t="s">
        <v>5120</v>
      </c>
      <c r="D743" s="418" t="str">
        <f t="shared" si="14"/>
        <v>UBND Xã Hiệp Phước</v>
      </c>
      <c r="E743" s="287" t="s">
        <v>4839</v>
      </c>
      <c r="F743" s="287" t="s">
        <v>407</v>
      </c>
      <c r="G743" s="415">
        <v>268</v>
      </c>
      <c r="H743" s="425">
        <v>5</v>
      </c>
    </row>
    <row r="744" spans="1:8" s="288" customFormat="1">
      <c r="A744" s="287">
        <v>738</v>
      </c>
      <c r="B744" s="275" t="s">
        <v>4840</v>
      </c>
      <c r="C744" s="705" t="s">
        <v>5120</v>
      </c>
      <c r="D744" s="418" t="str">
        <f t="shared" si="14"/>
        <v>UBND Xã Hiệp Phước</v>
      </c>
      <c r="E744" s="425" t="s">
        <v>4841</v>
      </c>
      <c r="F744" s="287" t="s">
        <v>2744</v>
      </c>
      <c r="G744" s="415">
        <v>135</v>
      </c>
      <c r="H744" s="287">
        <v>7</v>
      </c>
    </row>
    <row r="745" spans="1:8" s="288" customFormat="1">
      <c r="A745" s="287">
        <v>739</v>
      </c>
      <c r="B745" s="275" t="s">
        <v>4842</v>
      </c>
      <c r="C745" s="705" t="s">
        <v>5120</v>
      </c>
      <c r="D745" s="418" t="str">
        <f t="shared" si="14"/>
        <v>UBND Xã Hiệp Phước</v>
      </c>
      <c r="E745" s="287" t="s">
        <v>4843</v>
      </c>
      <c r="F745" s="287" t="s">
        <v>407</v>
      </c>
      <c r="G745" s="415">
        <v>129</v>
      </c>
      <c r="H745" s="425">
        <v>2</v>
      </c>
    </row>
    <row r="746" spans="1:8" s="288" customFormat="1">
      <c r="A746" s="287">
        <v>740</v>
      </c>
      <c r="B746" s="275" t="s">
        <v>4844</v>
      </c>
      <c r="C746" s="705" t="s">
        <v>5120</v>
      </c>
      <c r="D746" s="418" t="str">
        <f t="shared" si="14"/>
        <v>UBND Xã Hiệp Phước</v>
      </c>
      <c r="E746" s="287" t="s">
        <v>4843</v>
      </c>
      <c r="F746" s="287" t="s">
        <v>407</v>
      </c>
      <c r="G746" s="415">
        <v>268</v>
      </c>
      <c r="H746" s="425">
        <v>3</v>
      </c>
    </row>
    <row r="747" spans="1:8" s="288" customFormat="1">
      <c r="A747" s="287">
        <v>741</v>
      </c>
      <c r="B747" s="275" t="s">
        <v>4845</v>
      </c>
      <c r="C747" s="705" t="s">
        <v>5120</v>
      </c>
      <c r="D747" s="418" t="str">
        <f t="shared" si="14"/>
        <v>UBND Xã Hiệp Phước</v>
      </c>
      <c r="E747" s="425" t="s">
        <v>4846</v>
      </c>
      <c r="F747" s="287" t="s">
        <v>2744</v>
      </c>
      <c r="G747" s="415">
        <v>168</v>
      </c>
      <c r="H747" s="424">
        <v>10</v>
      </c>
    </row>
    <row r="748" spans="1:8" s="288" customFormat="1">
      <c r="A748" s="287">
        <v>742</v>
      </c>
      <c r="B748" s="275" t="s">
        <v>4847</v>
      </c>
      <c r="C748" s="705" t="s">
        <v>5120</v>
      </c>
      <c r="D748" s="418" t="str">
        <f t="shared" si="14"/>
        <v>UBND Xã Hiệp Phước</v>
      </c>
      <c r="E748" s="425" t="s">
        <v>4845</v>
      </c>
      <c r="F748" s="287" t="s">
        <v>2744</v>
      </c>
      <c r="G748" s="415">
        <v>110</v>
      </c>
      <c r="H748" s="676">
        <v>3.5</v>
      </c>
    </row>
    <row r="749" spans="1:8" s="288" customFormat="1">
      <c r="A749" s="287">
        <v>743</v>
      </c>
      <c r="B749" s="275" t="s">
        <v>4848</v>
      </c>
      <c r="C749" s="705" t="s">
        <v>5120</v>
      </c>
      <c r="D749" s="418" t="str">
        <f t="shared" si="14"/>
        <v>UBND Xã Hiệp Phước</v>
      </c>
      <c r="E749" s="425" t="s">
        <v>4845</v>
      </c>
      <c r="F749" s="287" t="s">
        <v>2744</v>
      </c>
      <c r="G749" s="415">
        <v>449</v>
      </c>
      <c r="H749" s="424">
        <v>3</v>
      </c>
    </row>
    <row r="750" spans="1:8" s="288" customFormat="1">
      <c r="A750" s="287">
        <v>744</v>
      </c>
      <c r="B750" s="275" t="s">
        <v>4849</v>
      </c>
      <c r="C750" s="705" t="s">
        <v>5120</v>
      </c>
      <c r="D750" s="418" t="str">
        <f t="shared" si="14"/>
        <v>UBND Xã Hiệp Phước</v>
      </c>
      <c r="E750" s="287" t="s">
        <v>4850</v>
      </c>
      <c r="F750" s="287" t="s">
        <v>407</v>
      </c>
      <c r="G750" s="415">
        <v>347</v>
      </c>
      <c r="H750" s="425">
        <v>8</v>
      </c>
    </row>
    <row r="751" spans="1:8" s="288" customFormat="1">
      <c r="A751" s="287">
        <v>745</v>
      </c>
      <c r="B751" s="275" t="s">
        <v>4851</v>
      </c>
      <c r="C751" s="705" t="s">
        <v>5120</v>
      </c>
      <c r="D751" s="418" t="str">
        <f t="shared" si="14"/>
        <v>UBND Xã Hiệp Phước</v>
      </c>
      <c r="E751" s="425" t="s">
        <v>4852</v>
      </c>
      <c r="F751" s="287" t="s">
        <v>2744</v>
      </c>
      <c r="G751" s="415">
        <v>60</v>
      </c>
      <c r="H751" s="287">
        <v>3</v>
      </c>
    </row>
    <row r="752" spans="1:8" s="288" customFormat="1">
      <c r="A752" s="287">
        <v>746</v>
      </c>
      <c r="B752" s="275" t="s">
        <v>4853</v>
      </c>
      <c r="C752" s="705" t="s">
        <v>5120</v>
      </c>
      <c r="D752" s="418" t="str">
        <f t="shared" si="14"/>
        <v>UBND Xã Hiệp Phước</v>
      </c>
      <c r="E752" s="287" t="s">
        <v>4854</v>
      </c>
      <c r="F752" s="287" t="s">
        <v>2744</v>
      </c>
      <c r="G752" s="415">
        <v>197</v>
      </c>
      <c r="H752" s="287">
        <v>4</v>
      </c>
    </row>
    <row r="753" spans="1:8" s="288" customFormat="1">
      <c r="A753" s="287">
        <v>747</v>
      </c>
      <c r="B753" s="275" t="s">
        <v>4855</v>
      </c>
      <c r="C753" s="705" t="s">
        <v>5120</v>
      </c>
      <c r="D753" s="418" t="str">
        <f t="shared" si="14"/>
        <v>UBND Xã Hiệp Phước</v>
      </c>
      <c r="E753" s="287" t="s">
        <v>4856</v>
      </c>
      <c r="F753" s="287" t="s">
        <v>407</v>
      </c>
      <c r="G753" s="415">
        <v>136</v>
      </c>
      <c r="H753" s="425">
        <v>3</v>
      </c>
    </row>
    <row r="754" spans="1:8" s="288" customFormat="1">
      <c r="A754" s="287">
        <v>748</v>
      </c>
      <c r="B754" s="275" t="s">
        <v>4857</v>
      </c>
      <c r="C754" s="705" t="s">
        <v>5120</v>
      </c>
      <c r="D754" s="418" t="str">
        <f t="shared" si="14"/>
        <v>UBND Xã Hiệp Phước</v>
      </c>
      <c r="E754" s="425" t="s">
        <v>4856</v>
      </c>
      <c r="F754" s="287" t="s">
        <v>2744</v>
      </c>
      <c r="G754" s="415">
        <v>360</v>
      </c>
      <c r="H754" s="287">
        <v>6</v>
      </c>
    </row>
    <row r="755" spans="1:8" s="288" customFormat="1">
      <c r="A755" s="287">
        <v>749</v>
      </c>
      <c r="B755" s="275" t="s">
        <v>4858</v>
      </c>
      <c r="C755" s="705" t="s">
        <v>5120</v>
      </c>
      <c r="D755" s="418" t="str">
        <f t="shared" si="14"/>
        <v>UBND Xã Hiệp Phước</v>
      </c>
      <c r="E755" s="425" t="s">
        <v>303</v>
      </c>
      <c r="F755" s="287" t="s">
        <v>2744</v>
      </c>
      <c r="G755" s="415">
        <v>95</v>
      </c>
      <c r="H755" s="287">
        <v>2.5</v>
      </c>
    </row>
    <row r="756" spans="1:8" s="288" customFormat="1">
      <c r="A756" s="287">
        <v>750</v>
      </c>
      <c r="B756" s="275" t="s">
        <v>4859</v>
      </c>
      <c r="C756" s="705" t="s">
        <v>5120</v>
      </c>
      <c r="D756" s="418" t="str">
        <f t="shared" si="14"/>
        <v>UBND Xã Hiệp Phước</v>
      </c>
      <c r="E756" s="287" t="s">
        <v>303</v>
      </c>
      <c r="F756" s="287" t="s">
        <v>407</v>
      </c>
      <c r="G756" s="415">
        <v>305</v>
      </c>
      <c r="H756" s="425">
        <v>4</v>
      </c>
    </row>
    <row r="757" spans="1:8" s="288" customFormat="1">
      <c r="A757" s="287">
        <v>751</v>
      </c>
      <c r="B757" s="275" t="s">
        <v>4860</v>
      </c>
      <c r="C757" s="705" t="s">
        <v>5120</v>
      </c>
      <c r="D757" s="418" t="str">
        <f t="shared" si="14"/>
        <v>UBND Xã Hiệp Phước</v>
      </c>
      <c r="E757" s="425" t="s">
        <v>4859</v>
      </c>
      <c r="F757" s="287" t="s">
        <v>2744</v>
      </c>
      <c r="G757" s="415">
        <v>22</v>
      </c>
      <c r="H757" s="287">
        <v>3</v>
      </c>
    </row>
    <row r="758" spans="1:8" s="288" customFormat="1">
      <c r="A758" s="287">
        <v>752</v>
      </c>
      <c r="B758" s="275" t="s">
        <v>4861</v>
      </c>
      <c r="C758" s="705" t="s">
        <v>5120</v>
      </c>
      <c r="D758" s="418" t="str">
        <f t="shared" si="14"/>
        <v>UBND Xã Hiệp Phước</v>
      </c>
      <c r="E758" s="287" t="s">
        <v>4859</v>
      </c>
      <c r="F758" s="287" t="s">
        <v>407</v>
      </c>
      <c r="G758" s="415">
        <v>117</v>
      </c>
      <c r="H758" s="425">
        <v>4</v>
      </c>
    </row>
    <row r="759" spans="1:8" s="288" customFormat="1">
      <c r="A759" s="287">
        <v>753</v>
      </c>
      <c r="B759" s="275" t="s">
        <v>4862</v>
      </c>
      <c r="C759" s="705" t="s">
        <v>5120</v>
      </c>
      <c r="D759" s="418" t="str">
        <f t="shared" si="14"/>
        <v>UBND Xã Hiệp Phước</v>
      </c>
      <c r="E759" s="425" t="s">
        <v>4863</v>
      </c>
      <c r="F759" s="287" t="s">
        <v>407</v>
      </c>
      <c r="G759" s="415">
        <v>50</v>
      </c>
      <c r="H759" s="287">
        <v>10</v>
      </c>
    </row>
    <row r="760" spans="1:8" s="288" customFormat="1">
      <c r="A760" s="287">
        <v>754</v>
      </c>
      <c r="B760" s="275" t="s">
        <v>4864</v>
      </c>
      <c r="C760" s="705" t="s">
        <v>5120</v>
      </c>
      <c r="D760" s="418" t="str">
        <f t="shared" si="14"/>
        <v>UBND Xã Hiệp Phước</v>
      </c>
      <c r="E760" s="425" t="s">
        <v>4863</v>
      </c>
      <c r="F760" s="287" t="s">
        <v>407</v>
      </c>
      <c r="G760" s="415">
        <v>39</v>
      </c>
      <c r="H760" s="287">
        <v>5</v>
      </c>
    </row>
    <row r="761" spans="1:8" s="288" customFormat="1">
      <c r="A761" s="287">
        <v>755</v>
      </c>
      <c r="B761" s="275" t="s">
        <v>4865</v>
      </c>
      <c r="C761" s="705" t="s">
        <v>5120</v>
      </c>
      <c r="D761" s="418" t="str">
        <f t="shared" si="14"/>
        <v>UBND Xã Hiệp Phước</v>
      </c>
      <c r="E761" s="287" t="s">
        <v>4816</v>
      </c>
      <c r="F761" s="287" t="s">
        <v>407</v>
      </c>
      <c r="G761" s="415">
        <v>603</v>
      </c>
      <c r="H761" s="287">
        <v>10</v>
      </c>
    </row>
    <row r="762" spans="1:8" s="288" customFormat="1">
      <c r="A762" s="287">
        <v>756</v>
      </c>
      <c r="B762" s="275" t="s">
        <v>4866</v>
      </c>
      <c r="C762" s="705" t="s">
        <v>5120</v>
      </c>
      <c r="D762" s="418" t="str">
        <f t="shared" si="14"/>
        <v>UBND Xã Hiệp Phước</v>
      </c>
      <c r="E762" s="287" t="s">
        <v>4865</v>
      </c>
      <c r="F762" s="287" t="s">
        <v>407</v>
      </c>
      <c r="G762" s="415">
        <v>67</v>
      </c>
      <c r="H762" s="287">
        <v>6</v>
      </c>
    </row>
    <row r="763" spans="1:8" s="288" customFormat="1">
      <c r="A763" s="287">
        <v>757</v>
      </c>
      <c r="B763" s="275" t="s">
        <v>4867</v>
      </c>
      <c r="C763" s="705" t="s">
        <v>5120</v>
      </c>
      <c r="D763" s="418" t="str">
        <f t="shared" si="14"/>
        <v>UBND Xã Hiệp Phước</v>
      </c>
      <c r="E763" s="287" t="s">
        <v>4816</v>
      </c>
      <c r="F763" s="287" t="s">
        <v>407</v>
      </c>
      <c r="G763" s="415">
        <v>348</v>
      </c>
      <c r="H763" s="287">
        <v>8</v>
      </c>
    </row>
    <row r="764" spans="1:8" s="288" customFormat="1">
      <c r="A764" s="287">
        <v>758</v>
      </c>
      <c r="B764" s="275" t="s">
        <v>3704</v>
      </c>
      <c r="C764" s="705" t="s">
        <v>5112</v>
      </c>
      <c r="D764" s="418" t="str">
        <f t="shared" si="14"/>
        <v>UBND Xã Hóc Môn</v>
      </c>
      <c r="E764" s="287" t="s">
        <v>287</v>
      </c>
      <c r="F764" s="287" t="s">
        <v>3414</v>
      </c>
      <c r="G764" s="415">
        <v>1240</v>
      </c>
      <c r="H764" s="420" t="s">
        <v>9063</v>
      </c>
    </row>
    <row r="765" spans="1:8" s="288" customFormat="1">
      <c r="A765" s="287">
        <v>759</v>
      </c>
      <c r="B765" s="275" t="s">
        <v>3707</v>
      </c>
      <c r="C765" s="705" t="s">
        <v>5112</v>
      </c>
      <c r="D765" s="418" t="str">
        <f t="shared" si="14"/>
        <v>UBND Xã Hóc Môn</v>
      </c>
      <c r="E765" s="287" t="s">
        <v>629</v>
      </c>
      <c r="F765" s="287" t="s">
        <v>1115</v>
      </c>
      <c r="G765" s="415">
        <v>1200</v>
      </c>
      <c r="H765" s="420" t="s">
        <v>189</v>
      </c>
    </row>
    <row r="766" spans="1:8" s="288" customFormat="1">
      <c r="A766" s="287">
        <v>760</v>
      </c>
      <c r="B766" s="275" t="s">
        <v>4542</v>
      </c>
      <c r="C766" s="705" t="s">
        <v>5112</v>
      </c>
      <c r="D766" s="418" t="str">
        <f t="shared" si="14"/>
        <v>UBND Xã Hóc Môn</v>
      </c>
      <c r="E766" s="287" t="s">
        <v>287</v>
      </c>
      <c r="F766" s="287" t="s">
        <v>4543</v>
      </c>
      <c r="G766" s="415">
        <v>268</v>
      </c>
      <c r="H766" s="420" t="s">
        <v>210</v>
      </c>
    </row>
    <row r="767" spans="1:8" s="288" customFormat="1">
      <c r="A767" s="287">
        <v>761</v>
      </c>
      <c r="B767" s="275" t="s">
        <v>4554</v>
      </c>
      <c r="C767" s="705" t="s">
        <v>5112</v>
      </c>
      <c r="D767" s="418" t="str">
        <f t="shared" si="14"/>
        <v>UBND Xã Hóc Môn</v>
      </c>
      <c r="E767" s="287" t="s">
        <v>4555</v>
      </c>
      <c r="F767" s="287" t="s">
        <v>4556</v>
      </c>
      <c r="G767" s="415">
        <v>150</v>
      </c>
      <c r="H767" s="421" t="s">
        <v>964</v>
      </c>
    </row>
    <row r="768" spans="1:8" s="288" customFormat="1">
      <c r="A768" s="287">
        <v>762</v>
      </c>
      <c r="B768" s="275" t="s">
        <v>4557</v>
      </c>
      <c r="C768" s="705" t="s">
        <v>5112</v>
      </c>
      <c r="D768" s="418" t="str">
        <f t="shared" si="14"/>
        <v>UBND Xã Hóc Môn</v>
      </c>
      <c r="E768" s="287" t="s">
        <v>1255</v>
      </c>
      <c r="F768" s="287" t="s">
        <v>1272</v>
      </c>
      <c r="G768" s="415">
        <v>1248</v>
      </c>
      <c r="H768" s="421" t="s">
        <v>964</v>
      </c>
    </row>
    <row r="769" spans="1:8" s="288" customFormat="1">
      <c r="A769" s="287">
        <v>763</v>
      </c>
      <c r="B769" s="275" t="s">
        <v>4558</v>
      </c>
      <c r="C769" s="705" t="s">
        <v>5112</v>
      </c>
      <c r="D769" s="418" t="str">
        <f t="shared" si="14"/>
        <v>UBND Xã Hóc Môn</v>
      </c>
      <c r="E769" s="287" t="s">
        <v>2625</v>
      </c>
      <c r="F769" s="287" t="s">
        <v>630</v>
      </c>
      <c r="G769" s="415">
        <v>300</v>
      </c>
      <c r="H769" s="421" t="s">
        <v>4559</v>
      </c>
    </row>
    <row r="770" spans="1:8" s="288" customFormat="1">
      <c r="A770" s="287">
        <v>764</v>
      </c>
      <c r="B770" s="275" t="s">
        <v>4564</v>
      </c>
      <c r="C770" s="705" t="s">
        <v>5112</v>
      </c>
      <c r="D770" s="418" t="str">
        <f t="shared" si="14"/>
        <v>UBND Xã Hóc Môn</v>
      </c>
      <c r="E770" s="287" t="s">
        <v>4565</v>
      </c>
      <c r="F770" s="287" t="s">
        <v>4566</v>
      </c>
      <c r="G770" s="415">
        <v>260</v>
      </c>
      <c r="H770" s="421" t="s">
        <v>207</v>
      </c>
    </row>
    <row r="771" spans="1:8" s="288" customFormat="1">
      <c r="A771" s="287">
        <v>765</v>
      </c>
      <c r="B771" s="275" t="s">
        <v>4588</v>
      </c>
      <c r="C771" s="705" t="s">
        <v>5112</v>
      </c>
      <c r="D771" s="418" t="str">
        <f t="shared" si="14"/>
        <v>UBND Xã Hóc Môn</v>
      </c>
      <c r="E771" s="287" t="s">
        <v>2787</v>
      </c>
      <c r="F771" s="287" t="s">
        <v>4589</v>
      </c>
      <c r="G771" s="415">
        <v>1750</v>
      </c>
      <c r="H771" s="421" t="s">
        <v>183</v>
      </c>
    </row>
    <row r="772" spans="1:8" s="288" customFormat="1">
      <c r="A772" s="287">
        <v>766</v>
      </c>
      <c r="B772" s="275" t="s">
        <v>1081</v>
      </c>
      <c r="C772" s="705" t="s">
        <v>246</v>
      </c>
      <c r="D772" s="418" t="str">
        <f t="shared" si="14"/>
        <v>UBND Xã Hưng Long</v>
      </c>
      <c r="E772" s="287" t="s">
        <v>1082</v>
      </c>
      <c r="F772" s="287" t="s">
        <v>1083</v>
      </c>
      <c r="G772" s="415">
        <v>6444</v>
      </c>
      <c r="H772" s="287"/>
    </row>
    <row r="773" spans="1:8" s="288" customFormat="1">
      <c r="A773" s="287">
        <v>767</v>
      </c>
      <c r="B773" s="275" t="s">
        <v>86</v>
      </c>
      <c r="C773" s="705" t="s">
        <v>246</v>
      </c>
      <c r="D773" s="418" t="str">
        <f t="shared" si="14"/>
        <v>UBND Xã Hưng Long</v>
      </c>
      <c r="E773" s="287" t="s">
        <v>3359</v>
      </c>
      <c r="F773" s="287" t="s">
        <v>80</v>
      </c>
      <c r="G773" s="415">
        <v>800</v>
      </c>
      <c r="H773" s="287" t="s">
        <v>157</v>
      </c>
    </row>
    <row r="774" spans="1:8" s="288" customFormat="1">
      <c r="A774" s="287">
        <v>768</v>
      </c>
      <c r="B774" s="275" t="s">
        <v>87</v>
      </c>
      <c r="C774" s="705" t="s">
        <v>246</v>
      </c>
      <c r="D774" s="418" t="str">
        <f t="shared" si="14"/>
        <v>UBND Xã Hưng Long</v>
      </c>
      <c r="E774" s="287" t="s">
        <v>3358</v>
      </c>
      <c r="F774" s="287" t="s">
        <v>407</v>
      </c>
      <c r="G774" s="415">
        <v>500</v>
      </c>
      <c r="H774" s="287" t="s">
        <v>165</v>
      </c>
    </row>
    <row r="775" spans="1:8" s="288" customFormat="1">
      <c r="A775" s="287">
        <v>769</v>
      </c>
      <c r="B775" s="275" t="s">
        <v>88</v>
      </c>
      <c r="C775" s="705" t="s">
        <v>246</v>
      </c>
      <c r="D775" s="418" t="str">
        <f t="shared" si="14"/>
        <v>UBND Xã Hưng Long</v>
      </c>
      <c r="E775" s="287" t="s">
        <v>3358</v>
      </c>
      <c r="F775" s="287" t="s">
        <v>407</v>
      </c>
      <c r="G775" s="415">
        <v>600</v>
      </c>
      <c r="H775" s="287" t="s">
        <v>165</v>
      </c>
    </row>
    <row r="776" spans="1:8" s="288" customFormat="1" ht="33">
      <c r="A776" s="287">
        <v>770</v>
      </c>
      <c r="B776" s="275" t="s">
        <v>3287</v>
      </c>
      <c r="C776" s="705" t="s">
        <v>246</v>
      </c>
      <c r="D776" s="418" t="str">
        <f t="shared" si="14"/>
        <v>UBND Xã Hưng Long</v>
      </c>
      <c r="E776" s="287" t="s">
        <v>367</v>
      </c>
      <c r="F776" s="287" t="s">
        <v>407</v>
      </c>
      <c r="G776" s="415">
        <v>700</v>
      </c>
      <c r="H776" s="287" t="s">
        <v>154</v>
      </c>
    </row>
    <row r="777" spans="1:8" s="288" customFormat="1">
      <c r="A777" s="287">
        <v>771</v>
      </c>
      <c r="B777" s="275" t="s">
        <v>82</v>
      </c>
      <c r="C777" s="705" t="s">
        <v>5116</v>
      </c>
      <c r="D777" s="418" t="str">
        <f t="shared" si="14"/>
        <v>UBND Xã Nhà Bè</v>
      </c>
      <c r="E777" s="287" t="s">
        <v>387</v>
      </c>
      <c r="F777" s="287" t="s">
        <v>80</v>
      </c>
      <c r="G777" s="415">
        <v>900</v>
      </c>
      <c r="H777" s="287" t="s">
        <v>153</v>
      </c>
    </row>
    <row r="778" spans="1:8" s="288" customFormat="1">
      <c r="A778" s="287">
        <v>772</v>
      </c>
      <c r="B778" s="275" t="s">
        <v>2755</v>
      </c>
      <c r="C778" s="705" t="s">
        <v>5116</v>
      </c>
      <c r="D778" s="418" t="str">
        <f t="shared" si="14"/>
        <v>UBND Xã Nhà Bè</v>
      </c>
      <c r="E778" s="287" t="s">
        <v>2756</v>
      </c>
      <c r="F778" s="287" t="s">
        <v>3898</v>
      </c>
      <c r="G778" s="415">
        <v>1026</v>
      </c>
      <c r="H778" s="287"/>
    </row>
    <row r="779" spans="1:8" s="288" customFormat="1">
      <c r="A779" s="287">
        <v>773</v>
      </c>
      <c r="B779" s="275" t="s">
        <v>4646</v>
      </c>
      <c r="C779" s="705" t="s">
        <v>5116</v>
      </c>
      <c r="D779" s="418" t="str">
        <f t="shared" si="14"/>
        <v>UBND Xã Nhà Bè</v>
      </c>
      <c r="E779" s="287" t="s">
        <v>263</v>
      </c>
      <c r="F779" s="287" t="s">
        <v>244</v>
      </c>
      <c r="G779" s="415">
        <v>3500</v>
      </c>
      <c r="H779" s="287"/>
    </row>
    <row r="780" spans="1:8" s="288" customFormat="1">
      <c r="A780" s="287">
        <v>774</v>
      </c>
      <c r="B780" s="275" t="s">
        <v>260</v>
      </c>
      <c r="C780" s="705" t="s">
        <v>5116</v>
      </c>
      <c r="D780" s="418" t="str">
        <f t="shared" si="14"/>
        <v>UBND Xã Nhà Bè</v>
      </c>
      <c r="E780" s="287" t="s">
        <v>262</v>
      </c>
      <c r="F780" s="287" t="s">
        <v>261</v>
      </c>
      <c r="G780" s="415">
        <v>3000</v>
      </c>
      <c r="H780" s="287"/>
    </row>
    <row r="781" spans="1:8" s="288" customFormat="1">
      <c r="A781" s="287">
        <v>775</v>
      </c>
      <c r="B781" s="275" t="s">
        <v>4647</v>
      </c>
      <c r="C781" s="705" t="s">
        <v>5116</v>
      </c>
      <c r="D781" s="418" t="str">
        <f t="shared" si="14"/>
        <v>UBND Xã Nhà Bè</v>
      </c>
      <c r="E781" s="287" t="s">
        <v>97</v>
      </c>
      <c r="F781" s="287" t="s">
        <v>98</v>
      </c>
      <c r="G781" s="415">
        <v>5400</v>
      </c>
      <c r="H781" s="287" t="s">
        <v>4648</v>
      </c>
    </row>
    <row r="782" spans="1:8" s="288" customFormat="1" ht="33">
      <c r="A782" s="287">
        <v>776</v>
      </c>
      <c r="B782" s="275" t="s">
        <v>4649</v>
      </c>
      <c r="C782" s="705" t="s">
        <v>5116</v>
      </c>
      <c r="D782" s="418" t="str">
        <f t="shared" si="14"/>
        <v>UBND Xã Nhà Bè</v>
      </c>
      <c r="E782" s="287" t="s">
        <v>661</v>
      </c>
      <c r="F782" s="287" t="s">
        <v>100</v>
      </c>
      <c r="G782" s="415">
        <v>4000</v>
      </c>
      <c r="H782" s="287" t="s">
        <v>670</v>
      </c>
    </row>
    <row r="783" spans="1:8" s="288" customFormat="1">
      <c r="A783" s="287">
        <v>777</v>
      </c>
      <c r="B783" s="275" t="s">
        <v>3296</v>
      </c>
      <c r="C783" s="705" t="s">
        <v>5116</v>
      </c>
      <c r="D783" s="418" t="str">
        <f t="shared" si="14"/>
        <v>UBND Xã Nhà Bè</v>
      </c>
      <c r="E783" s="287" t="s">
        <v>337</v>
      </c>
      <c r="F783" s="287" t="s">
        <v>407</v>
      </c>
      <c r="G783" s="415">
        <v>400</v>
      </c>
      <c r="H783" s="287" t="s">
        <v>156</v>
      </c>
    </row>
    <row r="784" spans="1:8" s="288" customFormat="1">
      <c r="A784" s="287">
        <v>778</v>
      </c>
      <c r="B784" s="275" t="s">
        <v>3297</v>
      </c>
      <c r="C784" s="705" t="s">
        <v>5116</v>
      </c>
      <c r="D784" s="418" t="str">
        <f t="shared" si="14"/>
        <v>UBND Xã Nhà Bè</v>
      </c>
      <c r="E784" s="287" t="s">
        <v>337</v>
      </c>
      <c r="F784" s="287" t="s">
        <v>3352</v>
      </c>
      <c r="G784" s="415">
        <v>1140</v>
      </c>
      <c r="H784" s="287" t="s">
        <v>218</v>
      </c>
    </row>
    <row r="785" spans="1:8" s="288" customFormat="1">
      <c r="A785" s="287">
        <v>779</v>
      </c>
      <c r="B785" s="275" t="s">
        <v>3298</v>
      </c>
      <c r="C785" s="705" t="s">
        <v>5116</v>
      </c>
      <c r="D785" s="418" t="str">
        <f t="shared" si="14"/>
        <v>UBND Xã Nhà Bè</v>
      </c>
      <c r="E785" s="287" t="s">
        <v>3354</v>
      </c>
      <c r="F785" s="287" t="s">
        <v>407</v>
      </c>
      <c r="G785" s="415">
        <v>500</v>
      </c>
      <c r="H785" s="287" t="s">
        <v>150</v>
      </c>
    </row>
    <row r="786" spans="1:8" s="288" customFormat="1">
      <c r="A786" s="287">
        <v>780</v>
      </c>
      <c r="B786" s="275" t="s">
        <v>101</v>
      </c>
      <c r="C786" s="705" t="s">
        <v>5116</v>
      </c>
      <c r="D786" s="418" t="str">
        <f t="shared" si="14"/>
        <v>UBND Xã Nhà Bè</v>
      </c>
      <c r="E786" s="287" t="s">
        <v>3762</v>
      </c>
      <c r="F786" s="287" t="s">
        <v>102</v>
      </c>
      <c r="G786" s="415">
        <v>500</v>
      </c>
      <c r="H786" s="287" t="s">
        <v>165</v>
      </c>
    </row>
    <row r="787" spans="1:8" s="288" customFormat="1">
      <c r="A787" s="287">
        <v>781</v>
      </c>
      <c r="B787" s="275" t="s">
        <v>103</v>
      </c>
      <c r="C787" s="705" t="s">
        <v>5116</v>
      </c>
      <c r="D787" s="418" t="str">
        <f t="shared" si="14"/>
        <v>UBND Xã Nhà Bè</v>
      </c>
      <c r="E787" s="287" t="s">
        <v>691</v>
      </c>
      <c r="F787" s="287" t="s">
        <v>3428</v>
      </c>
      <c r="G787" s="415">
        <v>1200</v>
      </c>
      <c r="H787" s="287" t="s">
        <v>150</v>
      </c>
    </row>
    <row r="788" spans="1:8" s="288" customFormat="1">
      <c r="A788" s="287">
        <v>782</v>
      </c>
      <c r="B788" s="275" t="s">
        <v>106</v>
      </c>
      <c r="C788" s="705" t="s">
        <v>5116</v>
      </c>
      <c r="D788" s="418" t="str">
        <f t="shared" si="14"/>
        <v>UBND Xã Nhà Bè</v>
      </c>
      <c r="E788" s="287" t="s">
        <v>691</v>
      </c>
      <c r="F788" s="287" t="s">
        <v>407</v>
      </c>
      <c r="G788" s="415">
        <v>800</v>
      </c>
      <c r="H788" s="287" t="s">
        <v>157</v>
      </c>
    </row>
    <row r="789" spans="1:8" s="288" customFormat="1">
      <c r="A789" s="287">
        <v>783</v>
      </c>
      <c r="B789" s="275" t="s">
        <v>108</v>
      </c>
      <c r="C789" s="705" t="s">
        <v>5116</v>
      </c>
      <c r="D789" s="418" t="str">
        <f t="shared" si="14"/>
        <v>UBND Xã Nhà Bè</v>
      </c>
      <c r="E789" s="287" t="s">
        <v>691</v>
      </c>
      <c r="F789" s="287" t="s">
        <v>407</v>
      </c>
      <c r="G789" s="415">
        <v>1000</v>
      </c>
      <c r="H789" s="287" t="s">
        <v>150</v>
      </c>
    </row>
    <row r="790" spans="1:8" s="288" customFormat="1">
      <c r="A790" s="287">
        <v>784</v>
      </c>
      <c r="B790" s="275" t="s">
        <v>115</v>
      </c>
      <c r="C790" s="705" t="s">
        <v>5116</v>
      </c>
      <c r="D790" s="418" t="str">
        <f t="shared" si="14"/>
        <v>UBND Xã Nhà Bè</v>
      </c>
      <c r="E790" s="287" t="s">
        <v>116</v>
      </c>
      <c r="F790" s="287" t="s">
        <v>117</v>
      </c>
      <c r="G790" s="415">
        <v>800</v>
      </c>
      <c r="H790" s="287" t="s">
        <v>118</v>
      </c>
    </row>
    <row r="791" spans="1:8" s="288" customFormat="1">
      <c r="A791" s="287">
        <v>785</v>
      </c>
      <c r="B791" s="275" t="s">
        <v>3299</v>
      </c>
      <c r="C791" s="705" t="s">
        <v>5116</v>
      </c>
      <c r="D791" s="418" t="str">
        <f t="shared" si="14"/>
        <v>UBND Xã Nhà Bè</v>
      </c>
      <c r="E791" s="287" t="s">
        <v>115</v>
      </c>
      <c r="F791" s="287" t="s">
        <v>117</v>
      </c>
      <c r="G791" s="415">
        <v>500</v>
      </c>
      <c r="H791" s="287" t="s">
        <v>152</v>
      </c>
    </row>
    <row r="792" spans="1:8" s="288" customFormat="1">
      <c r="A792" s="287">
        <v>786</v>
      </c>
      <c r="B792" s="275" t="s">
        <v>3300</v>
      </c>
      <c r="C792" s="705" t="s">
        <v>5116</v>
      </c>
      <c r="D792" s="418" t="str">
        <f t="shared" si="14"/>
        <v>UBND Xã Nhà Bè</v>
      </c>
      <c r="E792" s="287" t="s">
        <v>3353</v>
      </c>
      <c r="F792" s="287" t="s">
        <v>3353</v>
      </c>
      <c r="G792" s="415">
        <v>900</v>
      </c>
      <c r="H792" s="287" t="s">
        <v>150</v>
      </c>
    </row>
    <row r="793" spans="1:8" s="288" customFormat="1" ht="33">
      <c r="A793" s="287">
        <v>787</v>
      </c>
      <c r="B793" s="275" t="s">
        <v>4650</v>
      </c>
      <c r="C793" s="705" t="s">
        <v>5116</v>
      </c>
      <c r="D793" s="418" t="str">
        <f t="shared" si="14"/>
        <v>UBND Xã Nhà Bè</v>
      </c>
      <c r="E793" s="287" t="s">
        <v>3583</v>
      </c>
      <c r="F793" s="287" t="s">
        <v>127</v>
      </c>
      <c r="G793" s="415">
        <v>500</v>
      </c>
      <c r="H793" s="287" t="s">
        <v>120</v>
      </c>
    </row>
    <row r="794" spans="1:8" s="288" customFormat="1" ht="33">
      <c r="A794" s="287">
        <v>788</v>
      </c>
      <c r="B794" s="275" t="s">
        <v>121</v>
      </c>
      <c r="C794" s="705" t="s">
        <v>5116</v>
      </c>
      <c r="D794" s="418" t="str">
        <f t="shared" si="14"/>
        <v>UBND Xã Nhà Bè</v>
      </c>
      <c r="E794" s="287" t="s">
        <v>122</v>
      </c>
      <c r="F794" s="287" t="s">
        <v>407</v>
      </c>
      <c r="G794" s="415">
        <v>2600</v>
      </c>
      <c r="H794" s="287" t="s">
        <v>157</v>
      </c>
    </row>
    <row r="795" spans="1:8" s="288" customFormat="1" ht="33">
      <c r="A795" s="287">
        <v>789</v>
      </c>
      <c r="B795" s="275" t="s">
        <v>125</v>
      </c>
      <c r="C795" s="705" t="s">
        <v>5116</v>
      </c>
      <c r="D795" s="418" t="str">
        <f t="shared" si="14"/>
        <v>UBND Xã Nhà Bè</v>
      </c>
      <c r="E795" s="287" t="s">
        <v>122</v>
      </c>
      <c r="F795" s="287" t="s">
        <v>407</v>
      </c>
      <c r="G795" s="415">
        <v>1000</v>
      </c>
      <c r="H795" s="287" t="s">
        <v>154</v>
      </c>
    </row>
    <row r="796" spans="1:8" s="288" customFormat="1">
      <c r="A796" s="287">
        <v>790</v>
      </c>
      <c r="B796" s="275" t="s">
        <v>4660</v>
      </c>
      <c r="C796" s="705" t="s">
        <v>5116</v>
      </c>
      <c r="D796" s="418" t="str">
        <f t="shared" si="14"/>
        <v>UBND Xã Nhà Bè</v>
      </c>
      <c r="E796" s="287" t="s">
        <v>4659</v>
      </c>
      <c r="F796" s="287" t="s">
        <v>407</v>
      </c>
      <c r="G796" s="415">
        <v>88.3</v>
      </c>
      <c r="H796" s="287">
        <v>4</v>
      </c>
    </row>
    <row r="797" spans="1:8" s="288" customFormat="1">
      <c r="A797" s="287">
        <v>791</v>
      </c>
      <c r="B797" s="275" t="s">
        <v>3302</v>
      </c>
      <c r="C797" s="705" t="s">
        <v>5116</v>
      </c>
      <c r="D797" s="418" t="str">
        <f t="shared" si="14"/>
        <v>UBND Xã Nhà Bè</v>
      </c>
      <c r="E797" s="287" t="s">
        <v>132</v>
      </c>
      <c r="F797" s="287" t="s">
        <v>3430</v>
      </c>
      <c r="G797" s="415">
        <v>800</v>
      </c>
      <c r="H797" s="287" t="s">
        <v>155</v>
      </c>
    </row>
    <row r="798" spans="1:8" s="288" customFormat="1">
      <c r="A798" s="287">
        <v>792</v>
      </c>
      <c r="B798" s="275" t="s">
        <v>130</v>
      </c>
      <c r="C798" s="705" t="s">
        <v>5116</v>
      </c>
      <c r="D798" s="418" t="str">
        <f t="shared" si="14"/>
        <v>UBND Xã Nhà Bè</v>
      </c>
      <c r="E798" s="287" t="s">
        <v>131</v>
      </c>
      <c r="F798" s="287" t="s">
        <v>132</v>
      </c>
      <c r="G798" s="415">
        <v>2200</v>
      </c>
      <c r="H798" s="287" t="s">
        <v>226</v>
      </c>
    </row>
    <row r="799" spans="1:8" s="288" customFormat="1" ht="49.5">
      <c r="A799" s="287">
        <v>793</v>
      </c>
      <c r="B799" s="275" t="s">
        <v>233</v>
      </c>
      <c r="C799" s="705" t="s">
        <v>5116</v>
      </c>
      <c r="D799" s="418" t="str">
        <f t="shared" si="14"/>
        <v>UBND Xã Nhà Bè</v>
      </c>
      <c r="E799" s="287" t="s">
        <v>135</v>
      </c>
      <c r="F799" s="287" t="s">
        <v>122</v>
      </c>
      <c r="G799" s="415">
        <v>50</v>
      </c>
      <c r="H799" s="287" t="s">
        <v>221</v>
      </c>
    </row>
    <row r="800" spans="1:8" s="288" customFormat="1" ht="33">
      <c r="A800" s="287">
        <v>794</v>
      </c>
      <c r="B800" s="275" t="s">
        <v>136</v>
      </c>
      <c r="C800" s="705" t="s">
        <v>5116</v>
      </c>
      <c r="D800" s="418" t="str">
        <f t="shared" si="14"/>
        <v>UBND Xã Nhà Bè</v>
      </c>
      <c r="E800" s="287" t="s">
        <v>137</v>
      </c>
      <c r="F800" s="287" t="s">
        <v>138</v>
      </c>
      <c r="G800" s="415">
        <v>50</v>
      </c>
      <c r="H800" s="287" t="s">
        <v>221</v>
      </c>
    </row>
    <row r="801" spans="1:8" s="288" customFormat="1" ht="33">
      <c r="A801" s="287">
        <v>795</v>
      </c>
      <c r="B801" s="275" t="s">
        <v>4661</v>
      </c>
      <c r="C801" s="705" t="s">
        <v>5116</v>
      </c>
      <c r="D801" s="418" t="str">
        <f t="shared" ref="D801:D864" si="15">"UBND "&amp;C801</f>
        <v>UBND Xã Nhà Bè</v>
      </c>
      <c r="E801" s="287" t="s">
        <v>140</v>
      </c>
      <c r="F801" s="287" t="s">
        <v>141</v>
      </c>
      <c r="G801" s="415">
        <v>40</v>
      </c>
      <c r="H801" s="287" t="s">
        <v>220</v>
      </c>
    </row>
    <row r="802" spans="1:8" s="288" customFormat="1" ht="33">
      <c r="A802" s="287">
        <v>796</v>
      </c>
      <c r="B802" s="275" t="s">
        <v>142</v>
      </c>
      <c r="C802" s="705" t="s">
        <v>5116</v>
      </c>
      <c r="D802" s="418" t="str">
        <f t="shared" si="15"/>
        <v>UBND Xã Nhà Bè</v>
      </c>
      <c r="E802" s="287" t="s">
        <v>143</v>
      </c>
      <c r="F802" s="287" t="s">
        <v>141</v>
      </c>
      <c r="G802" s="415">
        <v>50</v>
      </c>
      <c r="H802" s="287" t="s">
        <v>220</v>
      </c>
    </row>
    <row r="803" spans="1:8" s="288" customFormat="1">
      <c r="A803" s="287">
        <v>797</v>
      </c>
      <c r="B803" s="275" t="s">
        <v>3303</v>
      </c>
      <c r="C803" s="705" t="s">
        <v>5116</v>
      </c>
      <c r="D803" s="418" t="str">
        <f t="shared" si="15"/>
        <v>UBND Xã Nhà Bè</v>
      </c>
      <c r="E803" s="287" t="s">
        <v>3352</v>
      </c>
      <c r="F803" s="287" t="s">
        <v>407</v>
      </c>
      <c r="G803" s="415">
        <v>600</v>
      </c>
      <c r="H803" s="287" t="s">
        <v>150</v>
      </c>
    </row>
    <row r="804" spans="1:8" s="288" customFormat="1">
      <c r="A804" s="287">
        <v>798</v>
      </c>
      <c r="B804" s="275" t="s">
        <v>3304</v>
      </c>
      <c r="C804" s="705" t="s">
        <v>5116</v>
      </c>
      <c r="D804" s="418" t="str">
        <f t="shared" si="15"/>
        <v>UBND Xã Nhà Bè</v>
      </c>
      <c r="E804" s="287" t="s">
        <v>3352</v>
      </c>
      <c r="F804" s="287" t="s">
        <v>407</v>
      </c>
      <c r="G804" s="415">
        <v>800</v>
      </c>
      <c r="H804" s="287" t="s">
        <v>150</v>
      </c>
    </row>
    <row r="805" spans="1:8" s="288" customFormat="1">
      <c r="A805" s="287">
        <v>799</v>
      </c>
      <c r="B805" s="275" t="s">
        <v>3305</v>
      </c>
      <c r="C805" s="705" t="s">
        <v>5116</v>
      </c>
      <c r="D805" s="418" t="str">
        <f t="shared" si="15"/>
        <v>UBND Xã Nhà Bè</v>
      </c>
      <c r="E805" s="287" t="s">
        <v>3352</v>
      </c>
      <c r="F805" s="287" t="s">
        <v>407</v>
      </c>
      <c r="G805" s="415">
        <v>600</v>
      </c>
      <c r="H805" s="287" t="s">
        <v>150</v>
      </c>
    </row>
    <row r="806" spans="1:8" s="288" customFormat="1">
      <c r="A806" s="287">
        <v>800</v>
      </c>
      <c r="B806" s="275" t="s">
        <v>3306</v>
      </c>
      <c r="C806" s="705" t="s">
        <v>5116</v>
      </c>
      <c r="D806" s="418" t="str">
        <f t="shared" si="15"/>
        <v>UBND Xã Nhà Bè</v>
      </c>
      <c r="E806" s="287" t="s">
        <v>3352</v>
      </c>
      <c r="F806" s="287" t="s">
        <v>407</v>
      </c>
      <c r="G806" s="415">
        <v>300</v>
      </c>
      <c r="H806" s="287" t="s">
        <v>154</v>
      </c>
    </row>
    <row r="807" spans="1:8" s="288" customFormat="1">
      <c r="A807" s="287">
        <v>801</v>
      </c>
      <c r="B807" s="275" t="s">
        <v>3307</v>
      </c>
      <c r="C807" s="705" t="s">
        <v>5116</v>
      </c>
      <c r="D807" s="418" t="str">
        <f t="shared" si="15"/>
        <v>UBND Xã Nhà Bè</v>
      </c>
      <c r="E807" s="287" t="s">
        <v>3352</v>
      </c>
      <c r="F807" s="287" t="s">
        <v>407</v>
      </c>
      <c r="G807" s="415">
        <v>500</v>
      </c>
      <c r="H807" s="287" t="s">
        <v>156</v>
      </c>
    </row>
    <row r="808" spans="1:8" s="288" customFormat="1">
      <c r="A808" s="287">
        <v>802</v>
      </c>
      <c r="B808" s="275" t="s">
        <v>3308</v>
      </c>
      <c r="C808" s="705" t="s">
        <v>5116</v>
      </c>
      <c r="D808" s="418" t="str">
        <f t="shared" si="15"/>
        <v>UBND Xã Nhà Bè</v>
      </c>
      <c r="E808" s="287" t="s">
        <v>3352</v>
      </c>
      <c r="F808" s="287" t="s">
        <v>407</v>
      </c>
      <c r="G808" s="415">
        <v>700</v>
      </c>
      <c r="H808" s="287" t="s">
        <v>156</v>
      </c>
    </row>
    <row r="809" spans="1:8" s="288" customFormat="1">
      <c r="A809" s="287">
        <v>803</v>
      </c>
      <c r="B809" s="275" t="s">
        <v>3309</v>
      </c>
      <c r="C809" s="705" t="s">
        <v>5116</v>
      </c>
      <c r="D809" s="418" t="str">
        <f t="shared" si="15"/>
        <v>UBND Xã Nhà Bè</v>
      </c>
      <c r="E809" s="287" t="s">
        <v>3352</v>
      </c>
      <c r="F809" s="287" t="s">
        <v>407</v>
      </c>
      <c r="G809" s="415">
        <v>500</v>
      </c>
      <c r="H809" s="287" t="s">
        <v>156</v>
      </c>
    </row>
    <row r="810" spans="1:8" s="288" customFormat="1">
      <c r="A810" s="287">
        <v>804</v>
      </c>
      <c r="B810" s="275" t="s">
        <v>3310</v>
      </c>
      <c r="C810" s="705" t="s">
        <v>5116</v>
      </c>
      <c r="D810" s="418" t="str">
        <f t="shared" si="15"/>
        <v>UBND Xã Nhà Bè</v>
      </c>
      <c r="E810" s="287" t="s">
        <v>3352</v>
      </c>
      <c r="F810" s="287" t="s">
        <v>407</v>
      </c>
      <c r="G810" s="415">
        <v>300</v>
      </c>
      <c r="H810" s="287" t="s">
        <v>150</v>
      </c>
    </row>
    <row r="811" spans="1:8" s="288" customFormat="1">
      <c r="A811" s="287">
        <v>805</v>
      </c>
      <c r="B811" s="275" t="s">
        <v>3311</v>
      </c>
      <c r="C811" s="705" t="s">
        <v>5116</v>
      </c>
      <c r="D811" s="418" t="str">
        <f t="shared" si="15"/>
        <v>UBND Xã Nhà Bè</v>
      </c>
      <c r="E811" s="287" t="s">
        <v>3352</v>
      </c>
      <c r="F811" s="287" t="s">
        <v>407</v>
      </c>
      <c r="G811" s="415">
        <v>600</v>
      </c>
      <c r="H811" s="287" t="s">
        <v>150</v>
      </c>
    </row>
    <row r="812" spans="1:8" s="288" customFormat="1">
      <c r="A812" s="287">
        <v>806</v>
      </c>
      <c r="B812" s="275" t="s">
        <v>3312</v>
      </c>
      <c r="C812" s="705" t="s">
        <v>5116</v>
      </c>
      <c r="D812" s="418" t="str">
        <f t="shared" si="15"/>
        <v>UBND Xã Nhà Bè</v>
      </c>
      <c r="E812" s="287" t="s">
        <v>3352</v>
      </c>
      <c r="F812" s="287" t="s">
        <v>407</v>
      </c>
      <c r="G812" s="415">
        <v>800</v>
      </c>
      <c r="H812" s="287" t="s">
        <v>150</v>
      </c>
    </row>
    <row r="813" spans="1:8" s="288" customFormat="1">
      <c r="A813" s="287">
        <v>807</v>
      </c>
      <c r="B813" s="275" t="s">
        <v>3313</v>
      </c>
      <c r="C813" s="705" t="s">
        <v>5116</v>
      </c>
      <c r="D813" s="418" t="str">
        <f t="shared" si="15"/>
        <v>UBND Xã Nhà Bè</v>
      </c>
      <c r="E813" s="287" t="s">
        <v>3352</v>
      </c>
      <c r="F813" s="287" t="s">
        <v>407</v>
      </c>
      <c r="G813" s="415">
        <v>400</v>
      </c>
      <c r="H813" s="287" t="s">
        <v>150</v>
      </c>
    </row>
    <row r="814" spans="1:8" s="288" customFormat="1">
      <c r="A814" s="287">
        <v>808</v>
      </c>
      <c r="B814" s="275" t="s">
        <v>3314</v>
      </c>
      <c r="C814" s="705" t="s">
        <v>5116</v>
      </c>
      <c r="D814" s="418" t="str">
        <f t="shared" si="15"/>
        <v>UBND Xã Nhà Bè</v>
      </c>
      <c r="E814" s="287" t="s">
        <v>72</v>
      </c>
      <c r="F814" s="287" t="s">
        <v>407</v>
      </c>
      <c r="G814" s="415">
        <v>500</v>
      </c>
      <c r="H814" s="287" t="s">
        <v>154</v>
      </c>
    </row>
    <row r="815" spans="1:8" s="288" customFormat="1">
      <c r="A815" s="287">
        <v>809</v>
      </c>
      <c r="B815" s="275" t="s">
        <v>3315</v>
      </c>
      <c r="C815" s="705" t="s">
        <v>5116</v>
      </c>
      <c r="D815" s="418" t="str">
        <f t="shared" si="15"/>
        <v>UBND Xã Nhà Bè</v>
      </c>
      <c r="E815" s="287" t="s">
        <v>72</v>
      </c>
      <c r="F815" s="287" t="s">
        <v>407</v>
      </c>
      <c r="G815" s="415">
        <v>500</v>
      </c>
      <c r="H815" s="287" t="s">
        <v>156</v>
      </c>
    </row>
    <row r="816" spans="1:8" s="288" customFormat="1">
      <c r="A816" s="287">
        <v>810</v>
      </c>
      <c r="B816" s="275" t="s">
        <v>3316</v>
      </c>
      <c r="C816" s="705" t="s">
        <v>5116</v>
      </c>
      <c r="D816" s="418" t="str">
        <f t="shared" si="15"/>
        <v>UBND Xã Nhà Bè</v>
      </c>
      <c r="E816" s="287" t="s">
        <v>72</v>
      </c>
      <c r="F816" s="287" t="s">
        <v>407</v>
      </c>
      <c r="G816" s="415">
        <v>500</v>
      </c>
      <c r="H816" s="287" t="s">
        <v>157</v>
      </c>
    </row>
    <row r="817" spans="1:8" s="288" customFormat="1">
      <c r="A817" s="287">
        <v>811</v>
      </c>
      <c r="B817" s="275" t="s">
        <v>3317</v>
      </c>
      <c r="C817" s="705" t="s">
        <v>5116</v>
      </c>
      <c r="D817" s="418" t="str">
        <f t="shared" si="15"/>
        <v>UBND Xã Nhà Bè</v>
      </c>
      <c r="E817" s="287" t="s">
        <v>72</v>
      </c>
      <c r="F817" s="287" t="s">
        <v>407</v>
      </c>
      <c r="G817" s="415">
        <v>300</v>
      </c>
      <c r="H817" s="287" t="s">
        <v>157</v>
      </c>
    </row>
    <row r="818" spans="1:8" s="288" customFormat="1">
      <c r="A818" s="287">
        <v>812</v>
      </c>
      <c r="B818" s="275" t="s">
        <v>3318</v>
      </c>
      <c r="C818" s="705" t="s">
        <v>5116</v>
      </c>
      <c r="D818" s="418" t="str">
        <f t="shared" si="15"/>
        <v>UBND Xã Nhà Bè</v>
      </c>
      <c r="E818" s="287" t="s">
        <v>3351</v>
      </c>
      <c r="F818" s="287" t="s">
        <v>407</v>
      </c>
      <c r="G818" s="415">
        <v>1000</v>
      </c>
      <c r="H818" s="287" t="s">
        <v>156</v>
      </c>
    </row>
    <row r="819" spans="1:8" s="288" customFormat="1">
      <c r="A819" s="287">
        <v>813</v>
      </c>
      <c r="B819" s="275" t="s">
        <v>3319</v>
      </c>
      <c r="C819" s="705" t="s">
        <v>5116</v>
      </c>
      <c r="D819" s="418" t="str">
        <f t="shared" si="15"/>
        <v>UBND Xã Nhà Bè</v>
      </c>
      <c r="E819" s="287" t="s">
        <v>100</v>
      </c>
      <c r="F819" s="287" t="s">
        <v>337</v>
      </c>
      <c r="G819" s="415">
        <v>500</v>
      </c>
      <c r="H819" s="287" t="s">
        <v>150</v>
      </c>
    </row>
    <row r="820" spans="1:8" s="288" customFormat="1">
      <c r="A820" s="287">
        <v>814</v>
      </c>
      <c r="B820" s="275" t="s">
        <v>3320</v>
      </c>
      <c r="C820" s="705" t="s">
        <v>5116</v>
      </c>
      <c r="D820" s="418" t="str">
        <f t="shared" si="15"/>
        <v>UBND Xã Nhà Bè</v>
      </c>
      <c r="E820" s="287" t="s">
        <v>100</v>
      </c>
      <c r="F820" s="287" t="s">
        <v>407</v>
      </c>
      <c r="G820" s="415">
        <v>300</v>
      </c>
      <c r="H820" s="287" t="s">
        <v>150</v>
      </c>
    </row>
    <row r="821" spans="1:8" s="288" customFormat="1">
      <c r="A821" s="287">
        <v>815</v>
      </c>
      <c r="B821" s="275" t="s">
        <v>3321</v>
      </c>
      <c r="C821" s="705" t="s">
        <v>5116</v>
      </c>
      <c r="D821" s="418" t="str">
        <f t="shared" si="15"/>
        <v>UBND Xã Nhà Bè</v>
      </c>
      <c r="E821" s="287" t="s">
        <v>100</v>
      </c>
      <c r="F821" s="287" t="s">
        <v>407</v>
      </c>
      <c r="G821" s="415">
        <v>600</v>
      </c>
      <c r="H821" s="287" t="s">
        <v>150</v>
      </c>
    </row>
    <row r="822" spans="1:8" s="288" customFormat="1">
      <c r="A822" s="287">
        <v>816</v>
      </c>
      <c r="B822" s="275" t="s">
        <v>3322</v>
      </c>
      <c r="C822" s="705" t="s">
        <v>5116</v>
      </c>
      <c r="D822" s="418" t="str">
        <f t="shared" si="15"/>
        <v>UBND Xã Nhà Bè</v>
      </c>
      <c r="E822" s="287" t="s">
        <v>100</v>
      </c>
      <c r="F822" s="287" t="s">
        <v>407</v>
      </c>
      <c r="G822" s="415">
        <v>800</v>
      </c>
      <c r="H822" s="287" t="s">
        <v>154</v>
      </c>
    </row>
    <row r="823" spans="1:8" s="288" customFormat="1">
      <c r="A823" s="287">
        <v>817</v>
      </c>
      <c r="B823" s="275" t="s">
        <v>3323</v>
      </c>
      <c r="C823" s="705" t="s">
        <v>5116</v>
      </c>
      <c r="D823" s="418" t="str">
        <f t="shared" si="15"/>
        <v>UBND Xã Nhà Bè</v>
      </c>
      <c r="E823" s="287" t="s">
        <v>100</v>
      </c>
      <c r="F823" s="287" t="s">
        <v>84</v>
      </c>
      <c r="G823" s="415">
        <v>800</v>
      </c>
      <c r="H823" s="287" t="s">
        <v>154</v>
      </c>
    </row>
    <row r="824" spans="1:8" s="288" customFormat="1">
      <c r="A824" s="287">
        <v>818</v>
      </c>
      <c r="B824" s="275" t="s">
        <v>3324</v>
      </c>
      <c r="C824" s="705" t="s">
        <v>5116</v>
      </c>
      <c r="D824" s="418" t="str">
        <f t="shared" si="15"/>
        <v>UBND Xã Nhà Bè</v>
      </c>
      <c r="E824" s="287" t="s">
        <v>3350</v>
      </c>
      <c r="F824" s="287" t="s">
        <v>407</v>
      </c>
      <c r="G824" s="415">
        <v>1200</v>
      </c>
      <c r="H824" s="287" t="s">
        <v>157</v>
      </c>
    </row>
    <row r="825" spans="1:8" s="288" customFormat="1">
      <c r="A825" s="287">
        <v>819</v>
      </c>
      <c r="B825" s="275" t="s">
        <v>144</v>
      </c>
      <c r="C825" s="705" t="s">
        <v>5116</v>
      </c>
      <c r="D825" s="418" t="str">
        <f t="shared" si="15"/>
        <v>UBND Xã Nhà Bè</v>
      </c>
      <c r="E825" s="287" t="s">
        <v>1126</v>
      </c>
      <c r="F825" s="287" t="s">
        <v>407</v>
      </c>
      <c r="G825" s="415">
        <v>2600</v>
      </c>
      <c r="H825" s="287" t="s">
        <v>212</v>
      </c>
    </row>
    <row r="826" spans="1:8" s="288" customFormat="1">
      <c r="A826" s="287">
        <v>820</v>
      </c>
      <c r="B826" s="275" t="s">
        <v>3325</v>
      </c>
      <c r="C826" s="705" t="s">
        <v>5116</v>
      </c>
      <c r="D826" s="418" t="str">
        <f t="shared" si="15"/>
        <v>UBND Xã Nhà Bè</v>
      </c>
      <c r="E826" s="287" t="s">
        <v>144</v>
      </c>
      <c r="F826" s="287" t="s">
        <v>407</v>
      </c>
      <c r="G826" s="415">
        <v>10500</v>
      </c>
      <c r="H826" s="287" t="s">
        <v>155</v>
      </c>
    </row>
    <row r="827" spans="1:8" s="288" customFormat="1">
      <c r="A827" s="287">
        <v>821</v>
      </c>
      <c r="B827" s="275" t="s">
        <v>3471</v>
      </c>
      <c r="C827" s="705" t="s">
        <v>5116</v>
      </c>
      <c r="D827" s="418" t="str">
        <f t="shared" si="15"/>
        <v>UBND Xã Nhà Bè</v>
      </c>
      <c r="E827" s="287" t="s">
        <v>689</v>
      </c>
      <c r="F827" s="287" t="s">
        <v>407</v>
      </c>
      <c r="G827" s="415">
        <v>1900</v>
      </c>
      <c r="H827" s="287" t="s">
        <v>156</v>
      </c>
    </row>
    <row r="828" spans="1:8" s="288" customFormat="1">
      <c r="A828" s="287">
        <v>822</v>
      </c>
      <c r="B828" s="275" t="s">
        <v>3326</v>
      </c>
      <c r="C828" s="705" t="s">
        <v>5116</v>
      </c>
      <c r="D828" s="418" t="str">
        <f t="shared" si="15"/>
        <v>UBND Xã Nhà Bè</v>
      </c>
      <c r="E828" s="287" t="s">
        <v>689</v>
      </c>
      <c r="F828" s="287" t="s">
        <v>407</v>
      </c>
      <c r="G828" s="415">
        <v>1000</v>
      </c>
      <c r="H828" s="287" t="s">
        <v>156</v>
      </c>
    </row>
    <row r="829" spans="1:8" s="288" customFormat="1">
      <c r="A829" s="287">
        <v>823</v>
      </c>
      <c r="B829" s="275" t="s">
        <v>3327</v>
      </c>
      <c r="C829" s="705" t="s">
        <v>5116</v>
      </c>
      <c r="D829" s="418" t="str">
        <f t="shared" si="15"/>
        <v>UBND Xã Nhà Bè</v>
      </c>
      <c r="E829" s="287" t="s">
        <v>689</v>
      </c>
      <c r="F829" s="287" t="s">
        <v>669</v>
      </c>
      <c r="G829" s="415">
        <v>800</v>
      </c>
      <c r="H829" s="287" t="s">
        <v>163</v>
      </c>
    </row>
    <row r="830" spans="1:8" s="288" customFormat="1">
      <c r="A830" s="287">
        <v>824</v>
      </c>
      <c r="B830" s="275" t="s">
        <v>145</v>
      </c>
      <c r="C830" s="705" t="s">
        <v>5116</v>
      </c>
      <c r="D830" s="418" t="str">
        <f t="shared" si="15"/>
        <v>UBND Xã Nhà Bè</v>
      </c>
      <c r="E830" s="287" t="s">
        <v>669</v>
      </c>
      <c r="F830" s="287" t="s">
        <v>407</v>
      </c>
      <c r="G830" s="415">
        <v>700</v>
      </c>
      <c r="H830" s="287" t="s">
        <v>156</v>
      </c>
    </row>
    <row r="831" spans="1:8" s="288" customFormat="1">
      <c r="A831" s="287">
        <v>825</v>
      </c>
      <c r="B831" s="275" t="s">
        <v>146</v>
      </c>
      <c r="C831" s="705" t="s">
        <v>5116</v>
      </c>
      <c r="D831" s="418" t="str">
        <f t="shared" si="15"/>
        <v>UBND Xã Nhà Bè</v>
      </c>
      <c r="E831" s="287" t="s">
        <v>669</v>
      </c>
      <c r="F831" s="287" t="s">
        <v>691</v>
      </c>
      <c r="G831" s="415">
        <v>3000</v>
      </c>
      <c r="H831" s="287" t="s">
        <v>150</v>
      </c>
    </row>
    <row r="832" spans="1:8" s="288" customFormat="1">
      <c r="A832" s="287">
        <v>826</v>
      </c>
      <c r="B832" s="275" t="s">
        <v>4662</v>
      </c>
      <c r="C832" s="705" t="s">
        <v>5116</v>
      </c>
      <c r="D832" s="418" t="str">
        <f t="shared" si="15"/>
        <v>UBND Xã Nhà Bè</v>
      </c>
      <c r="E832" s="287" t="s">
        <v>669</v>
      </c>
      <c r="F832" s="287" t="s">
        <v>407</v>
      </c>
      <c r="G832" s="415">
        <v>48</v>
      </c>
      <c r="H832" s="287">
        <v>7</v>
      </c>
    </row>
    <row r="833" spans="1:8" s="288" customFormat="1">
      <c r="A833" s="287">
        <v>827</v>
      </c>
      <c r="B833" s="275" t="s">
        <v>4663</v>
      </c>
      <c r="C833" s="705" t="s">
        <v>5116</v>
      </c>
      <c r="D833" s="418" t="str">
        <f t="shared" si="15"/>
        <v>UBND Xã Nhà Bè</v>
      </c>
      <c r="E833" s="287" t="s">
        <v>669</v>
      </c>
      <c r="F833" s="287" t="s">
        <v>4664</v>
      </c>
      <c r="G833" s="415">
        <v>140</v>
      </c>
      <c r="H833" s="287">
        <v>3</v>
      </c>
    </row>
    <row r="834" spans="1:8" s="288" customFormat="1">
      <c r="A834" s="287">
        <v>828</v>
      </c>
      <c r="B834" s="275" t="s">
        <v>3719</v>
      </c>
      <c r="C834" s="705" t="s">
        <v>5116</v>
      </c>
      <c r="D834" s="418" t="str">
        <f t="shared" si="15"/>
        <v>UBND Xã Nhà Bè</v>
      </c>
      <c r="E834" s="287" t="s">
        <v>691</v>
      </c>
      <c r="F834" s="287" t="s">
        <v>3353</v>
      </c>
      <c r="G834" s="415">
        <v>500</v>
      </c>
      <c r="H834" s="287" t="s">
        <v>306</v>
      </c>
    </row>
    <row r="835" spans="1:8" s="288" customFormat="1">
      <c r="A835" s="287">
        <v>829</v>
      </c>
      <c r="B835" s="275" t="s">
        <v>3330</v>
      </c>
      <c r="C835" s="705" t="s">
        <v>5116</v>
      </c>
      <c r="D835" s="418" t="str">
        <f t="shared" si="15"/>
        <v>UBND Xã Nhà Bè</v>
      </c>
      <c r="E835" s="287" t="s">
        <v>50</v>
      </c>
      <c r="F835" s="287" t="s">
        <v>3353</v>
      </c>
      <c r="G835" s="415">
        <v>1200</v>
      </c>
      <c r="H835" s="287" t="s">
        <v>346</v>
      </c>
    </row>
    <row r="836" spans="1:8" s="288" customFormat="1" ht="33">
      <c r="A836" s="287">
        <v>830</v>
      </c>
      <c r="B836" s="275" t="s">
        <v>345</v>
      </c>
      <c r="C836" s="705" t="s">
        <v>5116</v>
      </c>
      <c r="D836" s="418" t="str">
        <f t="shared" si="15"/>
        <v>UBND Xã Nhà Bè</v>
      </c>
      <c r="E836" s="287" t="s">
        <v>333</v>
      </c>
      <c r="F836" s="287" t="s">
        <v>122</v>
      </c>
      <c r="G836" s="415">
        <v>800</v>
      </c>
      <c r="H836" s="287" t="s">
        <v>156</v>
      </c>
    </row>
    <row r="837" spans="1:8" s="288" customFormat="1" ht="33">
      <c r="A837" s="287">
        <v>831</v>
      </c>
      <c r="B837" s="275" t="s">
        <v>344</v>
      </c>
      <c r="C837" s="705" t="s">
        <v>5116</v>
      </c>
      <c r="D837" s="418" t="str">
        <f t="shared" si="15"/>
        <v>UBND Xã Nhà Bè</v>
      </c>
      <c r="E837" s="287" t="s">
        <v>132</v>
      </c>
      <c r="F837" s="287" t="s">
        <v>333</v>
      </c>
      <c r="G837" s="415">
        <v>650</v>
      </c>
      <c r="H837" s="287" t="s">
        <v>153</v>
      </c>
    </row>
    <row r="838" spans="1:8" s="288" customFormat="1" ht="33">
      <c r="A838" s="287">
        <v>832</v>
      </c>
      <c r="B838" s="275" t="s">
        <v>343</v>
      </c>
      <c r="C838" s="705" t="s">
        <v>5116</v>
      </c>
      <c r="D838" s="418" t="str">
        <f t="shared" si="15"/>
        <v>UBND Xã Nhà Bè</v>
      </c>
      <c r="E838" s="287" t="s">
        <v>387</v>
      </c>
      <c r="F838" s="287" t="s">
        <v>333</v>
      </c>
      <c r="G838" s="415">
        <v>150</v>
      </c>
      <c r="H838" s="287" t="s">
        <v>152</v>
      </c>
    </row>
    <row r="839" spans="1:8" s="288" customFormat="1" ht="33">
      <c r="A839" s="287">
        <v>833</v>
      </c>
      <c r="B839" s="275" t="s">
        <v>342</v>
      </c>
      <c r="C839" s="705" t="s">
        <v>5116</v>
      </c>
      <c r="D839" s="418" t="str">
        <f t="shared" si="15"/>
        <v>UBND Xã Nhà Bè</v>
      </c>
      <c r="E839" s="287" t="s">
        <v>132</v>
      </c>
      <c r="F839" s="287" t="s">
        <v>333</v>
      </c>
      <c r="G839" s="415">
        <v>180</v>
      </c>
      <c r="H839" s="287" t="s">
        <v>162</v>
      </c>
    </row>
    <row r="840" spans="1:8" s="288" customFormat="1" ht="33">
      <c r="A840" s="287">
        <v>834</v>
      </c>
      <c r="B840" s="275" t="s">
        <v>341</v>
      </c>
      <c r="C840" s="705" t="s">
        <v>5116</v>
      </c>
      <c r="D840" s="418" t="str">
        <f t="shared" si="15"/>
        <v>UBND Xã Nhà Bè</v>
      </c>
      <c r="E840" s="287" t="s">
        <v>132</v>
      </c>
      <c r="F840" s="287" t="s">
        <v>333</v>
      </c>
      <c r="G840" s="415">
        <v>120</v>
      </c>
      <c r="H840" s="287" t="s">
        <v>154</v>
      </c>
    </row>
    <row r="841" spans="1:8" s="288" customFormat="1" ht="33">
      <c r="A841" s="287">
        <v>835</v>
      </c>
      <c r="B841" s="275" t="s">
        <v>340</v>
      </c>
      <c r="C841" s="705" t="s">
        <v>5116</v>
      </c>
      <c r="D841" s="418" t="str">
        <f t="shared" si="15"/>
        <v>UBND Xã Nhà Bè</v>
      </c>
      <c r="E841" s="287" t="s">
        <v>333</v>
      </c>
      <c r="F841" s="287" t="s">
        <v>333</v>
      </c>
      <c r="G841" s="415">
        <v>230</v>
      </c>
      <c r="H841" s="287" t="s">
        <v>203</v>
      </c>
    </row>
    <row r="842" spans="1:8" s="288" customFormat="1" ht="33">
      <c r="A842" s="287">
        <v>836</v>
      </c>
      <c r="B842" s="275" t="s">
        <v>339</v>
      </c>
      <c r="C842" s="705" t="s">
        <v>5116</v>
      </c>
      <c r="D842" s="418" t="str">
        <f t="shared" si="15"/>
        <v>UBND Xã Nhà Bè</v>
      </c>
      <c r="E842" s="287" t="s">
        <v>333</v>
      </c>
      <c r="F842" s="287" t="s">
        <v>122</v>
      </c>
      <c r="G842" s="415">
        <v>500</v>
      </c>
      <c r="H842" s="287" t="s">
        <v>165</v>
      </c>
    </row>
    <row r="843" spans="1:8" s="288" customFormat="1" ht="33">
      <c r="A843" s="287">
        <v>837</v>
      </c>
      <c r="B843" s="275" t="s">
        <v>338</v>
      </c>
      <c r="C843" s="705" t="s">
        <v>5116</v>
      </c>
      <c r="D843" s="418" t="str">
        <f t="shared" si="15"/>
        <v>UBND Xã Nhà Bè</v>
      </c>
      <c r="E843" s="287" t="s">
        <v>337</v>
      </c>
      <c r="F843" s="287" t="s">
        <v>333</v>
      </c>
      <c r="G843" s="415">
        <v>420</v>
      </c>
      <c r="H843" s="287" t="s">
        <v>157</v>
      </c>
    </row>
    <row r="844" spans="1:8" s="288" customFormat="1" ht="33">
      <c r="A844" s="287">
        <v>838</v>
      </c>
      <c r="B844" s="275" t="s">
        <v>336</v>
      </c>
      <c r="C844" s="705" t="s">
        <v>5116</v>
      </c>
      <c r="D844" s="418" t="str">
        <f t="shared" si="15"/>
        <v>UBND Xã Nhà Bè</v>
      </c>
      <c r="E844" s="287" t="s">
        <v>333</v>
      </c>
      <c r="F844" s="287" t="s">
        <v>122</v>
      </c>
      <c r="G844" s="415">
        <v>1300</v>
      </c>
      <c r="H844" s="287" t="s">
        <v>150</v>
      </c>
    </row>
    <row r="845" spans="1:8" s="288" customFormat="1" ht="33">
      <c r="A845" s="287">
        <v>839</v>
      </c>
      <c r="B845" s="275" t="s">
        <v>335</v>
      </c>
      <c r="C845" s="705" t="s">
        <v>5116</v>
      </c>
      <c r="D845" s="418" t="str">
        <f t="shared" si="15"/>
        <v>UBND Xã Nhà Bè</v>
      </c>
      <c r="E845" s="287" t="s">
        <v>387</v>
      </c>
      <c r="F845" s="287" t="s">
        <v>333</v>
      </c>
      <c r="G845" s="415">
        <v>300</v>
      </c>
      <c r="H845" s="287" t="s">
        <v>153</v>
      </c>
    </row>
    <row r="846" spans="1:8" s="288" customFormat="1" ht="33">
      <c r="A846" s="287">
        <v>840</v>
      </c>
      <c r="B846" s="275" t="s">
        <v>334</v>
      </c>
      <c r="C846" s="705" t="s">
        <v>5116</v>
      </c>
      <c r="D846" s="418" t="str">
        <f t="shared" si="15"/>
        <v>UBND Xã Nhà Bè</v>
      </c>
      <c r="E846" s="287" t="s">
        <v>387</v>
      </c>
      <c r="F846" s="287" t="s">
        <v>333</v>
      </c>
      <c r="G846" s="415">
        <v>550</v>
      </c>
      <c r="H846" s="287" t="s">
        <v>157</v>
      </c>
    </row>
    <row r="847" spans="1:8" s="288" customFormat="1">
      <c r="A847" s="287">
        <v>841</v>
      </c>
      <c r="B847" s="275" t="s">
        <v>3331</v>
      </c>
      <c r="C847" s="705" t="s">
        <v>5116</v>
      </c>
      <c r="D847" s="418" t="str">
        <f t="shared" si="15"/>
        <v>UBND Xã Nhà Bè</v>
      </c>
      <c r="E847" s="287" t="s">
        <v>337</v>
      </c>
      <c r="F847" s="287" t="s">
        <v>337</v>
      </c>
      <c r="G847" s="415">
        <v>250</v>
      </c>
      <c r="H847" s="287" t="s">
        <v>154</v>
      </c>
    </row>
    <row r="848" spans="1:8" s="288" customFormat="1">
      <c r="A848" s="287">
        <v>842</v>
      </c>
      <c r="B848" s="275" t="s">
        <v>3332</v>
      </c>
      <c r="C848" s="705" t="s">
        <v>5116</v>
      </c>
      <c r="D848" s="418" t="str">
        <f t="shared" si="15"/>
        <v>UBND Xã Nhà Bè</v>
      </c>
      <c r="E848" s="287" t="s">
        <v>50</v>
      </c>
      <c r="F848" s="287" t="s">
        <v>337</v>
      </c>
      <c r="G848" s="415">
        <v>310</v>
      </c>
      <c r="H848" s="287" t="s">
        <v>153</v>
      </c>
    </row>
    <row r="849" spans="1:8" s="288" customFormat="1">
      <c r="A849" s="287">
        <v>843</v>
      </c>
      <c r="B849" s="275" t="s">
        <v>3333</v>
      </c>
      <c r="C849" s="705" t="s">
        <v>5116</v>
      </c>
      <c r="D849" s="418" t="str">
        <f t="shared" si="15"/>
        <v>UBND Xã Nhà Bè</v>
      </c>
      <c r="E849" s="287" t="s">
        <v>50</v>
      </c>
      <c r="F849" s="287" t="s">
        <v>337</v>
      </c>
      <c r="G849" s="415">
        <v>400</v>
      </c>
      <c r="H849" s="287" t="s">
        <v>162</v>
      </c>
    </row>
    <row r="850" spans="1:8" s="288" customFormat="1">
      <c r="A850" s="287">
        <v>844</v>
      </c>
      <c r="B850" s="275" t="s">
        <v>3334</v>
      </c>
      <c r="C850" s="705" t="s">
        <v>5116</v>
      </c>
      <c r="D850" s="418" t="str">
        <f t="shared" si="15"/>
        <v>UBND Xã Nhà Bè</v>
      </c>
      <c r="E850" s="287" t="s">
        <v>337</v>
      </c>
      <c r="F850" s="287" t="s">
        <v>100</v>
      </c>
      <c r="G850" s="415">
        <v>270</v>
      </c>
      <c r="H850" s="287" t="s">
        <v>152</v>
      </c>
    </row>
    <row r="851" spans="1:8" s="288" customFormat="1">
      <c r="A851" s="287">
        <v>845</v>
      </c>
      <c r="B851" s="275" t="s">
        <v>3335</v>
      </c>
      <c r="C851" s="705" t="s">
        <v>5116</v>
      </c>
      <c r="D851" s="418" t="str">
        <f t="shared" si="15"/>
        <v>UBND Xã Nhà Bè</v>
      </c>
      <c r="E851" s="287" t="s">
        <v>3354</v>
      </c>
      <c r="F851" s="287" t="s">
        <v>100</v>
      </c>
      <c r="G851" s="415">
        <v>180</v>
      </c>
      <c r="H851" s="287" t="s">
        <v>306</v>
      </c>
    </row>
    <row r="852" spans="1:8" s="288" customFormat="1">
      <c r="A852" s="287">
        <v>846</v>
      </c>
      <c r="B852" s="275" t="s">
        <v>3336</v>
      </c>
      <c r="C852" s="705" t="s">
        <v>5116</v>
      </c>
      <c r="D852" s="418" t="str">
        <f t="shared" si="15"/>
        <v>UBND Xã Nhà Bè</v>
      </c>
      <c r="E852" s="287" t="s">
        <v>50</v>
      </c>
      <c r="F852" s="287" t="s">
        <v>3354</v>
      </c>
      <c r="G852" s="415">
        <v>360</v>
      </c>
      <c r="H852" s="287" t="s">
        <v>306</v>
      </c>
    </row>
    <row r="853" spans="1:8" s="288" customFormat="1">
      <c r="A853" s="287">
        <v>847</v>
      </c>
      <c r="B853" s="275" t="s">
        <v>3337</v>
      </c>
      <c r="C853" s="705" t="s">
        <v>5116</v>
      </c>
      <c r="D853" s="418" t="str">
        <f t="shared" si="15"/>
        <v>UBND Xã Nhà Bè</v>
      </c>
      <c r="E853" s="287" t="s">
        <v>3354</v>
      </c>
      <c r="F853" s="287" t="s">
        <v>1126</v>
      </c>
      <c r="G853" s="415">
        <v>460</v>
      </c>
      <c r="H853" s="287" t="s">
        <v>154</v>
      </c>
    </row>
    <row r="854" spans="1:8" s="288" customFormat="1">
      <c r="A854" s="287">
        <v>848</v>
      </c>
      <c r="B854" s="275" t="s">
        <v>3338</v>
      </c>
      <c r="C854" s="705" t="s">
        <v>5116</v>
      </c>
      <c r="D854" s="418" t="str">
        <f t="shared" si="15"/>
        <v>UBND Xã Nhà Bè</v>
      </c>
      <c r="E854" s="287" t="s">
        <v>3354</v>
      </c>
      <c r="F854" s="287" t="s">
        <v>1126</v>
      </c>
      <c r="G854" s="415">
        <v>300</v>
      </c>
      <c r="H854" s="287" t="s">
        <v>306</v>
      </c>
    </row>
    <row r="855" spans="1:8" s="288" customFormat="1">
      <c r="A855" s="287">
        <v>849</v>
      </c>
      <c r="B855" s="275" t="s">
        <v>3721</v>
      </c>
      <c r="C855" s="705" t="s">
        <v>5116</v>
      </c>
      <c r="D855" s="418" t="str">
        <f t="shared" si="15"/>
        <v>UBND Xã Nhà Bè</v>
      </c>
      <c r="E855" s="287" t="s">
        <v>50</v>
      </c>
      <c r="F855" s="287" t="s">
        <v>100</v>
      </c>
      <c r="G855" s="415">
        <v>620</v>
      </c>
      <c r="H855" s="287" t="s">
        <v>153</v>
      </c>
    </row>
    <row r="856" spans="1:8" s="288" customFormat="1">
      <c r="A856" s="287">
        <v>850</v>
      </c>
      <c r="B856" s="275" t="s">
        <v>3722</v>
      </c>
      <c r="C856" s="705" t="s">
        <v>5116</v>
      </c>
      <c r="D856" s="418" t="str">
        <f t="shared" si="15"/>
        <v>UBND Xã Nhà Bè</v>
      </c>
      <c r="E856" s="287" t="s">
        <v>50</v>
      </c>
      <c r="F856" s="287" t="s">
        <v>100</v>
      </c>
      <c r="G856" s="415">
        <v>760</v>
      </c>
      <c r="H856" s="287" t="s">
        <v>162</v>
      </c>
    </row>
    <row r="857" spans="1:8" s="288" customFormat="1">
      <c r="A857" s="287">
        <v>851</v>
      </c>
      <c r="B857" s="275" t="s">
        <v>3723</v>
      </c>
      <c r="C857" s="705" t="s">
        <v>5116</v>
      </c>
      <c r="D857" s="418" t="str">
        <f t="shared" si="15"/>
        <v>UBND Xã Nhà Bè</v>
      </c>
      <c r="E857" s="287" t="s">
        <v>50</v>
      </c>
      <c r="F857" s="287" t="s">
        <v>100</v>
      </c>
      <c r="G857" s="415">
        <v>1200</v>
      </c>
      <c r="H857" s="287" t="s">
        <v>154</v>
      </c>
    </row>
    <row r="858" spans="1:8" s="288" customFormat="1">
      <c r="A858" s="287">
        <v>852</v>
      </c>
      <c r="B858" s="275" t="s">
        <v>3727</v>
      </c>
      <c r="C858" s="705" t="s">
        <v>5116</v>
      </c>
      <c r="D858" s="418" t="str">
        <f t="shared" si="15"/>
        <v>UBND Xã Nhà Bè</v>
      </c>
      <c r="E858" s="287" t="s">
        <v>50</v>
      </c>
      <c r="F858" s="287" t="s">
        <v>100</v>
      </c>
      <c r="G858" s="415">
        <v>300</v>
      </c>
      <c r="H858" s="287" t="s">
        <v>203</v>
      </c>
    </row>
    <row r="859" spans="1:8" s="288" customFormat="1">
      <c r="A859" s="287">
        <v>853</v>
      </c>
      <c r="B859" s="275" t="s">
        <v>4665</v>
      </c>
      <c r="C859" s="705" t="s">
        <v>5116</v>
      </c>
      <c r="D859" s="418" t="str">
        <f t="shared" si="15"/>
        <v>UBND Xã Nhà Bè</v>
      </c>
      <c r="E859" s="287" t="s">
        <v>50</v>
      </c>
      <c r="F859" s="287" t="s">
        <v>100</v>
      </c>
      <c r="G859" s="415">
        <v>170</v>
      </c>
      <c r="H859" s="287" t="s">
        <v>154</v>
      </c>
    </row>
    <row r="860" spans="1:8" s="288" customFormat="1">
      <c r="A860" s="287">
        <v>854</v>
      </c>
      <c r="B860" s="275" t="s">
        <v>3724</v>
      </c>
      <c r="C860" s="705" t="s">
        <v>5116</v>
      </c>
      <c r="D860" s="418" t="str">
        <f t="shared" si="15"/>
        <v>UBND Xã Nhà Bè</v>
      </c>
      <c r="E860" s="287" t="s">
        <v>50</v>
      </c>
      <c r="F860" s="287" t="s">
        <v>1126</v>
      </c>
      <c r="G860" s="415">
        <v>700</v>
      </c>
      <c r="H860" s="287" t="s">
        <v>156</v>
      </c>
    </row>
    <row r="861" spans="1:8" s="288" customFormat="1">
      <c r="A861" s="287">
        <v>855</v>
      </c>
      <c r="B861" s="275" t="s">
        <v>3725</v>
      </c>
      <c r="C861" s="705" t="s">
        <v>5116</v>
      </c>
      <c r="D861" s="418" t="str">
        <f t="shared" si="15"/>
        <v>UBND Xã Nhà Bè</v>
      </c>
      <c r="E861" s="287" t="s">
        <v>50</v>
      </c>
      <c r="F861" s="287" t="s">
        <v>1126</v>
      </c>
      <c r="G861" s="415">
        <v>800</v>
      </c>
      <c r="H861" s="287" t="s">
        <v>165</v>
      </c>
    </row>
    <row r="862" spans="1:8" s="288" customFormat="1">
      <c r="A862" s="287">
        <v>856</v>
      </c>
      <c r="B862" s="275" t="s">
        <v>3726</v>
      </c>
      <c r="C862" s="705" t="s">
        <v>5116</v>
      </c>
      <c r="D862" s="418" t="str">
        <f t="shared" si="15"/>
        <v>UBND Xã Nhà Bè</v>
      </c>
      <c r="E862" s="287" t="s">
        <v>50</v>
      </c>
      <c r="F862" s="287" t="s">
        <v>3433</v>
      </c>
      <c r="G862" s="415">
        <v>850</v>
      </c>
      <c r="H862" s="287" t="s">
        <v>306</v>
      </c>
    </row>
    <row r="863" spans="1:8" s="288" customFormat="1" ht="33">
      <c r="A863" s="287">
        <v>857</v>
      </c>
      <c r="B863" s="275" t="s">
        <v>330</v>
      </c>
      <c r="C863" s="705" t="s">
        <v>5116</v>
      </c>
      <c r="D863" s="418" t="str">
        <f t="shared" si="15"/>
        <v>UBND Xã Nhà Bè</v>
      </c>
      <c r="E863" s="287" t="s">
        <v>50</v>
      </c>
      <c r="F863" s="287" t="s">
        <v>3434</v>
      </c>
      <c r="G863" s="415">
        <v>100</v>
      </c>
      <c r="H863" s="287" t="s">
        <v>329</v>
      </c>
    </row>
    <row r="864" spans="1:8" s="288" customFormat="1" ht="33">
      <c r="A864" s="287">
        <v>858</v>
      </c>
      <c r="B864" s="275" t="s">
        <v>325</v>
      </c>
      <c r="C864" s="705" t="s">
        <v>5116</v>
      </c>
      <c r="D864" s="418" t="str">
        <f t="shared" si="15"/>
        <v>UBND Xã Nhà Bè</v>
      </c>
      <c r="E864" s="287" t="s">
        <v>50</v>
      </c>
      <c r="F864" s="287" t="s">
        <v>3434</v>
      </c>
      <c r="G864" s="415">
        <v>520</v>
      </c>
      <c r="H864" s="287" t="s">
        <v>203</v>
      </c>
    </row>
    <row r="865" spans="1:8" s="288" customFormat="1" ht="33">
      <c r="A865" s="287">
        <v>859</v>
      </c>
      <c r="B865" s="275" t="s">
        <v>3729</v>
      </c>
      <c r="C865" s="705" t="s">
        <v>5116</v>
      </c>
      <c r="D865" s="418" t="str">
        <f t="shared" ref="D865:D928" si="16">"UBND "&amp;C865</f>
        <v>UBND Xã Nhà Bè</v>
      </c>
      <c r="E865" s="287" t="s">
        <v>3349</v>
      </c>
      <c r="F865" s="287" t="s">
        <v>3434</v>
      </c>
      <c r="G865" s="415">
        <v>600</v>
      </c>
      <c r="H865" s="287" t="s">
        <v>154</v>
      </c>
    </row>
    <row r="866" spans="1:8" s="288" customFormat="1" ht="33">
      <c r="A866" s="287">
        <v>860</v>
      </c>
      <c r="B866" s="275" t="s">
        <v>321</v>
      </c>
      <c r="C866" s="705" t="s">
        <v>5116</v>
      </c>
      <c r="D866" s="418" t="str">
        <f t="shared" si="16"/>
        <v>UBND Xã Nhà Bè</v>
      </c>
      <c r="E866" s="287" t="s">
        <v>3585</v>
      </c>
      <c r="F866" s="287" t="s">
        <v>3434</v>
      </c>
      <c r="G866" s="415">
        <v>500</v>
      </c>
      <c r="H866" s="287" t="s">
        <v>156</v>
      </c>
    </row>
    <row r="867" spans="1:8" s="288" customFormat="1" ht="33">
      <c r="A867" s="287">
        <v>861</v>
      </c>
      <c r="B867" s="275" t="s">
        <v>320</v>
      </c>
      <c r="C867" s="705" t="s">
        <v>5116</v>
      </c>
      <c r="D867" s="418" t="str">
        <f t="shared" si="16"/>
        <v>UBND Xã Nhà Bè</v>
      </c>
      <c r="E867" s="287" t="s">
        <v>50</v>
      </c>
      <c r="F867" s="287" t="s">
        <v>3434</v>
      </c>
      <c r="G867" s="415">
        <v>370</v>
      </c>
      <c r="H867" s="287" t="s">
        <v>154</v>
      </c>
    </row>
    <row r="868" spans="1:8" s="288" customFormat="1" ht="33">
      <c r="A868" s="287">
        <v>862</v>
      </c>
      <c r="B868" s="275" t="s">
        <v>319</v>
      </c>
      <c r="C868" s="705" t="s">
        <v>5116</v>
      </c>
      <c r="D868" s="418" t="str">
        <f t="shared" si="16"/>
        <v>UBND Xã Nhà Bè</v>
      </c>
      <c r="E868" s="287" t="s">
        <v>50</v>
      </c>
      <c r="F868" s="287" t="s">
        <v>3434</v>
      </c>
      <c r="G868" s="415">
        <v>1200</v>
      </c>
      <c r="H868" s="287" t="s">
        <v>156</v>
      </c>
    </row>
    <row r="869" spans="1:8" s="288" customFormat="1">
      <c r="A869" s="287">
        <v>863</v>
      </c>
      <c r="B869" s="275" t="s">
        <v>3339</v>
      </c>
      <c r="C869" s="705" t="s">
        <v>5116</v>
      </c>
      <c r="D869" s="418" t="str">
        <f t="shared" si="16"/>
        <v>UBND Xã Nhà Bè</v>
      </c>
      <c r="E869" s="287" t="s">
        <v>50</v>
      </c>
      <c r="F869" s="287" t="s">
        <v>3352</v>
      </c>
      <c r="G869" s="415">
        <v>300</v>
      </c>
      <c r="H869" s="287" t="s">
        <v>162</v>
      </c>
    </row>
    <row r="870" spans="1:8" s="288" customFormat="1">
      <c r="A870" s="287">
        <v>864</v>
      </c>
      <c r="B870" s="275" t="s">
        <v>3340</v>
      </c>
      <c r="C870" s="705" t="s">
        <v>5116</v>
      </c>
      <c r="D870" s="418" t="str">
        <f t="shared" si="16"/>
        <v>UBND Xã Nhà Bè</v>
      </c>
      <c r="E870" s="287" t="s">
        <v>50</v>
      </c>
      <c r="F870" s="287" t="s">
        <v>3352</v>
      </c>
      <c r="G870" s="415">
        <v>130</v>
      </c>
      <c r="H870" s="287" t="s">
        <v>202</v>
      </c>
    </row>
    <row r="871" spans="1:8" s="288" customFormat="1">
      <c r="A871" s="287">
        <v>865</v>
      </c>
      <c r="B871" s="275" t="s">
        <v>3341</v>
      </c>
      <c r="C871" s="705" t="s">
        <v>5116</v>
      </c>
      <c r="D871" s="418" t="str">
        <f t="shared" si="16"/>
        <v>UBND Xã Nhà Bè</v>
      </c>
      <c r="E871" s="287" t="s">
        <v>50</v>
      </c>
      <c r="F871" s="287" t="s">
        <v>3352</v>
      </c>
      <c r="G871" s="415">
        <v>560</v>
      </c>
      <c r="H871" s="287" t="s">
        <v>202</v>
      </c>
    </row>
    <row r="872" spans="1:8" s="288" customFormat="1">
      <c r="A872" s="287">
        <v>866</v>
      </c>
      <c r="B872" s="275" t="s">
        <v>3342</v>
      </c>
      <c r="C872" s="705" t="s">
        <v>5116</v>
      </c>
      <c r="D872" s="418" t="str">
        <f t="shared" si="16"/>
        <v>UBND Xã Nhà Bè</v>
      </c>
      <c r="E872" s="287" t="s">
        <v>50</v>
      </c>
      <c r="F872" s="287" t="s">
        <v>3352</v>
      </c>
      <c r="G872" s="415">
        <v>460</v>
      </c>
      <c r="H872" s="287" t="s">
        <v>202</v>
      </c>
    </row>
    <row r="873" spans="1:8" s="288" customFormat="1">
      <c r="A873" s="287">
        <v>867</v>
      </c>
      <c r="B873" s="275" t="s">
        <v>3343</v>
      </c>
      <c r="C873" s="705" t="s">
        <v>5116</v>
      </c>
      <c r="D873" s="418" t="str">
        <f t="shared" si="16"/>
        <v>UBND Xã Nhà Bè</v>
      </c>
      <c r="E873" s="287" t="s">
        <v>50</v>
      </c>
      <c r="F873" s="287" t="s">
        <v>3352</v>
      </c>
      <c r="G873" s="415">
        <v>480</v>
      </c>
      <c r="H873" s="287" t="s">
        <v>153</v>
      </c>
    </row>
    <row r="874" spans="1:8" s="288" customFormat="1">
      <c r="A874" s="287">
        <v>868</v>
      </c>
      <c r="B874" s="275" t="s">
        <v>3730</v>
      </c>
      <c r="C874" s="705" t="s">
        <v>5116</v>
      </c>
      <c r="D874" s="418" t="str">
        <f t="shared" si="16"/>
        <v>UBND Xã Nhà Bè</v>
      </c>
      <c r="E874" s="287" t="s">
        <v>3763</v>
      </c>
      <c r="F874" s="287" t="s">
        <v>72</v>
      </c>
      <c r="G874" s="415">
        <v>1300</v>
      </c>
      <c r="H874" s="287" t="s">
        <v>153</v>
      </c>
    </row>
    <row r="875" spans="1:8" s="288" customFormat="1">
      <c r="A875" s="287">
        <v>869</v>
      </c>
      <c r="B875" s="275" t="s">
        <v>3731</v>
      </c>
      <c r="C875" s="705" t="s">
        <v>5116</v>
      </c>
      <c r="D875" s="418" t="str">
        <f t="shared" si="16"/>
        <v>UBND Xã Nhà Bè</v>
      </c>
      <c r="E875" s="287" t="s">
        <v>3763</v>
      </c>
      <c r="F875" s="287" t="s">
        <v>72</v>
      </c>
      <c r="G875" s="415">
        <v>650</v>
      </c>
      <c r="H875" s="287" t="s">
        <v>306</v>
      </c>
    </row>
    <row r="876" spans="1:8" s="288" customFormat="1">
      <c r="A876" s="287">
        <v>870</v>
      </c>
      <c r="B876" s="275" t="s">
        <v>3732</v>
      </c>
      <c r="C876" s="705" t="s">
        <v>5116</v>
      </c>
      <c r="D876" s="418" t="str">
        <f t="shared" si="16"/>
        <v>UBND Xã Nhà Bè</v>
      </c>
      <c r="E876" s="287" t="s">
        <v>3763</v>
      </c>
      <c r="F876" s="287" t="s">
        <v>72</v>
      </c>
      <c r="G876" s="415">
        <v>560</v>
      </c>
      <c r="H876" s="287" t="s">
        <v>154</v>
      </c>
    </row>
    <row r="877" spans="1:8" s="288" customFormat="1">
      <c r="A877" s="287">
        <v>871</v>
      </c>
      <c r="B877" s="275" t="s">
        <v>317</v>
      </c>
      <c r="C877" s="705" t="s">
        <v>5116</v>
      </c>
      <c r="D877" s="418" t="str">
        <f t="shared" si="16"/>
        <v>UBND Xã Nhà Bè</v>
      </c>
      <c r="E877" s="287" t="s">
        <v>50</v>
      </c>
      <c r="F877" s="287" t="s">
        <v>84</v>
      </c>
      <c r="G877" s="415">
        <v>820</v>
      </c>
      <c r="H877" s="287" t="s">
        <v>153</v>
      </c>
    </row>
    <row r="878" spans="1:8" s="288" customFormat="1">
      <c r="A878" s="287">
        <v>872</v>
      </c>
      <c r="B878" s="275" t="s">
        <v>316</v>
      </c>
      <c r="C878" s="705" t="s">
        <v>5116</v>
      </c>
      <c r="D878" s="418" t="str">
        <f t="shared" si="16"/>
        <v>UBND Xã Nhà Bè</v>
      </c>
      <c r="E878" s="287" t="s">
        <v>50</v>
      </c>
      <c r="F878" s="287" t="s">
        <v>84</v>
      </c>
      <c r="G878" s="415">
        <v>120</v>
      </c>
      <c r="H878" s="287" t="s">
        <v>154</v>
      </c>
    </row>
    <row r="879" spans="1:8" s="288" customFormat="1">
      <c r="A879" s="287">
        <v>873</v>
      </c>
      <c r="B879" s="275" t="s">
        <v>315</v>
      </c>
      <c r="C879" s="705" t="s">
        <v>5116</v>
      </c>
      <c r="D879" s="418" t="str">
        <f t="shared" si="16"/>
        <v>UBND Xã Nhà Bè</v>
      </c>
      <c r="E879" s="287" t="s">
        <v>50</v>
      </c>
      <c r="F879" s="287" t="s">
        <v>84</v>
      </c>
      <c r="G879" s="415">
        <v>350</v>
      </c>
      <c r="H879" s="287" t="s">
        <v>162</v>
      </c>
    </row>
    <row r="880" spans="1:8" s="288" customFormat="1">
      <c r="A880" s="287">
        <v>874</v>
      </c>
      <c r="B880" s="275" t="s">
        <v>3347</v>
      </c>
      <c r="C880" s="705" t="s">
        <v>5116</v>
      </c>
      <c r="D880" s="418" t="str">
        <f t="shared" si="16"/>
        <v>UBND Xã Nhà Bè</v>
      </c>
      <c r="E880" s="287" t="s">
        <v>50</v>
      </c>
      <c r="F880" s="287" t="s">
        <v>100</v>
      </c>
      <c r="G880" s="415">
        <v>450</v>
      </c>
      <c r="H880" s="287" t="s">
        <v>152</v>
      </c>
    </row>
    <row r="881" spans="1:8" s="288" customFormat="1">
      <c r="A881" s="287">
        <v>875</v>
      </c>
      <c r="B881" s="275" t="s">
        <v>4666</v>
      </c>
      <c r="C881" s="705" t="s">
        <v>5116</v>
      </c>
      <c r="D881" s="418" t="str">
        <f t="shared" si="16"/>
        <v>UBND Xã Nhà Bè</v>
      </c>
      <c r="E881" s="287" t="s">
        <v>669</v>
      </c>
      <c r="F881" s="287" t="s">
        <v>4667</v>
      </c>
      <c r="G881" s="415">
        <v>539</v>
      </c>
      <c r="H881" s="287">
        <v>4</v>
      </c>
    </row>
    <row r="882" spans="1:8" s="288" customFormat="1">
      <c r="A882" s="287">
        <v>876</v>
      </c>
      <c r="B882" s="275" t="s">
        <v>4668</v>
      </c>
      <c r="C882" s="705" t="s">
        <v>5116</v>
      </c>
      <c r="D882" s="418" t="str">
        <f t="shared" si="16"/>
        <v>UBND Xã Nhà Bè</v>
      </c>
      <c r="E882" s="287" t="s">
        <v>669</v>
      </c>
      <c r="F882" s="287" t="s">
        <v>4664</v>
      </c>
      <c r="G882" s="415">
        <v>237</v>
      </c>
      <c r="H882" s="287">
        <v>2</v>
      </c>
    </row>
    <row r="883" spans="1:8" s="288" customFormat="1">
      <c r="A883" s="287">
        <v>877</v>
      </c>
      <c r="B883" s="275" t="s">
        <v>4669</v>
      </c>
      <c r="C883" s="705" t="s">
        <v>5116</v>
      </c>
      <c r="D883" s="418" t="str">
        <f t="shared" si="16"/>
        <v>UBND Xã Nhà Bè</v>
      </c>
      <c r="E883" s="287" t="s">
        <v>4668</v>
      </c>
      <c r="F883" s="287" t="s">
        <v>4670</v>
      </c>
      <c r="G883" s="415">
        <v>146</v>
      </c>
      <c r="H883" s="287">
        <v>5</v>
      </c>
    </row>
    <row r="884" spans="1:8" s="288" customFormat="1">
      <c r="A884" s="287">
        <v>878</v>
      </c>
      <c r="B884" s="275" t="s">
        <v>4671</v>
      </c>
      <c r="C884" s="705" t="s">
        <v>5116</v>
      </c>
      <c r="D884" s="418" t="str">
        <f t="shared" si="16"/>
        <v>UBND Xã Nhà Bè</v>
      </c>
      <c r="E884" s="287" t="s">
        <v>4668</v>
      </c>
      <c r="F884" s="287" t="s">
        <v>4672</v>
      </c>
      <c r="G884" s="415">
        <v>495</v>
      </c>
      <c r="H884" s="369" t="s">
        <v>189</v>
      </c>
    </row>
    <row r="885" spans="1:8" s="288" customFormat="1">
      <c r="A885" s="287">
        <v>879</v>
      </c>
      <c r="B885" s="275" t="s">
        <v>4673</v>
      </c>
      <c r="C885" s="705" t="s">
        <v>5116</v>
      </c>
      <c r="D885" s="418" t="str">
        <f t="shared" si="16"/>
        <v>UBND Xã Nhà Bè</v>
      </c>
      <c r="E885" s="287" t="s">
        <v>234</v>
      </c>
      <c r="F885" s="287" t="s">
        <v>4674</v>
      </c>
      <c r="G885" s="415">
        <f>55+949+185</f>
        <v>1189</v>
      </c>
      <c r="H885" s="287"/>
    </row>
    <row r="886" spans="1:8" s="288" customFormat="1">
      <c r="A886" s="287">
        <v>880</v>
      </c>
      <c r="B886" s="275" t="s">
        <v>4675</v>
      </c>
      <c r="C886" s="705" t="s">
        <v>5116</v>
      </c>
      <c r="D886" s="418" t="str">
        <f t="shared" si="16"/>
        <v>UBND Xã Nhà Bè</v>
      </c>
      <c r="E886" s="287" t="s">
        <v>4673</v>
      </c>
      <c r="F886" s="287" t="s">
        <v>407</v>
      </c>
      <c r="G886" s="415">
        <v>93</v>
      </c>
      <c r="H886" s="287">
        <v>7</v>
      </c>
    </row>
    <row r="887" spans="1:8" s="288" customFormat="1">
      <c r="A887" s="287">
        <v>881</v>
      </c>
      <c r="B887" s="275" t="s">
        <v>4676</v>
      </c>
      <c r="C887" s="705" t="s">
        <v>5116</v>
      </c>
      <c r="D887" s="418" t="str">
        <f t="shared" si="16"/>
        <v>UBND Xã Nhà Bè</v>
      </c>
      <c r="E887" s="287" t="s">
        <v>234</v>
      </c>
      <c r="F887" s="287" t="s">
        <v>4677</v>
      </c>
      <c r="G887" s="415">
        <v>371</v>
      </c>
      <c r="H887" s="287">
        <v>10</v>
      </c>
    </row>
    <row r="888" spans="1:8" s="288" customFormat="1">
      <c r="A888" s="287">
        <v>882</v>
      </c>
      <c r="B888" s="275" t="s">
        <v>4678</v>
      </c>
      <c r="C888" s="705" t="s">
        <v>5116</v>
      </c>
      <c r="D888" s="418" t="str">
        <f t="shared" si="16"/>
        <v>UBND Xã Nhà Bè</v>
      </c>
      <c r="E888" s="287" t="s">
        <v>4679</v>
      </c>
      <c r="F888" s="287" t="s">
        <v>669</v>
      </c>
      <c r="G888" s="415">
        <v>75</v>
      </c>
      <c r="H888" s="287">
        <v>4</v>
      </c>
    </row>
    <row r="889" spans="1:8" s="288" customFormat="1">
      <c r="A889" s="287">
        <v>883</v>
      </c>
      <c r="B889" s="275" t="s">
        <v>4680</v>
      </c>
      <c r="C889" s="705" t="s">
        <v>5116</v>
      </c>
      <c r="D889" s="418" t="str">
        <f t="shared" si="16"/>
        <v>UBND Xã Nhà Bè</v>
      </c>
      <c r="E889" s="287" t="s">
        <v>113</v>
      </c>
      <c r="F889" s="287" t="s">
        <v>691</v>
      </c>
      <c r="G889" s="415">
        <v>1405</v>
      </c>
      <c r="H889" s="287">
        <v>16</v>
      </c>
    </row>
    <row r="890" spans="1:8" s="288" customFormat="1" ht="33">
      <c r="A890" s="287">
        <v>884</v>
      </c>
      <c r="B890" s="275" t="s">
        <v>4681</v>
      </c>
      <c r="C890" s="705" t="s">
        <v>5116</v>
      </c>
      <c r="D890" s="418" t="str">
        <f t="shared" si="16"/>
        <v>UBND Xã Nhà Bè</v>
      </c>
      <c r="E890" s="287" t="s">
        <v>4682</v>
      </c>
      <c r="F890" s="287" t="s">
        <v>4683</v>
      </c>
      <c r="G890" s="415">
        <v>186</v>
      </c>
      <c r="H890" s="287">
        <v>2</v>
      </c>
    </row>
    <row r="891" spans="1:8" s="288" customFormat="1">
      <c r="A891" s="287">
        <v>885</v>
      </c>
      <c r="B891" s="275" t="s">
        <v>4684</v>
      </c>
      <c r="C891" s="705" t="s">
        <v>5116</v>
      </c>
      <c r="D891" s="418" t="str">
        <f t="shared" si="16"/>
        <v>UBND Xã Nhà Bè</v>
      </c>
      <c r="E891" s="287" t="s">
        <v>4685</v>
      </c>
      <c r="F891" s="287" t="s">
        <v>4683</v>
      </c>
      <c r="G891" s="415">
        <v>99</v>
      </c>
      <c r="H891" s="287">
        <v>3</v>
      </c>
    </row>
    <row r="892" spans="1:8" s="288" customFormat="1">
      <c r="A892" s="287">
        <v>886</v>
      </c>
      <c r="B892" s="275" t="s">
        <v>4686</v>
      </c>
      <c r="C892" s="705" t="s">
        <v>5116</v>
      </c>
      <c r="D892" s="418" t="str">
        <f t="shared" si="16"/>
        <v>UBND Xã Nhà Bè</v>
      </c>
      <c r="E892" s="287" t="s">
        <v>4687</v>
      </c>
      <c r="F892" s="287" t="s">
        <v>4688</v>
      </c>
      <c r="G892" s="415">
        <v>513</v>
      </c>
      <c r="H892" s="287">
        <v>2</v>
      </c>
    </row>
    <row r="893" spans="1:8" s="288" customFormat="1">
      <c r="A893" s="287">
        <v>887</v>
      </c>
      <c r="B893" s="275" t="s">
        <v>4689</v>
      </c>
      <c r="C893" s="705" t="s">
        <v>5116</v>
      </c>
      <c r="D893" s="418" t="str">
        <f t="shared" si="16"/>
        <v>UBND Xã Nhà Bè</v>
      </c>
      <c r="E893" s="287" t="s">
        <v>4687</v>
      </c>
      <c r="F893" s="287" t="s">
        <v>407</v>
      </c>
      <c r="G893" s="415">
        <v>222</v>
      </c>
      <c r="H893" s="287">
        <v>3</v>
      </c>
    </row>
    <row r="894" spans="1:8" s="288" customFormat="1">
      <c r="A894" s="287">
        <v>888</v>
      </c>
      <c r="B894" s="275" t="s">
        <v>4690</v>
      </c>
      <c r="C894" s="705" t="s">
        <v>5116</v>
      </c>
      <c r="D894" s="418" t="str">
        <f t="shared" si="16"/>
        <v>UBND Xã Nhà Bè</v>
      </c>
      <c r="E894" s="287" t="s">
        <v>4691</v>
      </c>
      <c r="F894" s="287" t="s">
        <v>407</v>
      </c>
      <c r="G894" s="415">
        <v>170</v>
      </c>
      <c r="H894" s="287">
        <v>6</v>
      </c>
    </row>
    <row r="895" spans="1:8" s="288" customFormat="1">
      <c r="A895" s="287">
        <v>889</v>
      </c>
      <c r="B895" s="275" t="s">
        <v>4692</v>
      </c>
      <c r="C895" s="705" t="s">
        <v>5116</v>
      </c>
      <c r="D895" s="418" t="str">
        <f t="shared" si="16"/>
        <v>UBND Xã Nhà Bè</v>
      </c>
      <c r="E895" s="287" t="s">
        <v>113</v>
      </c>
      <c r="F895" s="287" t="s">
        <v>407</v>
      </c>
      <c r="G895" s="415">
        <v>675</v>
      </c>
      <c r="H895" s="287">
        <v>7</v>
      </c>
    </row>
    <row r="896" spans="1:8" s="288" customFormat="1">
      <c r="A896" s="287">
        <v>890</v>
      </c>
      <c r="B896" s="275" t="s">
        <v>4693</v>
      </c>
      <c r="C896" s="705" t="s">
        <v>5116</v>
      </c>
      <c r="D896" s="418" t="str">
        <f t="shared" si="16"/>
        <v>UBND Xã Nhà Bè</v>
      </c>
      <c r="E896" s="287" t="s">
        <v>4694</v>
      </c>
      <c r="F896" s="287" t="s">
        <v>127</v>
      </c>
      <c r="G896" s="415">
        <v>107</v>
      </c>
      <c r="H896" s="287">
        <v>4</v>
      </c>
    </row>
    <row r="897" spans="1:8" s="288" customFormat="1">
      <c r="A897" s="287">
        <v>891</v>
      </c>
      <c r="B897" s="275" t="s">
        <v>4695</v>
      </c>
      <c r="C897" s="705" t="s">
        <v>5116</v>
      </c>
      <c r="D897" s="418" t="str">
        <f t="shared" si="16"/>
        <v>UBND Xã Nhà Bè</v>
      </c>
      <c r="E897" s="287" t="s">
        <v>4696</v>
      </c>
      <c r="F897" s="287" t="s">
        <v>127</v>
      </c>
      <c r="G897" s="415">
        <v>176</v>
      </c>
      <c r="H897" s="287">
        <v>13</v>
      </c>
    </row>
    <row r="898" spans="1:8" s="288" customFormat="1">
      <c r="A898" s="287">
        <v>892</v>
      </c>
      <c r="B898" s="275" t="s">
        <v>4697</v>
      </c>
      <c r="C898" s="705" t="s">
        <v>5116</v>
      </c>
      <c r="D898" s="418" t="str">
        <f t="shared" si="16"/>
        <v>UBND Xã Nhà Bè</v>
      </c>
      <c r="E898" s="287" t="s">
        <v>4696</v>
      </c>
      <c r="F898" s="287" t="s">
        <v>127</v>
      </c>
      <c r="G898" s="415">
        <v>430</v>
      </c>
      <c r="H898" s="287">
        <v>10</v>
      </c>
    </row>
    <row r="899" spans="1:8" s="288" customFormat="1">
      <c r="A899" s="287">
        <v>893</v>
      </c>
      <c r="B899" s="275" t="s">
        <v>4698</v>
      </c>
      <c r="C899" s="705" t="s">
        <v>5116</v>
      </c>
      <c r="D899" s="418" t="str">
        <f t="shared" si="16"/>
        <v>UBND Xã Nhà Bè</v>
      </c>
      <c r="E899" s="287" t="s">
        <v>4699</v>
      </c>
      <c r="F899" s="287" t="s">
        <v>127</v>
      </c>
      <c r="G899" s="415">
        <v>300</v>
      </c>
      <c r="H899" s="287">
        <v>4</v>
      </c>
    </row>
    <row r="900" spans="1:8" s="288" customFormat="1">
      <c r="A900" s="287">
        <v>894</v>
      </c>
      <c r="B900" s="275" t="s">
        <v>4700</v>
      </c>
      <c r="C900" s="705" t="s">
        <v>5116</v>
      </c>
      <c r="D900" s="418" t="str">
        <f t="shared" si="16"/>
        <v>UBND Xã Nhà Bè</v>
      </c>
      <c r="E900" s="287" t="s">
        <v>4701</v>
      </c>
      <c r="F900" s="287" t="s">
        <v>691</v>
      </c>
      <c r="G900" s="415">
        <v>200</v>
      </c>
      <c r="H900" s="287">
        <v>3</v>
      </c>
    </row>
    <row r="901" spans="1:8" s="288" customFormat="1">
      <c r="A901" s="287">
        <v>895</v>
      </c>
      <c r="B901" s="275" t="s">
        <v>4702</v>
      </c>
      <c r="C901" s="705" t="s">
        <v>5116</v>
      </c>
      <c r="D901" s="418" t="str">
        <f t="shared" si="16"/>
        <v>UBND Xã Nhà Bè</v>
      </c>
      <c r="E901" s="287" t="s">
        <v>4699</v>
      </c>
      <c r="F901" s="287" t="s">
        <v>127</v>
      </c>
      <c r="G901" s="415">
        <v>332</v>
      </c>
      <c r="H901" s="287">
        <v>6</v>
      </c>
    </row>
    <row r="902" spans="1:8" s="288" customFormat="1">
      <c r="A902" s="287">
        <v>896</v>
      </c>
      <c r="B902" s="275" t="s">
        <v>4703</v>
      </c>
      <c r="C902" s="705" t="s">
        <v>5116</v>
      </c>
      <c r="D902" s="418" t="str">
        <f t="shared" si="16"/>
        <v>UBND Xã Nhà Bè</v>
      </c>
      <c r="E902" s="287" t="s">
        <v>4699</v>
      </c>
      <c r="F902" s="287" t="s">
        <v>126</v>
      </c>
      <c r="G902" s="415">
        <v>523</v>
      </c>
      <c r="H902" s="287">
        <v>4</v>
      </c>
    </row>
    <row r="903" spans="1:8" s="288" customFormat="1">
      <c r="A903" s="287">
        <v>897</v>
      </c>
      <c r="B903" s="275" t="s">
        <v>4704</v>
      </c>
      <c r="C903" s="705" t="s">
        <v>5116</v>
      </c>
      <c r="D903" s="418" t="str">
        <f t="shared" si="16"/>
        <v>UBND Xã Nhà Bè</v>
      </c>
      <c r="E903" s="287" t="s">
        <v>4696</v>
      </c>
      <c r="F903" s="287" t="s">
        <v>127</v>
      </c>
      <c r="G903" s="415">
        <v>562</v>
      </c>
      <c r="H903" s="287">
        <v>6</v>
      </c>
    </row>
    <row r="904" spans="1:8" s="288" customFormat="1">
      <c r="A904" s="287">
        <v>898</v>
      </c>
      <c r="B904" s="275" t="s">
        <v>4705</v>
      </c>
      <c r="C904" s="705" t="s">
        <v>5116</v>
      </c>
      <c r="D904" s="418" t="str">
        <f t="shared" si="16"/>
        <v>UBND Xã Nhà Bè</v>
      </c>
      <c r="E904" s="287" t="s">
        <v>4706</v>
      </c>
      <c r="F904" s="287" t="s">
        <v>691</v>
      </c>
      <c r="G904" s="415">
        <v>313</v>
      </c>
      <c r="H904" s="287">
        <v>2</v>
      </c>
    </row>
    <row r="905" spans="1:8" s="288" customFormat="1">
      <c r="A905" s="287">
        <v>899</v>
      </c>
      <c r="B905" s="275" t="s">
        <v>4707</v>
      </c>
      <c r="C905" s="705" t="s">
        <v>5116</v>
      </c>
      <c r="D905" s="418" t="str">
        <f t="shared" si="16"/>
        <v>UBND Xã Nhà Bè</v>
      </c>
      <c r="E905" s="287" t="s">
        <v>4708</v>
      </c>
      <c r="F905" s="287"/>
      <c r="G905" s="415">
        <v>263</v>
      </c>
      <c r="H905" s="287">
        <v>4</v>
      </c>
    </row>
    <row r="906" spans="1:8" s="288" customFormat="1">
      <c r="A906" s="287">
        <v>900</v>
      </c>
      <c r="B906" s="275" t="s">
        <v>4709</v>
      </c>
      <c r="C906" s="705" t="s">
        <v>5116</v>
      </c>
      <c r="D906" s="418" t="str">
        <f t="shared" si="16"/>
        <v>UBND Xã Nhà Bè</v>
      </c>
      <c r="E906" s="287" t="s">
        <v>4685</v>
      </c>
      <c r="F906" s="287"/>
      <c r="G906" s="415">
        <v>81</v>
      </c>
      <c r="H906" s="287">
        <v>4</v>
      </c>
    </row>
    <row r="907" spans="1:8" s="288" customFormat="1">
      <c r="A907" s="287">
        <v>901</v>
      </c>
      <c r="B907" s="275" t="s">
        <v>4710</v>
      </c>
      <c r="C907" s="705" t="s">
        <v>5116</v>
      </c>
      <c r="D907" s="418" t="str">
        <f t="shared" si="16"/>
        <v>UBND Xã Nhà Bè</v>
      </c>
      <c r="E907" s="287" t="s">
        <v>4711</v>
      </c>
      <c r="F907" s="287"/>
      <c r="G907" s="415">
        <v>67</v>
      </c>
      <c r="H907" s="287">
        <v>2</v>
      </c>
    </row>
    <row r="908" spans="1:8" s="288" customFormat="1">
      <c r="A908" s="287">
        <v>902</v>
      </c>
      <c r="B908" s="275" t="s">
        <v>4712</v>
      </c>
      <c r="C908" s="705" t="s">
        <v>5116</v>
      </c>
      <c r="D908" s="418" t="str">
        <f t="shared" si="16"/>
        <v>UBND Xã Nhà Bè</v>
      </c>
      <c r="E908" s="287" t="s">
        <v>4711</v>
      </c>
      <c r="F908" s="287"/>
      <c r="G908" s="415">
        <v>111</v>
      </c>
      <c r="H908" s="287">
        <v>2</v>
      </c>
    </row>
    <row r="909" spans="1:8" s="288" customFormat="1">
      <c r="A909" s="287">
        <v>903</v>
      </c>
      <c r="B909" s="275" t="s">
        <v>4713</v>
      </c>
      <c r="C909" s="705" t="s">
        <v>5116</v>
      </c>
      <c r="D909" s="418" t="str">
        <f t="shared" si="16"/>
        <v>UBND Xã Nhà Bè</v>
      </c>
      <c r="E909" s="287" t="s">
        <v>4714</v>
      </c>
      <c r="F909" s="287"/>
      <c r="G909" s="415">
        <f>84+149</f>
        <v>233</v>
      </c>
      <c r="H909" s="287"/>
    </row>
    <row r="910" spans="1:8" s="288" customFormat="1">
      <c r="A910" s="287">
        <v>904</v>
      </c>
      <c r="B910" s="275" t="s">
        <v>4757</v>
      </c>
      <c r="C910" s="705" t="s">
        <v>5116</v>
      </c>
      <c r="D910" s="418" t="str">
        <f t="shared" si="16"/>
        <v>UBND Xã Nhà Bè</v>
      </c>
      <c r="E910" s="287" t="s">
        <v>4758</v>
      </c>
      <c r="F910" s="287" t="s">
        <v>3763</v>
      </c>
      <c r="G910" s="415">
        <v>1340</v>
      </c>
      <c r="H910" s="421" t="s">
        <v>4759</v>
      </c>
    </row>
    <row r="911" spans="1:8" s="288" customFormat="1">
      <c r="A911" s="287">
        <v>905</v>
      </c>
      <c r="B911" s="275" t="s">
        <v>4760</v>
      </c>
      <c r="C911" s="705" t="s">
        <v>5116</v>
      </c>
      <c r="D911" s="418" t="str">
        <f t="shared" si="16"/>
        <v>UBND Xã Nhà Bè</v>
      </c>
      <c r="E911" s="287" t="s">
        <v>4761</v>
      </c>
      <c r="F911" s="287" t="s">
        <v>100</v>
      </c>
      <c r="G911" s="415">
        <v>495</v>
      </c>
      <c r="H911" s="421" t="s">
        <v>4762</v>
      </c>
    </row>
    <row r="912" spans="1:8" s="288" customFormat="1">
      <c r="A912" s="287">
        <v>906</v>
      </c>
      <c r="B912" s="275" t="s">
        <v>4763</v>
      </c>
      <c r="C912" s="705" t="s">
        <v>5116</v>
      </c>
      <c r="D912" s="418" t="str">
        <f t="shared" si="16"/>
        <v>UBND Xã Nhà Bè</v>
      </c>
      <c r="E912" s="287" t="s">
        <v>3763</v>
      </c>
      <c r="F912" s="287" t="s">
        <v>4764</v>
      </c>
      <c r="G912" s="415">
        <v>1218</v>
      </c>
      <c r="H912" s="421" t="s">
        <v>4765</v>
      </c>
    </row>
    <row r="913" spans="1:8" s="288" customFormat="1">
      <c r="A913" s="287">
        <v>907</v>
      </c>
      <c r="B913" s="275" t="s">
        <v>4766</v>
      </c>
      <c r="C913" s="705" t="s">
        <v>5116</v>
      </c>
      <c r="D913" s="418" t="str">
        <f t="shared" si="16"/>
        <v>UBND Xã Nhà Bè</v>
      </c>
      <c r="E913" s="287" t="s">
        <v>3763</v>
      </c>
      <c r="F913" s="287" t="s">
        <v>4767</v>
      </c>
      <c r="G913" s="415">
        <v>119</v>
      </c>
      <c r="H913" s="421" t="s">
        <v>4768</v>
      </c>
    </row>
    <row r="914" spans="1:8" s="288" customFormat="1">
      <c r="A914" s="287">
        <v>908</v>
      </c>
      <c r="B914" s="275" t="s">
        <v>4769</v>
      </c>
      <c r="C914" s="705" t="s">
        <v>5116</v>
      </c>
      <c r="D914" s="418" t="str">
        <f t="shared" si="16"/>
        <v>UBND Xã Nhà Bè</v>
      </c>
      <c r="E914" s="287" t="s">
        <v>4770</v>
      </c>
      <c r="F914" s="287" t="s">
        <v>3352</v>
      </c>
      <c r="G914" s="415">
        <v>943</v>
      </c>
      <c r="H914" s="421" t="s">
        <v>206</v>
      </c>
    </row>
    <row r="915" spans="1:8" s="288" customFormat="1">
      <c r="A915" s="287">
        <v>909</v>
      </c>
      <c r="B915" s="275" t="s">
        <v>4771</v>
      </c>
      <c r="C915" s="705" t="s">
        <v>5116</v>
      </c>
      <c r="D915" s="418" t="str">
        <f t="shared" si="16"/>
        <v>UBND Xã Nhà Bè</v>
      </c>
      <c r="E915" s="287" t="s">
        <v>4767</v>
      </c>
      <c r="F915" s="287" t="s">
        <v>100</v>
      </c>
      <c r="G915" s="415">
        <v>350</v>
      </c>
      <c r="H915" s="421" t="s">
        <v>312</v>
      </c>
    </row>
    <row r="916" spans="1:8" s="288" customFormat="1">
      <c r="A916" s="287">
        <v>910</v>
      </c>
      <c r="B916" s="275" t="s">
        <v>4772</v>
      </c>
      <c r="C916" s="705" t="s">
        <v>5116</v>
      </c>
      <c r="D916" s="418" t="str">
        <f t="shared" si="16"/>
        <v>UBND Xã Nhà Bè</v>
      </c>
      <c r="E916" s="287" t="s">
        <v>4767</v>
      </c>
      <c r="F916" s="287" t="s">
        <v>100</v>
      </c>
      <c r="G916" s="415">
        <v>930</v>
      </c>
      <c r="H916" s="421" t="s">
        <v>4773</v>
      </c>
    </row>
    <row r="917" spans="1:8" s="288" customFormat="1" ht="33">
      <c r="A917" s="287">
        <v>911</v>
      </c>
      <c r="B917" s="275" t="s">
        <v>4774</v>
      </c>
      <c r="C917" s="705" t="s">
        <v>5116</v>
      </c>
      <c r="D917" s="418" t="str">
        <f t="shared" si="16"/>
        <v>UBND Xã Nhà Bè</v>
      </c>
      <c r="E917" s="287" t="s">
        <v>4775</v>
      </c>
      <c r="F917" s="287" t="s">
        <v>100</v>
      </c>
      <c r="G917" s="415">
        <v>614</v>
      </c>
      <c r="H917" s="421" t="s">
        <v>4776</v>
      </c>
    </row>
    <row r="918" spans="1:8" s="288" customFormat="1">
      <c r="A918" s="287">
        <v>912</v>
      </c>
      <c r="B918" s="275" t="s">
        <v>4777</v>
      </c>
      <c r="C918" s="705" t="s">
        <v>5116</v>
      </c>
      <c r="D918" s="418" t="str">
        <f t="shared" si="16"/>
        <v>UBND Xã Nhà Bè</v>
      </c>
      <c r="E918" s="287" t="s">
        <v>3515</v>
      </c>
      <c r="F918" s="287" t="s">
        <v>3763</v>
      </c>
      <c r="G918" s="415">
        <v>2343</v>
      </c>
      <c r="H918" s="421" t="s">
        <v>4778</v>
      </c>
    </row>
    <row r="919" spans="1:8" s="288" customFormat="1">
      <c r="A919" s="287">
        <v>913</v>
      </c>
      <c r="B919" s="275" t="s">
        <v>4779</v>
      </c>
      <c r="C919" s="705" t="s">
        <v>5116</v>
      </c>
      <c r="D919" s="418" t="str">
        <f t="shared" si="16"/>
        <v>UBND Xã Nhà Bè</v>
      </c>
      <c r="E919" s="287" t="s">
        <v>84</v>
      </c>
      <c r="F919" s="287" t="s">
        <v>4780</v>
      </c>
      <c r="G919" s="415">
        <v>380</v>
      </c>
      <c r="H919" s="421" t="s">
        <v>179</v>
      </c>
    </row>
    <row r="920" spans="1:8" s="288" customFormat="1">
      <c r="A920" s="287">
        <v>914</v>
      </c>
      <c r="B920" s="275" t="s">
        <v>4781</v>
      </c>
      <c r="C920" s="705" t="s">
        <v>5116</v>
      </c>
      <c r="D920" s="418" t="str">
        <f t="shared" si="16"/>
        <v>UBND Xã Nhà Bè</v>
      </c>
      <c r="E920" s="287" t="s">
        <v>84</v>
      </c>
      <c r="F920" s="287" t="s">
        <v>4782</v>
      </c>
      <c r="G920" s="415">
        <v>56</v>
      </c>
      <c r="H920" s="425">
        <v>6</v>
      </c>
    </row>
    <row r="921" spans="1:8" s="288" customFormat="1">
      <c r="A921" s="287">
        <v>915</v>
      </c>
      <c r="B921" s="275" t="s">
        <v>4783</v>
      </c>
      <c r="C921" s="705" t="s">
        <v>5116</v>
      </c>
      <c r="D921" s="418" t="str">
        <f t="shared" si="16"/>
        <v>UBND Xã Nhà Bè</v>
      </c>
      <c r="E921" s="287" t="s">
        <v>4784</v>
      </c>
      <c r="F921" s="287" t="s">
        <v>4785</v>
      </c>
      <c r="G921" s="415">
        <v>330</v>
      </c>
      <c r="H921" s="425" t="s">
        <v>219</v>
      </c>
    </row>
    <row r="922" spans="1:8" s="288" customFormat="1">
      <c r="A922" s="287">
        <v>916</v>
      </c>
      <c r="B922" s="275" t="s">
        <v>4786</v>
      </c>
      <c r="C922" s="705" t="s">
        <v>5116</v>
      </c>
      <c r="D922" s="418" t="str">
        <f t="shared" si="16"/>
        <v>UBND Xã Nhà Bè</v>
      </c>
      <c r="E922" s="287" t="s">
        <v>3352</v>
      </c>
      <c r="F922" s="287" t="s">
        <v>4787</v>
      </c>
      <c r="G922" s="415">
        <v>200</v>
      </c>
      <c r="H922" s="425" t="s">
        <v>1003</v>
      </c>
    </row>
    <row r="923" spans="1:8" s="288" customFormat="1">
      <c r="A923" s="287">
        <v>917</v>
      </c>
      <c r="B923" s="275" t="s">
        <v>4788</v>
      </c>
      <c r="C923" s="705" t="s">
        <v>5116</v>
      </c>
      <c r="D923" s="418" t="str">
        <f t="shared" si="16"/>
        <v>UBND Xã Nhà Bè</v>
      </c>
      <c r="E923" s="287" t="s">
        <v>3352</v>
      </c>
      <c r="F923" s="287" t="s">
        <v>4789</v>
      </c>
      <c r="G923" s="415">
        <v>224</v>
      </c>
      <c r="H923" s="425" t="s">
        <v>4790</v>
      </c>
    </row>
    <row r="924" spans="1:8" s="288" customFormat="1">
      <c r="A924" s="287">
        <v>918</v>
      </c>
      <c r="B924" s="275" t="s">
        <v>4791</v>
      </c>
      <c r="C924" s="705" t="s">
        <v>5116</v>
      </c>
      <c r="D924" s="418" t="str">
        <f t="shared" si="16"/>
        <v>UBND Xã Nhà Bè</v>
      </c>
      <c r="E924" s="287" t="s">
        <v>3352</v>
      </c>
      <c r="F924" s="287" t="s">
        <v>4792</v>
      </c>
      <c r="G924" s="415">
        <v>488</v>
      </c>
      <c r="H924" s="425" t="s">
        <v>1064</v>
      </c>
    </row>
    <row r="925" spans="1:8" s="288" customFormat="1">
      <c r="A925" s="287">
        <v>919</v>
      </c>
      <c r="B925" s="275" t="s">
        <v>4793</v>
      </c>
      <c r="C925" s="705" t="s">
        <v>5116</v>
      </c>
      <c r="D925" s="418" t="str">
        <f t="shared" si="16"/>
        <v>UBND Xã Nhà Bè</v>
      </c>
      <c r="E925" s="287" t="s">
        <v>3351</v>
      </c>
      <c r="F925" s="287" t="s">
        <v>4794</v>
      </c>
      <c r="G925" s="415">
        <v>160</v>
      </c>
      <c r="H925" s="425" t="s">
        <v>220</v>
      </c>
    </row>
    <row r="926" spans="1:8" s="288" customFormat="1">
      <c r="A926" s="287">
        <v>920</v>
      </c>
      <c r="B926" s="275" t="s">
        <v>4795</v>
      </c>
      <c r="C926" s="705" t="s">
        <v>5116</v>
      </c>
      <c r="D926" s="418" t="str">
        <f t="shared" si="16"/>
        <v>UBND Xã Nhà Bè</v>
      </c>
      <c r="E926" s="287" t="s">
        <v>3515</v>
      </c>
      <c r="F926" s="287" t="s">
        <v>4796</v>
      </c>
      <c r="G926" s="415">
        <v>521</v>
      </c>
      <c r="H926" s="425" t="s">
        <v>205</v>
      </c>
    </row>
    <row r="927" spans="1:8" s="288" customFormat="1">
      <c r="A927" s="287">
        <v>921</v>
      </c>
      <c r="B927" s="275" t="s">
        <v>4868</v>
      </c>
      <c r="C927" s="705" t="s">
        <v>5116</v>
      </c>
      <c r="D927" s="418" t="str">
        <f t="shared" si="16"/>
        <v>UBND Xã Nhà Bè</v>
      </c>
      <c r="E927" s="287" t="s">
        <v>3353</v>
      </c>
      <c r="F927" s="287" t="s">
        <v>407</v>
      </c>
      <c r="G927" s="415">
        <v>356</v>
      </c>
      <c r="H927" s="425">
        <v>5</v>
      </c>
    </row>
    <row r="928" spans="1:8" s="288" customFormat="1">
      <c r="A928" s="287">
        <v>922</v>
      </c>
      <c r="B928" s="275" t="s">
        <v>4869</v>
      </c>
      <c r="C928" s="705" t="s">
        <v>5116</v>
      </c>
      <c r="D928" s="418" t="str">
        <f t="shared" si="16"/>
        <v>UBND Xã Nhà Bè</v>
      </c>
      <c r="E928" s="287" t="s">
        <v>1126</v>
      </c>
      <c r="F928" s="287" t="s">
        <v>4870</v>
      </c>
      <c r="G928" s="415">
        <v>1559</v>
      </c>
      <c r="H928" s="287">
        <v>12</v>
      </c>
    </row>
    <row r="929" spans="1:8" s="288" customFormat="1">
      <c r="A929" s="287">
        <v>923</v>
      </c>
      <c r="B929" s="275" t="s">
        <v>4871</v>
      </c>
      <c r="C929" s="705" t="s">
        <v>5116</v>
      </c>
      <c r="D929" s="418" t="str">
        <f t="shared" ref="D929:D958" si="17">"UBND "&amp;C929</f>
        <v>UBND Xã Nhà Bè</v>
      </c>
      <c r="E929" s="425" t="s">
        <v>1126</v>
      </c>
      <c r="F929" s="287" t="s">
        <v>669</v>
      </c>
      <c r="G929" s="415">
        <v>2040</v>
      </c>
      <c r="H929" s="287">
        <v>16</v>
      </c>
    </row>
    <row r="930" spans="1:8" s="288" customFormat="1">
      <c r="A930" s="287">
        <v>924</v>
      </c>
      <c r="B930" s="275" t="s">
        <v>4872</v>
      </c>
      <c r="C930" s="705" t="s">
        <v>5116</v>
      </c>
      <c r="D930" s="418" t="str">
        <f t="shared" si="17"/>
        <v>UBND Xã Nhà Bè</v>
      </c>
      <c r="E930" s="287" t="s">
        <v>100</v>
      </c>
      <c r="F930" s="287" t="s">
        <v>4813</v>
      </c>
      <c r="G930" s="415">
        <v>1136</v>
      </c>
      <c r="H930" s="425">
        <v>7</v>
      </c>
    </row>
    <row r="931" spans="1:8" s="288" customFormat="1">
      <c r="A931" s="287">
        <v>925</v>
      </c>
      <c r="B931" s="275" t="s">
        <v>4873</v>
      </c>
      <c r="C931" s="705" t="s">
        <v>5116</v>
      </c>
      <c r="D931" s="418" t="str">
        <f t="shared" si="17"/>
        <v>UBND Xã Nhà Bè</v>
      </c>
      <c r="E931" s="287" t="s">
        <v>144</v>
      </c>
      <c r="F931" s="287" t="s">
        <v>4874</v>
      </c>
      <c r="G931" s="415">
        <v>600</v>
      </c>
      <c r="H931" s="426">
        <v>16.7</v>
      </c>
    </row>
    <row r="932" spans="1:8" s="288" customFormat="1">
      <c r="A932" s="287">
        <v>926</v>
      </c>
      <c r="B932" s="275" t="s">
        <v>4875</v>
      </c>
      <c r="C932" s="705" t="s">
        <v>5116</v>
      </c>
      <c r="D932" s="418" t="str">
        <f t="shared" si="17"/>
        <v>UBND Xã Nhà Bè</v>
      </c>
      <c r="E932" s="287" t="s">
        <v>100</v>
      </c>
      <c r="F932" s="287" t="s">
        <v>4876</v>
      </c>
      <c r="G932" s="415">
        <v>2315</v>
      </c>
      <c r="H932" s="425">
        <v>10</v>
      </c>
    </row>
    <row r="933" spans="1:8" s="288" customFormat="1">
      <c r="A933" s="287">
        <v>927</v>
      </c>
      <c r="B933" s="275" t="s">
        <v>4877</v>
      </c>
      <c r="C933" s="705" t="s">
        <v>5116</v>
      </c>
      <c r="D933" s="418" t="str">
        <f t="shared" si="17"/>
        <v>UBND Xã Nhà Bè</v>
      </c>
      <c r="E933" s="287" t="s">
        <v>3434</v>
      </c>
      <c r="F933" s="287" t="s">
        <v>4878</v>
      </c>
      <c r="G933" s="415">
        <v>1500</v>
      </c>
      <c r="H933" s="425">
        <v>10</v>
      </c>
    </row>
    <row r="934" spans="1:8" s="288" customFormat="1">
      <c r="A934" s="287">
        <v>928</v>
      </c>
      <c r="B934" s="275" t="s">
        <v>4879</v>
      </c>
      <c r="C934" s="705" t="s">
        <v>5116</v>
      </c>
      <c r="D934" s="418" t="str">
        <f t="shared" si="17"/>
        <v>UBND Xã Nhà Bè</v>
      </c>
      <c r="E934" s="425" t="s">
        <v>4880</v>
      </c>
      <c r="F934" s="287" t="s">
        <v>3352</v>
      </c>
      <c r="G934" s="415">
        <v>1592</v>
      </c>
      <c r="H934" s="287">
        <v>20</v>
      </c>
    </row>
    <row r="935" spans="1:8" s="288" customFormat="1">
      <c r="A935" s="287">
        <v>929</v>
      </c>
      <c r="B935" s="275" t="s">
        <v>4881</v>
      </c>
      <c r="C935" s="705" t="s">
        <v>5116</v>
      </c>
      <c r="D935" s="418" t="str">
        <f t="shared" si="17"/>
        <v>UBND Xã Nhà Bè</v>
      </c>
      <c r="E935" s="287" t="s">
        <v>4880</v>
      </c>
      <c r="F935" s="287" t="s">
        <v>4882</v>
      </c>
      <c r="G935" s="415">
        <v>1050</v>
      </c>
      <c r="H935" s="425">
        <v>20</v>
      </c>
    </row>
    <row r="936" spans="1:8" s="288" customFormat="1">
      <c r="A936" s="287">
        <v>930</v>
      </c>
      <c r="B936" s="275" t="s">
        <v>4883</v>
      </c>
      <c r="C936" s="705" t="s">
        <v>5116</v>
      </c>
      <c r="D936" s="418" t="str">
        <f t="shared" si="17"/>
        <v>UBND Xã Nhà Bè</v>
      </c>
      <c r="E936" s="287" t="s">
        <v>4884</v>
      </c>
      <c r="F936" s="287" t="s">
        <v>4885</v>
      </c>
      <c r="G936" s="415">
        <v>250</v>
      </c>
      <c r="H936" s="425">
        <v>8</v>
      </c>
    </row>
    <row r="937" spans="1:8" s="288" customFormat="1" ht="33">
      <c r="A937" s="287">
        <v>931</v>
      </c>
      <c r="B937" s="275" t="s">
        <v>4886</v>
      </c>
      <c r="C937" s="705" t="s">
        <v>5116</v>
      </c>
      <c r="D937" s="418" t="str">
        <f t="shared" si="17"/>
        <v>UBND Xã Nhà Bè</v>
      </c>
      <c r="E937" s="287" t="s">
        <v>4884</v>
      </c>
      <c r="F937" s="287" t="s">
        <v>4885</v>
      </c>
      <c r="G937" s="415">
        <v>50</v>
      </c>
      <c r="H937" s="425">
        <v>8</v>
      </c>
    </row>
    <row r="938" spans="1:8" s="288" customFormat="1">
      <c r="A938" s="287">
        <v>932</v>
      </c>
      <c r="B938" s="275" t="s">
        <v>4887</v>
      </c>
      <c r="C938" s="705" t="s">
        <v>5116</v>
      </c>
      <c r="D938" s="418" t="str">
        <f t="shared" si="17"/>
        <v>UBND Xã Nhà Bè</v>
      </c>
      <c r="E938" s="287" t="s">
        <v>665</v>
      </c>
      <c r="F938" s="287" t="s">
        <v>4888</v>
      </c>
      <c r="G938" s="415">
        <v>102</v>
      </c>
      <c r="H938" s="425">
        <v>5</v>
      </c>
    </row>
    <row r="939" spans="1:8" s="288" customFormat="1">
      <c r="A939" s="287">
        <v>933</v>
      </c>
      <c r="B939" s="275" t="s">
        <v>4889</v>
      </c>
      <c r="C939" s="705" t="s">
        <v>5116</v>
      </c>
      <c r="D939" s="418" t="str">
        <f t="shared" si="17"/>
        <v>UBND Xã Nhà Bè</v>
      </c>
      <c r="E939" s="287" t="s">
        <v>665</v>
      </c>
      <c r="F939" s="287" t="s">
        <v>4890</v>
      </c>
      <c r="G939" s="415">
        <v>165</v>
      </c>
      <c r="H939" s="425">
        <v>4</v>
      </c>
    </row>
    <row r="940" spans="1:8" s="288" customFormat="1">
      <c r="A940" s="287">
        <v>934</v>
      </c>
      <c r="B940" s="275" t="s">
        <v>4891</v>
      </c>
      <c r="C940" s="705" t="s">
        <v>5116</v>
      </c>
      <c r="D940" s="418" t="str">
        <f t="shared" si="17"/>
        <v>UBND Xã Nhà Bè</v>
      </c>
      <c r="E940" s="287" t="s">
        <v>4892</v>
      </c>
      <c r="F940" s="287" t="s">
        <v>4813</v>
      </c>
      <c r="G940" s="415">
        <v>700</v>
      </c>
      <c r="H940" s="425">
        <v>8</v>
      </c>
    </row>
    <row r="941" spans="1:8" s="288" customFormat="1">
      <c r="A941" s="287">
        <v>935</v>
      </c>
      <c r="B941" s="275" t="s">
        <v>4893</v>
      </c>
      <c r="C941" s="705" t="s">
        <v>5116</v>
      </c>
      <c r="D941" s="418" t="str">
        <f t="shared" si="17"/>
        <v>UBND Xã Nhà Bè</v>
      </c>
      <c r="E941" s="287" t="s">
        <v>4894</v>
      </c>
      <c r="F941" s="287" t="s">
        <v>4895</v>
      </c>
      <c r="G941" s="415">
        <v>825</v>
      </c>
      <c r="H941" s="425">
        <v>6</v>
      </c>
    </row>
    <row r="942" spans="1:8" s="288" customFormat="1">
      <c r="A942" s="287">
        <v>936</v>
      </c>
      <c r="B942" s="275" t="s">
        <v>4896</v>
      </c>
      <c r="C942" s="705" t="s">
        <v>5116</v>
      </c>
      <c r="D942" s="418" t="str">
        <f t="shared" si="17"/>
        <v>UBND Xã Nhà Bè</v>
      </c>
      <c r="E942" s="287" t="s">
        <v>4897</v>
      </c>
      <c r="F942" s="287" t="s">
        <v>4898</v>
      </c>
      <c r="G942" s="415">
        <v>166</v>
      </c>
      <c r="H942" s="425">
        <v>7</v>
      </c>
    </row>
    <row r="943" spans="1:8" s="673" customFormat="1">
      <c r="A943" s="287">
        <v>937</v>
      </c>
      <c r="B943" s="275" t="s">
        <v>4899</v>
      </c>
      <c r="C943" s="705" t="s">
        <v>5116</v>
      </c>
      <c r="D943" s="418" t="str">
        <f t="shared" si="17"/>
        <v>UBND Xã Nhà Bè</v>
      </c>
      <c r="E943" s="287" t="s">
        <v>4900</v>
      </c>
      <c r="F943" s="287" t="s">
        <v>407</v>
      </c>
      <c r="G943" s="415">
        <v>67</v>
      </c>
      <c r="H943" s="425">
        <v>6</v>
      </c>
    </row>
    <row r="944" spans="1:8" s="673" customFormat="1" ht="33">
      <c r="A944" s="287">
        <v>938</v>
      </c>
      <c r="B944" s="275" t="s">
        <v>4901</v>
      </c>
      <c r="C944" s="705" t="s">
        <v>5116</v>
      </c>
      <c r="D944" s="418" t="str">
        <f t="shared" si="17"/>
        <v>UBND Xã Nhà Bè</v>
      </c>
      <c r="E944" s="287" t="s">
        <v>4902</v>
      </c>
      <c r="F944" s="287" t="s">
        <v>4903</v>
      </c>
      <c r="G944" s="415">
        <v>75</v>
      </c>
      <c r="H944" s="425">
        <v>5</v>
      </c>
    </row>
    <row r="945" spans="1:8" s="673" customFormat="1" ht="33">
      <c r="A945" s="287">
        <v>939</v>
      </c>
      <c r="B945" s="275" t="s">
        <v>4904</v>
      </c>
      <c r="C945" s="705" t="s">
        <v>5116</v>
      </c>
      <c r="D945" s="418" t="str">
        <f t="shared" si="17"/>
        <v>UBND Xã Nhà Bè</v>
      </c>
      <c r="E945" s="287" t="s">
        <v>4902</v>
      </c>
      <c r="F945" s="287" t="s">
        <v>407</v>
      </c>
      <c r="G945" s="415">
        <v>190</v>
      </c>
      <c r="H945" s="425">
        <v>3</v>
      </c>
    </row>
    <row r="946" spans="1:8" s="673" customFormat="1">
      <c r="A946" s="287">
        <v>940</v>
      </c>
      <c r="B946" s="275" t="s">
        <v>4905</v>
      </c>
      <c r="C946" s="705" t="s">
        <v>5116</v>
      </c>
      <c r="D946" s="418" t="str">
        <f t="shared" si="17"/>
        <v>UBND Xã Nhà Bè</v>
      </c>
      <c r="E946" s="287" t="s">
        <v>4894</v>
      </c>
      <c r="F946" s="287" t="s">
        <v>4906</v>
      </c>
      <c r="G946" s="415">
        <v>1470</v>
      </c>
      <c r="H946" s="425">
        <v>8</v>
      </c>
    </row>
    <row r="947" spans="1:8" s="673" customFormat="1">
      <c r="A947" s="287">
        <v>941</v>
      </c>
      <c r="B947" s="275" t="s">
        <v>4907</v>
      </c>
      <c r="C947" s="705" t="s">
        <v>5116</v>
      </c>
      <c r="D947" s="418" t="str">
        <f t="shared" si="17"/>
        <v>UBND Xã Nhà Bè</v>
      </c>
      <c r="E947" s="287" t="s">
        <v>4894</v>
      </c>
      <c r="F947" s="287" t="s">
        <v>4908</v>
      </c>
      <c r="G947" s="415">
        <v>240</v>
      </c>
      <c r="H947" s="425">
        <v>4</v>
      </c>
    </row>
    <row r="948" spans="1:8" s="673" customFormat="1">
      <c r="A948" s="287">
        <v>942</v>
      </c>
      <c r="B948" s="275" t="s">
        <v>4909</v>
      </c>
      <c r="C948" s="705" t="s">
        <v>5116</v>
      </c>
      <c r="D948" s="418" t="str">
        <f t="shared" si="17"/>
        <v>UBND Xã Nhà Bè</v>
      </c>
      <c r="E948" s="287" t="s">
        <v>4910</v>
      </c>
      <c r="F948" s="287" t="s">
        <v>4911</v>
      </c>
      <c r="G948" s="415">
        <v>350</v>
      </c>
      <c r="H948" s="425">
        <v>3</v>
      </c>
    </row>
    <row r="949" spans="1:8" s="673" customFormat="1">
      <c r="A949" s="287">
        <v>943</v>
      </c>
      <c r="B949" s="275" t="s">
        <v>4912</v>
      </c>
      <c r="C949" s="705" t="s">
        <v>5116</v>
      </c>
      <c r="D949" s="418" t="str">
        <f t="shared" si="17"/>
        <v>UBND Xã Nhà Bè</v>
      </c>
      <c r="E949" s="287" t="s">
        <v>4910</v>
      </c>
      <c r="F949" s="287" t="s">
        <v>4913</v>
      </c>
      <c r="G949" s="415">
        <v>625</v>
      </c>
      <c r="H949" s="425">
        <v>6</v>
      </c>
    </row>
    <row r="950" spans="1:8" s="673" customFormat="1">
      <c r="A950" s="287">
        <v>944</v>
      </c>
      <c r="B950" s="275" t="s">
        <v>4914</v>
      </c>
      <c r="C950" s="705" t="s">
        <v>5116</v>
      </c>
      <c r="D950" s="418" t="str">
        <f t="shared" si="17"/>
        <v>UBND Xã Nhà Bè</v>
      </c>
      <c r="E950" s="287" t="s">
        <v>4894</v>
      </c>
      <c r="F950" s="287" t="s">
        <v>4915</v>
      </c>
      <c r="G950" s="415">
        <v>150</v>
      </c>
      <c r="H950" s="425">
        <v>2</v>
      </c>
    </row>
    <row r="951" spans="1:8" s="673" customFormat="1">
      <c r="A951" s="287">
        <v>945</v>
      </c>
      <c r="B951" s="275" t="s">
        <v>4645</v>
      </c>
      <c r="C951" s="705" t="s">
        <v>5117</v>
      </c>
      <c r="D951" s="418" t="str">
        <f t="shared" si="17"/>
        <v>UBND Xã Tân Vĩnh Lộc</v>
      </c>
      <c r="E951" s="287" t="s">
        <v>53</v>
      </c>
      <c r="F951" s="287" t="s">
        <v>3422</v>
      </c>
      <c r="G951" s="415">
        <v>600</v>
      </c>
      <c r="H951" s="287" t="s">
        <v>156</v>
      </c>
    </row>
    <row r="952" spans="1:8" s="673" customFormat="1">
      <c r="A952" s="287">
        <v>946</v>
      </c>
      <c r="B952" s="275" t="s">
        <v>758</v>
      </c>
      <c r="C952" s="705" t="s">
        <v>5123</v>
      </c>
      <c r="D952" s="418" t="str">
        <f t="shared" si="17"/>
        <v>UBND Xã Thạnh An</v>
      </c>
      <c r="E952" s="287" t="s">
        <v>754</v>
      </c>
      <c r="F952" s="287" t="s">
        <v>757</v>
      </c>
      <c r="G952" s="415">
        <v>2512</v>
      </c>
      <c r="H952" s="369" t="s">
        <v>156</v>
      </c>
    </row>
    <row r="953" spans="1:8" s="673" customFormat="1">
      <c r="A953" s="287">
        <v>947</v>
      </c>
      <c r="B953" s="608" t="s">
        <v>3705</v>
      </c>
      <c r="C953" s="705" t="s">
        <v>5110</v>
      </c>
      <c r="D953" s="418" t="str">
        <f t="shared" si="17"/>
        <v>UBND Xã Xuân Thới Sơn</v>
      </c>
      <c r="E953" s="287" t="s">
        <v>3602</v>
      </c>
      <c r="F953" s="287" t="s">
        <v>626</v>
      </c>
      <c r="G953" s="415">
        <v>2500</v>
      </c>
      <c r="H953" s="420" t="s">
        <v>210</v>
      </c>
    </row>
    <row r="954" spans="1:8" s="673" customFormat="1" ht="33">
      <c r="A954" s="287">
        <v>948</v>
      </c>
      <c r="B954" s="275" t="s">
        <v>4539</v>
      </c>
      <c r="C954" s="705" t="s">
        <v>5110</v>
      </c>
      <c r="D954" s="418" t="str">
        <f t="shared" si="17"/>
        <v>UBND Xã Xuân Thới Sơn</v>
      </c>
      <c r="E954" s="287" t="s">
        <v>4540</v>
      </c>
      <c r="F954" s="287" t="s">
        <v>4541</v>
      </c>
      <c r="G954" s="415">
        <v>142</v>
      </c>
      <c r="H954" s="420" t="s">
        <v>210</v>
      </c>
    </row>
    <row r="955" spans="1:8" s="673" customFormat="1">
      <c r="A955" s="287">
        <v>949</v>
      </c>
      <c r="B955" s="608" t="s">
        <v>4551</v>
      </c>
      <c r="C955" s="705" t="s">
        <v>5110</v>
      </c>
      <c r="D955" s="418" t="str">
        <f t="shared" si="17"/>
        <v>UBND Xã Xuân Thới Sơn</v>
      </c>
      <c r="E955" s="287" t="s">
        <v>4552</v>
      </c>
      <c r="F955" s="287" t="s">
        <v>4553</v>
      </c>
      <c r="G955" s="415">
        <v>250</v>
      </c>
      <c r="H955" s="421" t="s">
        <v>154</v>
      </c>
    </row>
    <row r="956" spans="1:8" s="673" customFormat="1" ht="33">
      <c r="A956" s="287">
        <v>950</v>
      </c>
      <c r="B956" s="275" t="s">
        <v>4590</v>
      </c>
      <c r="C956" s="705" t="s">
        <v>5110</v>
      </c>
      <c r="D956" s="418" t="str">
        <f t="shared" si="17"/>
        <v>UBND Xã Xuân Thới Sơn</v>
      </c>
      <c r="E956" s="287" t="s">
        <v>4591</v>
      </c>
      <c r="F956" s="287" t="s">
        <v>4592</v>
      </c>
      <c r="G956" s="415">
        <v>1450</v>
      </c>
      <c r="H956" s="421" t="s">
        <v>164</v>
      </c>
    </row>
    <row r="957" spans="1:8" s="673" customFormat="1" ht="33">
      <c r="A957" s="287">
        <v>951</v>
      </c>
      <c r="B957" s="275" t="s">
        <v>4593</v>
      </c>
      <c r="C957" s="705" t="s">
        <v>5110</v>
      </c>
      <c r="D957" s="418" t="str">
        <f t="shared" si="17"/>
        <v>UBND Xã Xuân Thới Sơn</v>
      </c>
      <c r="E957" s="287" t="s">
        <v>4594</v>
      </c>
      <c r="F957" s="287" t="s">
        <v>4595</v>
      </c>
      <c r="G957" s="415">
        <v>2750</v>
      </c>
      <c r="H957" s="421" t="s">
        <v>164</v>
      </c>
    </row>
    <row r="958" spans="1:8" s="673" customFormat="1">
      <c r="A958" s="287">
        <v>952</v>
      </c>
      <c r="B958" s="275" t="s">
        <v>4605</v>
      </c>
      <c r="C958" s="705" t="s">
        <v>5110</v>
      </c>
      <c r="D958" s="418" t="str">
        <f t="shared" si="17"/>
        <v>UBND Xã Xuân Thới Sơn</v>
      </c>
      <c r="E958" s="287" t="s">
        <v>4606</v>
      </c>
      <c r="F958" s="287" t="s">
        <v>407</v>
      </c>
      <c r="G958" s="415">
        <v>2200</v>
      </c>
      <c r="H958" s="421" t="s">
        <v>164</v>
      </c>
    </row>
    <row r="959" spans="1:8">
      <c r="A959" s="634" t="s">
        <v>1114</v>
      </c>
      <c r="B959" s="631" t="s">
        <v>5286</v>
      </c>
      <c r="C959" s="677"/>
      <c r="D959" s="601"/>
      <c r="E959" s="602"/>
      <c r="F959" s="602"/>
      <c r="G959" s="672">
        <f>SUM(G960:G1158)</f>
        <v>273279</v>
      </c>
      <c r="H959" s="603"/>
    </row>
    <row r="960" spans="1:8">
      <c r="A960" s="427">
        <v>1</v>
      </c>
      <c r="B960" s="273" t="s">
        <v>8796</v>
      </c>
      <c r="C960" s="678" t="s">
        <v>8798</v>
      </c>
      <c r="D960" s="678" t="s">
        <v>8799</v>
      </c>
      <c r="E960" s="526" t="s">
        <v>8802</v>
      </c>
      <c r="F960" s="526" t="s">
        <v>8800</v>
      </c>
      <c r="G960" s="527">
        <v>1234</v>
      </c>
      <c r="H960" s="526"/>
    </row>
    <row r="961" spans="1:8" ht="33">
      <c r="A961" s="427">
        <v>2</v>
      </c>
      <c r="B961" s="273" t="s">
        <v>5939</v>
      </c>
      <c r="C961" s="678" t="s">
        <v>8798</v>
      </c>
      <c r="D961" s="678" t="s">
        <v>8799</v>
      </c>
      <c r="E961" s="599" t="s">
        <v>8804</v>
      </c>
      <c r="F961" s="427" t="s">
        <v>1153</v>
      </c>
      <c r="G961" s="415">
        <v>800</v>
      </c>
      <c r="H961" s="483"/>
    </row>
    <row r="962" spans="1:8">
      <c r="A962" s="427">
        <v>3</v>
      </c>
      <c r="B962" s="273" t="s">
        <v>8797</v>
      </c>
      <c r="C962" s="678" t="s">
        <v>8798</v>
      </c>
      <c r="D962" s="678" t="s">
        <v>8799</v>
      </c>
      <c r="E962" s="427" t="s">
        <v>8803</v>
      </c>
      <c r="F962" s="427" t="s">
        <v>8801</v>
      </c>
      <c r="G962" s="415">
        <v>3141</v>
      </c>
      <c r="H962" s="483"/>
    </row>
    <row r="963" spans="1:8">
      <c r="A963" s="427">
        <v>4</v>
      </c>
      <c r="B963" s="271" t="s">
        <v>6116</v>
      </c>
      <c r="C963" s="290" t="s">
        <v>6207</v>
      </c>
      <c r="D963" s="290" t="s">
        <v>6213</v>
      </c>
      <c r="E963" s="268" t="s">
        <v>6208</v>
      </c>
      <c r="F963" s="268" t="s">
        <v>6117</v>
      </c>
      <c r="G963" s="487">
        <v>1181</v>
      </c>
      <c r="H963" s="268" t="s">
        <v>1074</v>
      </c>
    </row>
    <row r="964" spans="1:8">
      <c r="A964" s="427">
        <v>5</v>
      </c>
      <c r="B964" s="271" t="s">
        <v>6209</v>
      </c>
      <c r="C964" s="290" t="s">
        <v>6207</v>
      </c>
      <c r="D964" s="290" t="s">
        <v>6213</v>
      </c>
      <c r="E964" s="268" t="s">
        <v>6210</v>
      </c>
      <c r="F964" s="268" t="s">
        <v>6211</v>
      </c>
      <c r="G964" s="487">
        <v>2000</v>
      </c>
      <c r="H964" s="367" t="s">
        <v>6212</v>
      </c>
    </row>
    <row r="965" spans="1:8">
      <c r="A965" s="427">
        <v>6</v>
      </c>
      <c r="B965" s="271" t="s">
        <v>6161</v>
      </c>
      <c r="C965" s="290" t="s">
        <v>5083</v>
      </c>
      <c r="D965" s="290" t="s">
        <v>6206</v>
      </c>
      <c r="E965" s="268" t="s">
        <v>8927</v>
      </c>
      <c r="F965" s="268" t="s">
        <v>8928</v>
      </c>
      <c r="G965" s="487"/>
      <c r="H965" s="367"/>
    </row>
    <row r="966" spans="1:8" s="292" customFormat="1" ht="82.5">
      <c r="A966" s="427">
        <v>7</v>
      </c>
      <c r="B966" s="273" t="s">
        <v>6404</v>
      </c>
      <c r="C966" s="427" t="s">
        <v>6402</v>
      </c>
      <c r="D966" s="427" t="s">
        <v>6403</v>
      </c>
      <c r="E966" s="427" t="s">
        <v>6405</v>
      </c>
      <c r="F966" s="427" t="s">
        <v>6406</v>
      </c>
      <c r="G966" s="415">
        <v>2950</v>
      </c>
      <c r="H966" s="427" t="s">
        <v>9078</v>
      </c>
    </row>
    <row r="967" spans="1:8" s="292" customFormat="1">
      <c r="A967" s="427">
        <v>8</v>
      </c>
      <c r="B967" s="271" t="s">
        <v>5902</v>
      </c>
      <c r="C967" s="290" t="s">
        <v>5928</v>
      </c>
      <c r="D967" s="427" t="s">
        <v>5903</v>
      </c>
      <c r="E967" s="290" t="s">
        <v>5904</v>
      </c>
      <c r="F967" s="290" t="s">
        <v>5905</v>
      </c>
      <c r="G967" s="415">
        <v>1785</v>
      </c>
      <c r="H967" s="700" t="s">
        <v>9079</v>
      </c>
    </row>
    <row r="968" spans="1:8" s="292" customFormat="1" ht="33">
      <c r="A968" s="427">
        <v>9</v>
      </c>
      <c r="B968" s="271" t="s">
        <v>6685</v>
      </c>
      <c r="C968" s="427" t="s">
        <v>6686</v>
      </c>
      <c r="D968" s="427" t="s">
        <v>6715</v>
      </c>
      <c r="E968" s="290" t="s">
        <v>5905</v>
      </c>
      <c r="F968" s="290" t="s">
        <v>6687</v>
      </c>
      <c r="G968" s="415">
        <v>760</v>
      </c>
      <c r="H968" s="704" t="s">
        <v>9113</v>
      </c>
    </row>
    <row r="969" spans="1:8" s="292" customFormat="1" ht="49.5">
      <c r="A969" s="427">
        <v>10</v>
      </c>
      <c r="B969" s="271" t="s">
        <v>6688</v>
      </c>
      <c r="C969" s="427" t="s">
        <v>6686</v>
      </c>
      <c r="D969" s="427" t="s">
        <v>6715</v>
      </c>
      <c r="E969" s="290" t="s">
        <v>5905</v>
      </c>
      <c r="F969" s="290" t="s">
        <v>6689</v>
      </c>
      <c r="G969" s="415">
        <v>400</v>
      </c>
      <c r="H969" s="701" t="s">
        <v>9114</v>
      </c>
    </row>
    <row r="970" spans="1:8" s="292" customFormat="1" ht="33">
      <c r="A970" s="427">
        <v>11</v>
      </c>
      <c r="B970" s="271" t="s">
        <v>6690</v>
      </c>
      <c r="C970" s="427" t="s">
        <v>6686</v>
      </c>
      <c r="D970" s="427" t="s">
        <v>6715</v>
      </c>
      <c r="E970" s="290" t="s">
        <v>5905</v>
      </c>
      <c r="F970" s="290" t="s">
        <v>6691</v>
      </c>
      <c r="G970" s="415">
        <v>700</v>
      </c>
      <c r="H970" s="712" t="s">
        <v>9115</v>
      </c>
    </row>
    <row r="971" spans="1:8" s="292" customFormat="1" ht="33">
      <c r="A971" s="427">
        <v>12</v>
      </c>
      <c r="B971" s="271" t="s">
        <v>6692</v>
      </c>
      <c r="C971" s="427" t="s">
        <v>6686</v>
      </c>
      <c r="D971" s="427" t="s">
        <v>6715</v>
      </c>
      <c r="E971" s="302" t="s">
        <v>6693</v>
      </c>
      <c r="F971" s="302" t="s">
        <v>6694</v>
      </c>
      <c r="G971" s="415">
        <v>850</v>
      </c>
      <c r="H971" s="712" t="s">
        <v>8109</v>
      </c>
    </row>
    <row r="972" spans="1:8" s="292" customFormat="1" ht="33">
      <c r="A972" s="427">
        <v>13</v>
      </c>
      <c r="B972" s="271" t="s">
        <v>6695</v>
      </c>
      <c r="C972" s="427" t="s">
        <v>6686</v>
      </c>
      <c r="D972" s="427" t="s">
        <v>6715</v>
      </c>
      <c r="E972" s="302" t="s">
        <v>6696</v>
      </c>
      <c r="F972" s="302" t="s">
        <v>5927</v>
      </c>
      <c r="G972" s="415">
        <v>900</v>
      </c>
      <c r="H972" s="712" t="s">
        <v>8109</v>
      </c>
    </row>
    <row r="973" spans="1:8" s="292" customFormat="1" ht="33">
      <c r="A973" s="427">
        <v>14</v>
      </c>
      <c r="B973" s="271" t="s">
        <v>6697</v>
      </c>
      <c r="C973" s="427" t="s">
        <v>6686</v>
      </c>
      <c r="D973" s="427" t="s">
        <v>6715</v>
      </c>
      <c r="E973" s="302" t="s">
        <v>6698</v>
      </c>
      <c r="F973" s="302" t="s">
        <v>5905</v>
      </c>
      <c r="G973" s="415">
        <v>1200</v>
      </c>
      <c r="H973" s="712" t="s">
        <v>9116</v>
      </c>
    </row>
    <row r="974" spans="1:8" s="292" customFormat="1" ht="33">
      <c r="A974" s="427">
        <v>15</v>
      </c>
      <c r="B974" s="271" t="s">
        <v>6699</v>
      </c>
      <c r="C974" s="427" t="s">
        <v>6686</v>
      </c>
      <c r="D974" s="427" t="s">
        <v>6715</v>
      </c>
      <c r="E974" s="302" t="s">
        <v>5931</v>
      </c>
      <c r="F974" s="302" t="s">
        <v>5905</v>
      </c>
      <c r="G974" s="415">
        <v>2000</v>
      </c>
      <c r="H974" s="712" t="s">
        <v>9117</v>
      </c>
    </row>
    <row r="975" spans="1:8" s="292" customFormat="1" ht="33">
      <c r="A975" s="427">
        <v>16</v>
      </c>
      <c r="B975" s="271" t="s">
        <v>6700</v>
      </c>
      <c r="C975" s="427" t="s">
        <v>6686</v>
      </c>
      <c r="D975" s="427" t="s">
        <v>6715</v>
      </c>
      <c r="E975" s="302" t="s">
        <v>6701</v>
      </c>
      <c r="F975" s="302" t="s">
        <v>5905</v>
      </c>
      <c r="G975" s="415">
        <v>400</v>
      </c>
      <c r="H975" s="712" t="s">
        <v>205</v>
      </c>
    </row>
    <row r="976" spans="1:8" s="292" customFormat="1" ht="33">
      <c r="A976" s="427">
        <v>17</v>
      </c>
      <c r="B976" s="293" t="s">
        <v>6702</v>
      </c>
      <c r="C976" s="427" t="s">
        <v>6686</v>
      </c>
      <c r="D976" s="427" t="s">
        <v>6715</v>
      </c>
      <c r="E976" s="368" t="s">
        <v>6703</v>
      </c>
      <c r="F976" s="368" t="s">
        <v>6704</v>
      </c>
      <c r="G976" s="416">
        <v>280</v>
      </c>
      <c r="H976" s="713" t="s">
        <v>9118</v>
      </c>
    </row>
    <row r="977" spans="1:8" s="292" customFormat="1">
      <c r="A977" s="427">
        <v>18</v>
      </c>
      <c r="B977" s="272" t="s">
        <v>6705</v>
      </c>
      <c r="C977" s="427" t="s">
        <v>6686</v>
      </c>
      <c r="D977" s="427" t="s">
        <v>6715</v>
      </c>
      <c r="E977" s="302" t="s">
        <v>6709</v>
      </c>
      <c r="F977" s="302" t="s">
        <v>6710</v>
      </c>
      <c r="G977" s="415">
        <v>3900</v>
      </c>
      <c r="H977" s="303">
        <v>20</v>
      </c>
    </row>
    <row r="978" spans="1:8" s="292" customFormat="1">
      <c r="A978" s="427">
        <v>19</v>
      </c>
      <c r="B978" s="272" t="s">
        <v>6706</v>
      </c>
      <c r="C978" s="427" t="s">
        <v>6686</v>
      </c>
      <c r="D978" s="427" t="s">
        <v>6715</v>
      </c>
      <c r="E978" s="302" t="s">
        <v>6711</v>
      </c>
      <c r="F978" s="302" t="s">
        <v>6710</v>
      </c>
      <c r="G978" s="415">
        <v>2300</v>
      </c>
      <c r="H978" s="303">
        <v>20</v>
      </c>
    </row>
    <row r="979" spans="1:8" s="292" customFormat="1" ht="33">
      <c r="A979" s="427">
        <v>20</v>
      </c>
      <c r="B979" s="272" t="s">
        <v>6707</v>
      </c>
      <c r="C979" s="427" t="s">
        <v>6686</v>
      </c>
      <c r="D979" s="427" t="s">
        <v>6715</v>
      </c>
      <c r="E979" s="290" t="s">
        <v>6712</v>
      </c>
      <c r="F979" s="368" t="s">
        <v>6713</v>
      </c>
      <c r="G979" s="415">
        <v>7400</v>
      </c>
      <c r="H979" s="303" t="s">
        <v>6564</v>
      </c>
    </row>
    <row r="980" spans="1:8" s="292" customFormat="1">
      <c r="A980" s="427">
        <v>21</v>
      </c>
      <c r="B980" s="293" t="s">
        <v>6708</v>
      </c>
      <c r="C980" s="427" t="s">
        <v>6686</v>
      </c>
      <c r="D980" s="427" t="s">
        <v>6715</v>
      </c>
      <c r="E980" s="368" t="s">
        <v>6714</v>
      </c>
      <c r="F980" s="290" t="s">
        <v>5905</v>
      </c>
      <c r="G980" s="415">
        <v>1000</v>
      </c>
      <c r="H980" s="303" t="s">
        <v>741</v>
      </c>
    </row>
    <row r="981" spans="1:8" ht="33">
      <c r="A981" s="427">
        <v>22</v>
      </c>
      <c r="B981" s="484" t="s">
        <v>6581</v>
      </c>
      <c r="C981" s="268" t="s">
        <v>5884</v>
      </c>
      <c r="D981" s="268" t="s">
        <v>6682</v>
      </c>
      <c r="E981" s="268" t="s">
        <v>6582</v>
      </c>
      <c r="F981" s="268" t="s">
        <v>5883</v>
      </c>
      <c r="G981" s="487">
        <v>715</v>
      </c>
      <c r="H981" s="485" t="s">
        <v>6683</v>
      </c>
    </row>
    <row r="982" spans="1:8">
      <c r="A982" s="427">
        <v>23</v>
      </c>
      <c r="B982" s="484" t="s">
        <v>6583</v>
      </c>
      <c r="C982" s="268" t="s">
        <v>5884</v>
      </c>
      <c r="D982" s="268" t="s">
        <v>6682</v>
      </c>
      <c r="E982" s="268" t="s">
        <v>6584</v>
      </c>
      <c r="F982" s="268" t="s">
        <v>5883</v>
      </c>
      <c r="G982" s="487">
        <v>816</v>
      </c>
      <c r="H982" s="485" t="s">
        <v>6684</v>
      </c>
    </row>
    <row r="983" spans="1:8">
      <c r="A983" s="427">
        <v>24</v>
      </c>
      <c r="B983" s="484" t="s">
        <v>6585</v>
      </c>
      <c r="C983" s="268" t="s">
        <v>5884</v>
      </c>
      <c r="D983" s="268" t="s">
        <v>6682</v>
      </c>
      <c r="E983" s="268" t="s">
        <v>6586</v>
      </c>
      <c r="F983" s="268" t="s">
        <v>5883</v>
      </c>
      <c r="G983" s="487">
        <v>1028</v>
      </c>
      <c r="H983" s="485" t="s">
        <v>6587</v>
      </c>
    </row>
    <row r="984" spans="1:8" ht="33">
      <c r="A984" s="427">
        <v>25</v>
      </c>
      <c r="B984" s="484" t="s">
        <v>6325</v>
      </c>
      <c r="C984" s="268" t="s">
        <v>5884</v>
      </c>
      <c r="D984" s="268" t="s">
        <v>6682</v>
      </c>
      <c r="E984" s="268" t="s">
        <v>6588</v>
      </c>
      <c r="F984" s="268" t="s">
        <v>6583</v>
      </c>
      <c r="G984" s="487">
        <v>396</v>
      </c>
      <c r="H984" s="485" t="s">
        <v>6587</v>
      </c>
    </row>
    <row r="985" spans="1:8">
      <c r="A985" s="427">
        <v>26</v>
      </c>
      <c r="B985" s="484" t="s">
        <v>6589</v>
      </c>
      <c r="C985" s="268" t="s">
        <v>5884</v>
      </c>
      <c r="D985" s="268" t="s">
        <v>6682</v>
      </c>
      <c r="E985" s="268" t="s">
        <v>6590</v>
      </c>
      <c r="F985" s="268" t="s">
        <v>6591</v>
      </c>
      <c r="G985" s="487">
        <v>370</v>
      </c>
      <c r="H985" s="485" t="s">
        <v>312</v>
      </c>
    </row>
    <row r="986" spans="1:8">
      <c r="A986" s="427">
        <v>27</v>
      </c>
      <c r="B986" s="484" t="s">
        <v>6592</v>
      </c>
      <c r="C986" s="268" t="s">
        <v>5884</v>
      </c>
      <c r="D986" s="268" t="s">
        <v>6682</v>
      </c>
      <c r="E986" s="268" t="s">
        <v>6593</v>
      </c>
      <c r="F986" s="268" t="s">
        <v>6591</v>
      </c>
      <c r="G986" s="487">
        <v>586</v>
      </c>
      <c r="H986" s="485" t="s">
        <v>188</v>
      </c>
    </row>
    <row r="987" spans="1:8">
      <c r="A987" s="427">
        <v>28</v>
      </c>
      <c r="B987" s="484" t="s">
        <v>6594</v>
      </c>
      <c r="C987" s="268" t="s">
        <v>5884</v>
      </c>
      <c r="D987" s="268" t="s">
        <v>6682</v>
      </c>
      <c r="E987" s="268" t="s">
        <v>6595</v>
      </c>
      <c r="F987" s="268" t="s">
        <v>6591</v>
      </c>
      <c r="G987" s="487">
        <v>660</v>
      </c>
      <c r="H987" s="485" t="s">
        <v>188</v>
      </c>
    </row>
    <row r="988" spans="1:8">
      <c r="A988" s="427">
        <v>29</v>
      </c>
      <c r="B988" s="484" t="s">
        <v>6596</v>
      </c>
      <c r="C988" s="268" t="s">
        <v>5884</v>
      </c>
      <c r="D988" s="268" t="s">
        <v>6682</v>
      </c>
      <c r="E988" s="268" t="s">
        <v>6597</v>
      </c>
      <c r="F988" s="268" t="s">
        <v>6591</v>
      </c>
      <c r="G988" s="487">
        <v>622</v>
      </c>
      <c r="H988" s="485" t="s">
        <v>188</v>
      </c>
    </row>
    <row r="989" spans="1:8">
      <c r="A989" s="427">
        <v>30</v>
      </c>
      <c r="B989" s="484" t="s">
        <v>6598</v>
      </c>
      <c r="C989" s="268" t="s">
        <v>5884</v>
      </c>
      <c r="D989" s="268" t="s">
        <v>6682</v>
      </c>
      <c r="E989" s="268" t="s">
        <v>6599</v>
      </c>
      <c r="F989" s="268" t="s">
        <v>6591</v>
      </c>
      <c r="G989" s="487">
        <v>433</v>
      </c>
      <c r="H989" s="485" t="s">
        <v>188</v>
      </c>
    </row>
    <row r="990" spans="1:8">
      <c r="A990" s="427">
        <v>31</v>
      </c>
      <c r="B990" s="484" t="s">
        <v>6600</v>
      </c>
      <c r="C990" s="268" t="s">
        <v>5884</v>
      </c>
      <c r="D990" s="268" t="s">
        <v>6682</v>
      </c>
      <c r="E990" s="268" t="s">
        <v>6601</v>
      </c>
      <c r="F990" s="268" t="s">
        <v>6591</v>
      </c>
      <c r="G990" s="487">
        <v>310</v>
      </c>
      <c r="H990" s="485" t="s">
        <v>188</v>
      </c>
    </row>
    <row r="991" spans="1:8">
      <c r="A991" s="427">
        <v>32</v>
      </c>
      <c r="B991" s="484" t="s">
        <v>6602</v>
      </c>
      <c r="C991" s="268" t="s">
        <v>5884</v>
      </c>
      <c r="D991" s="268" t="s">
        <v>6682</v>
      </c>
      <c r="E991" s="268" t="s">
        <v>6603</v>
      </c>
      <c r="F991" s="268" t="s">
        <v>6591</v>
      </c>
      <c r="G991" s="487">
        <v>689</v>
      </c>
      <c r="H991" s="485" t="s">
        <v>188</v>
      </c>
    </row>
    <row r="992" spans="1:8" ht="33">
      <c r="A992" s="427">
        <v>33</v>
      </c>
      <c r="B992" s="484" t="s">
        <v>6604</v>
      </c>
      <c r="C992" s="268" t="s">
        <v>5884</v>
      </c>
      <c r="D992" s="268" t="s">
        <v>6682</v>
      </c>
      <c r="E992" s="268" t="s">
        <v>6605</v>
      </c>
      <c r="F992" s="268" t="s">
        <v>6591</v>
      </c>
      <c r="G992" s="487">
        <v>65</v>
      </c>
      <c r="H992" s="485">
        <v>4</v>
      </c>
    </row>
    <row r="993" spans="1:8">
      <c r="A993" s="427">
        <v>34</v>
      </c>
      <c r="B993" s="484" t="s">
        <v>6606</v>
      </c>
      <c r="C993" s="268" t="s">
        <v>5884</v>
      </c>
      <c r="D993" s="268" t="s">
        <v>6682</v>
      </c>
      <c r="E993" s="268" t="s">
        <v>6601</v>
      </c>
      <c r="F993" s="268" t="s">
        <v>6591</v>
      </c>
      <c r="G993" s="487">
        <v>426</v>
      </c>
      <c r="H993" s="485" t="s">
        <v>188</v>
      </c>
    </row>
    <row r="994" spans="1:8">
      <c r="A994" s="427">
        <v>35</v>
      </c>
      <c r="B994" s="484" t="s">
        <v>6607</v>
      </c>
      <c r="C994" s="268" t="s">
        <v>5884</v>
      </c>
      <c r="D994" s="268" t="s">
        <v>6682</v>
      </c>
      <c r="E994" s="268" t="s">
        <v>6601</v>
      </c>
      <c r="F994" s="268" t="s">
        <v>6591</v>
      </c>
      <c r="G994" s="487">
        <v>435</v>
      </c>
      <c r="H994" s="485" t="s">
        <v>224</v>
      </c>
    </row>
    <row r="995" spans="1:8">
      <c r="A995" s="427">
        <v>36</v>
      </c>
      <c r="B995" s="484" t="s">
        <v>6608</v>
      </c>
      <c r="C995" s="268" t="s">
        <v>5884</v>
      </c>
      <c r="D995" s="268" t="s">
        <v>6682</v>
      </c>
      <c r="E995" s="268" t="s">
        <v>6601</v>
      </c>
      <c r="F995" s="268" t="s">
        <v>6591</v>
      </c>
      <c r="G995" s="487">
        <v>437</v>
      </c>
      <c r="H995" s="485" t="s">
        <v>188</v>
      </c>
    </row>
    <row r="996" spans="1:8">
      <c r="A996" s="427">
        <v>37</v>
      </c>
      <c r="B996" s="484" t="s">
        <v>6609</v>
      </c>
      <c r="C996" s="268" t="s">
        <v>5884</v>
      </c>
      <c r="D996" s="268" t="s">
        <v>6682</v>
      </c>
      <c r="E996" s="268" t="s">
        <v>6610</v>
      </c>
      <c r="F996" s="268" t="s">
        <v>5969</v>
      </c>
      <c r="G996" s="487">
        <v>100</v>
      </c>
      <c r="H996" s="485" t="s">
        <v>188</v>
      </c>
    </row>
    <row r="997" spans="1:8">
      <c r="A997" s="427">
        <v>38</v>
      </c>
      <c r="B997" s="484" t="s">
        <v>6611</v>
      </c>
      <c r="C997" s="268" t="s">
        <v>5884</v>
      </c>
      <c r="D997" s="268" t="s">
        <v>6682</v>
      </c>
      <c r="E997" s="268" t="s">
        <v>6612</v>
      </c>
      <c r="F997" s="268" t="s">
        <v>433</v>
      </c>
      <c r="G997" s="487">
        <v>120</v>
      </c>
      <c r="H997" s="485" t="s">
        <v>224</v>
      </c>
    </row>
    <row r="998" spans="1:8">
      <c r="A998" s="427">
        <v>39</v>
      </c>
      <c r="B998" s="484" t="s">
        <v>6613</v>
      </c>
      <c r="C998" s="268" t="s">
        <v>5884</v>
      </c>
      <c r="D998" s="268" t="s">
        <v>6682</v>
      </c>
      <c r="E998" s="268" t="s">
        <v>6614</v>
      </c>
      <c r="F998" s="268" t="s">
        <v>433</v>
      </c>
      <c r="G998" s="487">
        <v>627</v>
      </c>
      <c r="H998" s="485" t="s">
        <v>224</v>
      </c>
    </row>
    <row r="999" spans="1:8">
      <c r="A999" s="427">
        <v>40</v>
      </c>
      <c r="B999" s="484" t="s">
        <v>6615</v>
      </c>
      <c r="C999" s="268" t="s">
        <v>5884</v>
      </c>
      <c r="D999" s="268" t="s">
        <v>6682</v>
      </c>
      <c r="E999" s="268" t="s">
        <v>6616</v>
      </c>
      <c r="F999" s="268" t="s">
        <v>433</v>
      </c>
      <c r="G999" s="487">
        <v>85</v>
      </c>
      <c r="H999" s="485" t="s">
        <v>188</v>
      </c>
    </row>
    <row r="1000" spans="1:8">
      <c r="A1000" s="427">
        <v>41</v>
      </c>
      <c r="B1000" s="484" t="s">
        <v>6614</v>
      </c>
      <c r="C1000" s="268" t="s">
        <v>5884</v>
      </c>
      <c r="D1000" s="268" t="s">
        <v>6682</v>
      </c>
      <c r="E1000" s="268" t="s">
        <v>6617</v>
      </c>
      <c r="F1000" s="268" t="s">
        <v>433</v>
      </c>
      <c r="G1000" s="487">
        <v>1721</v>
      </c>
      <c r="H1000" s="485" t="s">
        <v>226</v>
      </c>
    </row>
    <row r="1001" spans="1:8" ht="33">
      <c r="A1001" s="427">
        <v>42</v>
      </c>
      <c r="B1001" s="484" t="s">
        <v>6618</v>
      </c>
      <c r="C1001" s="268" t="s">
        <v>5884</v>
      </c>
      <c r="D1001" s="268" t="s">
        <v>6682</v>
      </c>
      <c r="E1001" s="268" t="s">
        <v>6619</v>
      </c>
      <c r="F1001" s="268" t="s">
        <v>433</v>
      </c>
      <c r="G1001" s="487">
        <v>267</v>
      </c>
      <c r="H1001" s="485" t="s">
        <v>188</v>
      </c>
    </row>
    <row r="1002" spans="1:8">
      <c r="A1002" s="427">
        <v>43</v>
      </c>
      <c r="B1002" s="484" t="s">
        <v>6620</v>
      </c>
      <c r="C1002" s="268" t="s">
        <v>5884</v>
      </c>
      <c r="D1002" s="268" t="s">
        <v>6682</v>
      </c>
      <c r="E1002" s="268" t="s">
        <v>6621</v>
      </c>
      <c r="F1002" s="268" t="s">
        <v>433</v>
      </c>
      <c r="G1002" s="487">
        <v>350</v>
      </c>
      <c r="H1002" s="485" t="s">
        <v>224</v>
      </c>
    </row>
    <row r="1003" spans="1:8">
      <c r="A1003" s="427">
        <v>44</v>
      </c>
      <c r="B1003" s="484" t="s">
        <v>2423</v>
      </c>
      <c r="C1003" s="268" t="s">
        <v>5884</v>
      </c>
      <c r="D1003" s="268" t="s">
        <v>6682</v>
      </c>
      <c r="E1003" s="268" t="s">
        <v>6622</v>
      </c>
      <c r="F1003" s="268" t="s">
        <v>433</v>
      </c>
      <c r="G1003" s="487">
        <v>180</v>
      </c>
      <c r="H1003" s="485" t="s">
        <v>224</v>
      </c>
    </row>
    <row r="1004" spans="1:8" ht="33">
      <c r="A1004" s="427">
        <v>45</v>
      </c>
      <c r="B1004" s="484" t="s">
        <v>6623</v>
      </c>
      <c r="C1004" s="268" t="s">
        <v>5884</v>
      </c>
      <c r="D1004" s="268" t="s">
        <v>6682</v>
      </c>
      <c r="E1004" s="268" t="s">
        <v>6624</v>
      </c>
      <c r="F1004" s="268" t="s">
        <v>5883</v>
      </c>
      <c r="G1004" s="487">
        <v>536</v>
      </c>
      <c r="H1004" s="485" t="s">
        <v>224</v>
      </c>
    </row>
    <row r="1005" spans="1:8" ht="33">
      <c r="A1005" s="427">
        <v>46</v>
      </c>
      <c r="B1005" s="484" t="s">
        <v>6625</v>
      </c>
      <c r="C1005" s="268" t="s">
        <v>5884</v>
      </c>
      <c r="D1005" s="268" t="s">
        <v>6682</v>
      </c>
      <c r="E1005" s="268" t="s">
        <v>6626</v>
      </c>
      <c r="F1005" s="268" t="s">
        <v>433</v>
      </c>
      <c r="G1005" s="487">
        <v>542</v>
      </c>
      <c r="H1005" s="485" t="s">
        <v>224</v>
      </c>
    </row>
    <row r="1006" spans="1:8">
      <c r="A1006" s="427">
        <v>47</v>
      </c>
      <c r="B1006" s="484" t="s">
        <v>6627</v>
      </c>
      <c r="C1006" s="268" t="s">
        <v>5884</v>
      </c>
      <c r="D1006" s="268" t="s">
        <v>6682</v>
      </c>
      <c r="E1006" s="268" t="s">
        <v>6628</v>
      </c>
      <c r="F1006" s="268" t="s">
        <v>433</v>
      </c>
      <c r="G1006" s="487">
        <v>1692</v>
      </c>
      <c r="H1006" s="485" t="s">
        <v>6629</v>
      </c>
    </row>
    <row r="1007" spans="1:8" ht="33">
      <c r="A1007" s="427">
        <v>48</v>
      </c>
      <c r="B1007" s="484" t="s">
        <v>6630</v>
      </c>
      <c r="C1007" s="268" t="s">
        <v>5884</v>
      </c>
      <c r="D1007" s="268" t="s">
        <v>6682</v>
      </c>
      <c r="E1007" s="268" t="s">
        <v>6631</v>
      </c>
      <c r="F1007" s="268" t="s">
        <v>433</v>
      </c>
      <c r="G1007" s="487">
        <v>268</v>
      </c>
      <c r="H1007" s="485" t="s">
        <v>224</v>
      </c>
    </row>
    <row r="1008" spans="1:8" ht="33">
      <c r="A1008" s="427">
        <v>49</v>
      </c>
      <c r="B1008" s="484" t="s">
        <v>2958</v>
      </c>
      <c r="C1008" s="268" t="s">
        <v>5884</v>
      </c>
      <c r="D1008" s="268" t="s">
        <v>6682</v>
      </c>
      <c r="E1008" s="268" t="s">
        <v>6632</v>
      </c>
      <c r="F1008" s="268" t="s">
        <v>433</v>
      </c>
      <c r="G1008" s="487">
        <v>180</v>
      </c>
      <c r="H1008" s="485" t="s">
        <v>224</v>
      </c>
    </row>
    <row r="1009" spans="1:8" ht="33">
      <c r="A1009" s="427">
        <v>50</v>
      </c>
      <c r="B1009" s="484" t="s">
        <v>6633</v>
      </c>
      <c r="C1009" s="268" t="s">
        <v>5884</v>
      </c>
      <c r="D1009" s="268" t="s">
        <v>6682</v>
      </c>
      <c r="E1009" s="268" t="s">
        <v>6634</v>
      </c>
      <c r="F1009" s="268" t="s">
        <v>433</v>
      </c>
      <c r="G1009" s="487">
        <v>400</v>
      </c>
      <c r="H1009" s="485" t="s">
        <v>6587</v>
      </c>
    </row>
    <row r="1010" spans="1:8">
      <c r="A1010" s="427">
        <v>51</v>
      </c>
      <c r="B1010" s="484" t="s">
        <v>6635</v>
      </c>
      <c r="C1010" s="268" t="s">
        <v>5884</v>
      </c>
      <c r="D1010" s="268" t="s">
        <v>6682</v>
      </c>
      <c r="E1010" s="268" t="s">
        <v>6636</v>
      </c>
      <c r="F1010" s="268" t="s">
        <v>5883</v>
      </c>
      <c r="G1010" s="487">
        <v>185</v>
      </c>
      <c r="H1010" s="485" t="s">
        <v>224</v>
      </c>
    </row>
    <row r="1011" spans="1:8">
      <c r="A1011" s="427">
        <v>52</v>
      </c>
      <c r="B1011" s="484" t="s">
        <v>6122</v>
      </c>
      <c r="C1011" s="268" t="s">
        <v>5884</v>
      </c>
      <c r="D1011" s="268" t="s">
        <v>6682</v>
      </c>
      <c r="E1011" s="268" t="s">
        <v>6637</v>
      </c>
      <c r="F1011" s="268" t="s">
        <v>433</v>
      </c>
      <c r="G1011" s="487">
        <v>548</v>
      </c>
      <c r="H1011" s="485" t="s">
        <v>6587</v>
      </c>
    </row>
    <row r="1012" spans="1:8" ht="33">
      <c r="A1012" s="427">
        <v>53</v>
      </c>
      <c r="B1012" s="484" t="s">
        <v>6638</v>
      </c>
      <c r="C1012" s="268" t="s">
        <v>5884</v>
      </c>
      <c r="D1012" s="268" t="s">
        <v>6682</v>
      </c>
      <c r="E1012" s="268" t="s">
        <v>6639</v>
      </c>
      <c r="F1012" s="268" t="s">
        <v>433</v>
      </c>
      <c r="G1012" s="487">
        <v>200</v>
      </c>
      <c r="H1012" s="485" t="s">
        <v>224</v>
      </c>
    </row>
    <row r="1013" spans="1:8">
      <c r="A1013" s="427">
        <v>54</v>
      </c>
      <c r="B1013" s="484" t="s">
        <v>6640</v>
      </c>
      <c r="C1013" s="268" t="s">
        <v>5884</v>
      </c>
      <c r="D1013" s="268" t="s">
        <v>6682</v>
      </c>
      <c r="E1013" s="268" t="s">
        <v>6641</v>
      </c>
      <c r="F1013" s="268" t="s">
        <v>433</v>
      </c>
      <c r="G1013" s="487">
        <v>150</v>
      </c>
      <c r="H1013" s="485" t="s">
        <v>224</v>
      </c>
    </row>
    <row r="1014" spans="1:8" ht="33">
      <c r="A1014" s="427">
        <v>55</v>
      </c>
      <c r="B1014" s="484" t="s">
        <v>6642</v>
      </c>
      <c r="C1014" s="268" t="s">
        <v>5884</v>
      </c>
      <c r="D1014" s="268" t="s">
        <v>6682</v>
      </c>
      <c r="E1014" s="268" t="s">
        <v>6643</v>
      </c>
      <c r="F1014" s="268" t="s">
        <v>5874</v>
      </c>
      <c r="G1014" s="487">
        <v>420</v>
      </c>
      <c r="H1014" s="485" t="s">
        <v>224</v>
      </c>
    </row>
    <row r="1015" spans="1:8">
      <c r="A1015" s="427">
        <v>56</v>
      </c>
      <c r="B1015" s="484" t="s">
        <v>6644</v>
      </c>
      <c r="C1015" s="268" t="s">
        <v>5884</v>
      </c>
      <c r="D1015" s="268" t="s">
        <v>6682</v>
      </c>
      <c r="E1015" s="268" t="s">
        <v>6628</v>
      </c>
      <c r="F1015" s="268" t="s">
        <v>433</v>
      </c>
      <c r="G1015" s="487">
        <v>245</v>
      </c>
      <c r="H1015" s="485" t="s">
        <v>210</v>
      </c>
    </row>
    <row r="1016" spans="1:8" ht="33">
      <c r="A1016" s="427">
        <v>57</v>
      </c>
      <c r="B1016" s="484" t="s">
        <v>6645</v>
      </c>
      <c r="C1016" s="268" t="s">
        <v>5884</v>
      </c>
      <c r="D1016" s="268" t="s">
        <v>6682</v>
      </c>
      <c r="E1016" s="268" t="s">
        <v>6646</v>
      </c>
      <c r="F1016" s="268" t="s">
        <v>5874</v>
      </c>
      <c r="G1016" s="487">
        <v>450</v>
      </c>
      <c r="H1016" s="485" t="s">
        <v>6587</v>
      </c>
    </row>
    <row r="1017" spans="1:8" ht="33">
      <c r="A1017" s="427">
        <v>58</v>
      </c>
      <c r="B1017" s="484" t="s">
        <v>6647</v>
      </c>
      <c r="C1017" s="268" t="s">
        <v>5884</v>
      </c>
      <c r="D1017" s="268" t="s">
        <v>6682</v>
      </c>
      <c r="E1017" s="268" t="s">
        <v>6648</v>
      </c>
      <c r="F1017" s="268" t="s">
        <v>5874</v>
      </c>
      <c r="G1017" s="487">
        <v>200</v>
      </c>
      <c r="H1017" s="485" t="s">
        <v>4415</v>
      </c>
    </row>
    <row r="1018" spans="1:8">
      <c r="A1018" s="427">
        <v>59</v>
      </c>
      <c r="B1018" s="484" t="s">
        <v>6649</v>
      </c>
      <c r="C1018" s="268" t="s">
        <v>5884</v>
      </c>
      <c r="D1018" s="268" t="s">
        <v>6682</v>
      </c>
      <c r="E1018" s="268" t="s">
        <v>6650</v>
      </c>
      <c r="F1018" s="268" t="s">
        <v>433</v>
      </c>
      <c r="G1018" s="487">
        <v>180</v>
      </c>
      <c r="H1018" s="485" t="s">
        <v>220</v>
      </c>
    </row>
    <row r="1019" spans="1:8">
      <c r="A1019" s="427">
        <v>60</v>
      </c>
      <c r="B1019" s="484" t="s">
        <v>6651</v>
      </c>
      <c r="C1019" s="268" t="s">
        <v>5884</v>
      </c>
      <c r="D1019" s="268" t="s">
        <v>6682</v>
      </c>
      <c r="E1019" s="268" t="s">
        <v>6628</v>
      </c>
      <c r="F1019" s="268" t="s">
        <v>433</v>
      </c>
      <c r="G1019" s="487">
        <v>675</v>
      </c>
      <c r="H1019" s="485" t="s">
        <v>6587</v>
      </c>
    </row>
    <row r="1020" spans="1:8">
      <c r="A1020" s="427">
        <v>61</v>
      </c>
      <c r="B1020" s="484" t="s">
        <v>6652</v>
      </c>
      <c r="C1020" s="268" t="s">
        <v>5884</v>
      </c>
      <c r="D1020" s="268" t="s">
        <v>6682</v>
      </c>
      <c r="E1020" s="268" t="s">
        <v>6653</v>
      </c>
      <c r="F1020" s="268" t="s">
        <v>433</v>
      </c>
      <c r="G1020" s="487">
        <v>250</v>
      </c>
      <c r="H1020" s="485" t="s">
        <v>224</v>
      </c>
    </row>
    <row r="1021" spans="1:8">
      <c r="A1021" s="427">
        <v>62</v>
      </c>
      <c r="B1021" s="484" t="s">
        <v>6654</v>
      </c>
      <c r="C1021" s="268" t="s">
        <v>5884</v>
      </c>
      <c r="D1021" s="268" t="s">
        <v>6682</v>
      </c>
      <c r="E1021" s="268" t="s">
        <v>6655</v>
      </c>
      <c r="F1021" s="268" t="s">
        <v>433</v>
      </c>
      <c r="G1021" s="487">
        <v>1100</v>
      </c>
      <c r="H1021" s="485" t="s">
        <v>182</v>
      </c>
    </row>
    <row r="1022" spans="1:8">
      <c r="A1022" s="427">
        <v>63</v>
      </c>
      <c r="B1022" s="484" t="s">
        <v>6656</v>
      </c>
      <c r="C1022" s="268" t="s">
        <v>5884</v>
      </c>
      <c r="D1022" s="268" t="s">
        <v>6682</v>
      </c>
      <c r="E1022" s="268" t="s">
        <v>6654</v>
      </c>
      <c r="F1022" s="268" t="s">
        <v>433</v>
      </c>
      <c r="G1022" s="487">
        <v>420</v>
      </c>
      <c r="H1022" s="485" t="s">
        <v>210</v>
      </c>
    </row>
    <row r="1023" spans="1:8">
      <c r="A1023" s="427">
        <v>64</v>
      </c>
      <c r="B1023" s="484" t="s">
        <v>6657</v>
      </c>
      <c r="C1023" s="268" t="s">
        <v>5884</v>
      </c>
      <c r="D1023" s="268" t="s">
        <v>6682</v>
      </c>
      <c r="E1023" s="268" t="s">
        <v>6658</v>
      </c>
      <c r="F1023" s="268" t="s">
        <v>433</v>
      </c>
      <c r="G1023" s="487">
        <v>200</v>
      </c>
      <c r="H1023" s="485" t="s">
        <v>210</v>
      </c>
    </row>
    <row r="1024" spans="1:8">
      <c r="A1024" s="427">
        <v>65</v>
      </c>
      <c r="B1024" s="484" t="s">
        <v>6659</v>
      </c>
      <c r="C1024" s="268" t="s">
        <v>5884</v>
      </c>
      <c r="D1024" s="268" t="s">
        <v>6682</v>
      </c>
      <c r="E1024" s="268" t="s">
        <v>6660</v>
      </c>
      <c r="F1024" s="268" t="s">
        <v>433</v>
      </c>
      <c r="G1024" s="487">
        <v>150</v>
      </c>
      <c r="H1024" s="485" t="s">
        <v>224</v>
      </c>
    </row>
    <row r="1025" spans="1:8" s="292" customFormat="1">
      <c r="A1025" s="427">
        <v>66</v>
      </c>
      <c r="B1025" s="484" t="s">
        <v>6655</v>
      </c>
      <c r="C1025" s="268" t="s">
        <v>5884</v>
      </c>
      <c r="D1025" s="268" t="s">
        <v>6682</v>
      </c>
      <c r="E1025" s="268" t="s">
        <v>5976</v>
      </c>
      <c r="F1025" s="268" t="s">
        <v>433</v>
      </c>
      <c r="G1025" s="487">
        <v>765</v>
      </c>
      <c r="H1025" s="485" t="s">
        <v>6587</v>
      </c>
    </row>
    <row r="1026" spans="1:8" s="292" customFormat="1">
      <c r="A1026" s="427">
        <v>67</v>
      </c>
      <c r="B1026" s="484" t="s">
        <v>5877</v>
      </c>
      <c r="C1026" s="268" t="s">
        <v>5884</v>
      </c>
      <c r="D1026" s="268" t="s">
        <v>6682</v>
      </c>
      <c r="E1026" s="268" t="s">
        <v>6661</v>
      </c>
      <c r="F1026" s="268" t="s">
        <v>5874</v>
      </c>
      <c r="G1026" s="487">
        <v>900</v>
      </c>
      <c r="H1026" s="485" t="s">
        <v>6587</v>
      </c>
    </row>
    <row r="1027" spans="1:8" s="292" customFormat="1">
      <c r="A1027" s="427">
        <v>68</v>
      </c>
      <c r="B1027" s="484" t="s">
        <v>6662</v>
      </c>
      <c r="C1027" s="268" t="s">
        <v>5884</v>
      </c>
      <c r="D1027" s="268" t="s">
        <v>6682</v>
      </c>
      <c r="E1027" s="268" t="s">
        <v>6663</v>
      </c>
      <c r="F1027" s="268" t="s">
        <v>5874</v>
      </c>
      <c r="G1027" s="487">
        <v>550</v>
      </c>
      <c r="H1027" s="485" t="s">
        <v>210</v>
      </c>
    </row>
    <row r="1028" spans="1:8" s="292" customFormat="1">
      <c r="A1028" s="427">
        <v>69</v>
      </c>
      <c r="B1028" s="484" t="s">
        <v>6664</v>
      </c>
      <c r="C1028" s="268" t="s">
        <v>5884</v>
      </c>
      <c r="D1028" s="268" t="s">
        <v>6682</v>
      </c>
      <c r="E1028" s="268" t="s">
        <v>6661</v>
      </c>
      <c r="F1028" s="268" t="s">
        <v>5874</v>
      </c>
      <c r="G1028" s="487">
        <v>500</v>
      </c>
      <c r="H1028" s="485" t="s">
        <v>224</v>
      </c>
    </row>
    <row r="1029" spans="1:8" s="292" customFormat="1">
      <c r="A1029" s="427">
        <v>70</v>
      </c>
      <c r="B1029" s="484" t="s">
        <v>6665</v>
      </c>
      <c r="C1029" s="268" t="s">
        <v>5884</v>
      </c>
      <c r="D1029" s="268" t="s">
        <v>6682</v>
      </c>
      <c r="E1029" s="268" t="s">
        <v>6666</v>
      </c>
      <c r="F1029" s="268" t="s">
        <v>6661</v>
      </c>
      <c r="G1029" s="487">
        <v>200</v>
      </c>
      <c r="H1029" s="485" t="s">
        <v>224</v>
      </c>
    </row>
    <row r="1030" spans="1:8" s="292" customFormat="1">
      <c r="A1030" s="427">
        <v>71</v>
      </c>
      <c r="B1030" s="484" t="s">
        <v>2981</v>
      </c>
      <c r="C1030" s="268" t="s">
        <v>5884</v>
      </c>
      <c r="D1030" s="268" t="s">
        <v>6682</v>
      </c>
      <c r="E1030" s="268" t="s">
        <v>6667</v>
      </c>
      <c r="F1030" s="268" t="s">
        <v>433</v>
      </c>
      <c r="G1030" s="487">
        <v>500</v>
      </c>
      <c r="H1030" s="485" t="s">
        <v>224</v>
      </c>
    </row>
    <row r="1031" spans="1:8" s="292" customFormat="1">
      <c r="A1031" s="427">
        <v>72</v>
      </c>
      <c r="B1031" s="484" t="s">
        <v>6668</v>
      </c>
      <c r="C1031" s="268" t="s">
        <v>5884</v>
      </c>
      <c r="D1031" s="268" t="s">
        <v>6682</v>
      </c>
      <c r="E1031" s="268" t="s">
        <v>6669</v>
      </c>
      <c r="F1031" s="268" t="s">
        <v>433</v>
      </c>
      <c r="G1031" s="487">
        <v>300</v>
      </c>
      <c r="H1031" s="485" t="s">
        <v>224</v>
      </c>
    </row>
    <row r="1032" spans="1:8" s="292" customFormat="1">
      <c r="A1032" s="427">
        <v>73</v>
      </c>
      <c r="B1032" s="484" t="s">
        <v>6670</v>
      </c>
      <c r="C1032" s="268" t="s">
        <v>5884</v>
      </c>
      <c r="D1032" s="268" t="s">
        <v>6682</v>
      </c>
      <c r="E1032" s="268" t="s">
        <v>6671</v>
      </c>
      <c r="F1032" s="268" t="s">
        <v>433</v>
      </c>
      <c r="G1032" s="487">
        <v>160</v>
      </c>
      <c r="H1032" s="485" t="s">
        <v>224</v>
      </c>
    </row>
    <row r="1033" spans="1:8" s="292" customFormat="1">
      <c r="A1033" s="427">
        <v>74</v>
      </c>
      <c r="B1033" s="484" t="s">
        <v>2936</v>
      </c>
      <c r="C1033" s="268" t="s">
        <v>5884</v>
      </c>
      <c r="D1033" s="268" t="s">
        <v>6682</v>
      </c>
      <c r="E1033" s="268" t="s">
        <v>6672</v>
      </c>
      <c r="F1033" s="268" t="s">
        <v>433</v>
      </c>
      <c r="G1033" s="487">
        <v>380</v>
      </c>
      <c r="H1033" s="485" t="s">
        <v>224</v>
      </c>
    </row>
    <row r="1034" spans="1:8" s="292" customFormat="1">
      <c r="A1034" s="427">
        <v>75</v>
      </c>
      <c r="B1034" s="484" t="s">
        <v>6673</v>
      </c>
      <c r="C1034" s="268" t="s">
        <v>5884</v>
      </c>
      <c r="D1034" s="268" t="s">
        <v>6682</v>
      </c>
      <c r="E1034" s="268" t="s">
        <v>6674</v>
      </c>
      <c r="F1034" s="268" t="s">
        <v>433</v>
      </c>
      <c r="G1034" s="487">
        <v>600</v>
      </c>
      <c r="H1034" s="485" t="s">
        <v>224</v>
      </c>
    </row>
    <row r="1035" spans="1:8" s="292" customFormat="1" ht="33">
      <c r="A1035" s="427">
        <v>76</v>
      </c>
      <c r="B1035" s="484" t="s">
        <v>6675</v>
      </c>
      <c r="C1035" s="268" t="s">
        <v>5884</v>
      </c>
      <c r="D1035" s="268" t="s">
        <v>6682</v>
      </c>
      <c r="E1035" s="268" t="s">
        <v>6676</v>
      </c>
      <c r="F1035" s="268" t="s">
        <v>433</v>
      </c>
      <c r="G1035" s="487">
        <v>651</v>
      </c>
      <c r="H1035" s="485" t="s">
        <v>224</v>
      </c>
    </row>
    <row r="1036" spans="1:8" s="292" customFormat="1">
      <c r="A1036" s="427">
        <v>77</v>
      </c>
      <c r="B1036" s="484" t="s">
        <v>6677</v>
      </c>
      <c r="C1036" s="268" t="s">
        <v>5884</v>
      </c>
      <c r="D1036" s="268" t="s">
        <v>6682</v>
      </c>
      <c r="E1036" s="268" t="s">
        <v>6678</v>
      </c>
      <c r="F1036" s="268" t="s">
        <v>433</v>
      </c>
      <c r="G1036" s="487">
        <v>269</v>
      </c>
      <c r="H1036" s="485" t="s">
        <v>224</v>
      </c>
    </row>
    <row r="1037" spans="1:8" s="292" customFormat="1" ht="33">
      <c r="A1037" s="427">
        <v>78</v>
      </c>
      <c r="B1037" s="484" t="s">
        <v>6679</v>
      </c>
      <c r="C1037" s="268" t="s">
        <v>5884</v>
      </c>
      <c r="D1037" s="268" t="s">
        <v>6682</v>
      </c>
      <c r="E1037" s="268" t="s">
        <v>6680</v>
      </c>
      <c r="F1037" s="268" t="s">
        <v>433</v>
      </c>
      <c r="G1037" s="487">
        <v>900</v>
      </c>
      <c r="H1037" s="485" t="s">
        <v>6587</v>
      </c>
    </row>
    <row r="1038" spans="1:8" s="292" customFormat="1">
      <c r="A1038" s="427">
        <v>79</v>
      </c>
      <c r="B1038" s="484" t="s">
        <v>6681</v>
      </c>
      <c r="C1038" s="268" t="s">
        <v>5884</v>
      </c>
      <c r="D1038" s="268" t="s">
        <v>6682</v>
      </c>
      <c r="E1038" s="268" t="s">
        <v>5976</v>
      </c>
      <c r="F1038" s="268" t="s">
        <v>433</v>
      </c>
      <c r="G1038" s="487">
        <v>978</v>
      </c>
      <c r="H1038" s="485" t="s">
        <v>6587</v>
      </c>
    </row>
    <row r="1039" spans="1:8" s="292" customFormat="1" ht="33">
      <c r="A1039" s="427">
        <v>80</v>
      </c>
      <c r="B1039" s="273" t="s">
        <v>6269</v>
      </c>
      <c r="C1039" s="427" t="s">
        <v>6270</v>
      </c>
      <c r="D1039" s="427" t="s">
        <v>7360</v>
      </c>
      <c r="E1039" s="290" t="s">
        <v>6271</v>
      </c>
      <c r="F1039" s="290" t="s">
        <v>433</v>
      </c>
      <c r="G1039" s="415">
        <v>1892</v>
      </c>
      <c r="H1039" s="701" t="s">
        <v>213</v>
      </c>
    </row>
    <row r="1040" spans="1:8" s="292" customFormat="1">
      <c r="A1040" s="427">
        <v>81</v>
      </c>
      <c r="B1040" s="271" t="s">
        <v>6272</v>
      </c>
      <c r="C1040" s="427" t="s">
        <v>6270</v>
      </c>
      <c r="D1040" s="427" t="s">
        <v>7360</v>
      </c>
      <c r="E1040" s="290" t="s">
        <v>6273</v>
      </c>
      <c r="F1040" s="290" t="s">
        <v>6269</v>
      </c>
      <c r="G1040" s="415">
        <v>158</v>
      </c>
      <c r="H1040" s="701" t="s">
        <v>9080</v>
      </c>
    </row>
    <row r="1041" spans="1:8" s="292" customFormat="1">
      <c r="A1041" s="427">
        <v>82</v>
      </c>
      <c r="B1041" s="271" t="s">
        <v>6274</v>
      </c>
      <c r="C1041" s="427" t="s">
        <v>6270</v>
      </c>
      <c r="D1041" s="427" t="s">
        <v>7360</v>
      </c>
      <c r="E1041" s="290" t="s">
        <v>6275</v>
      </c>
      <c r="F1041" s="290" t="s">
        <v>6269</v>
      </c>
      <c r="G1041" s="415">
        <v>172</v>
      </c>
      <c r="H1041" s="290">
        <v>2.5</v>
      </c>
    </row>
    <row r="1042" spans="1:8" s="292" customFormat="1">
      <c r="A1042" s="427">
        <v>83</v>
      </c>
      <c r="B1042" s="271" t="s">
        <v>6276</v>
      </c>
      <c r="C1042" s="427" t="s">
        <v>6270</v>
      </c>
      <c r="D1042" s="427" t="s">
        <v>7360</v>
      </c>
      <c r="E1042" s="290" t="s">
        <v>6277</v>
      </c>
      <c r="F1042" s="290" t="s">
        <v>6269</v>
      </c>
      <c r="G1042" s="415">
        <v>75</v>
      </c>
      <c r="H1042" s="290">
        <v>2.5</v>
      </c>
    </row>
    <row r="1043" spans="1:8" s="292" customFormat="1">
      <c r="A1043" s="427">
        <v>84</v>
      </c>
      <c r="B1043" s="271" t="s">
        <v>6278</v>
      </c>
      <c r="C1043" s="427" t="s">
        <v>6270</v>
      </c>
      <c r="D1043" s="427" t="s">
        <v>7360</v>
      </c>
      <c r="E1043" s="290" t="s">
        <v>6279</v>
      </c>
      <c r="F1043" s="290" t="s">
        <v>6269</v>
      </c>
      <c r="G1043" s="415">
        <v>125</v>
      </c>
      <c r="H1043" s="290">
        <v>7.8</v>
      </c>
    </row>
    <row r="1044" spans="1:8" s="292" customFormat="1" ht="33">
      <c r="A1044" s="427">
        <v>85</v>
      </c>
      <c r="B1044" s="271" t="s">
        <v>6280</v>
      </c>
      <c r="C1044" s="427" t="s">
        <v>6270</v>
      </c>
      <c r="D1044" s="427" t="s">
        <v>7360</v>
      </c>
      <c r="E1044" s="290" t="s">
        <v>6281</v>
      </c>
      <c r="F1044" s="290" t="s">
        <v>433</v>
      </c>
      <c r="G1044" s="415">
        <v>2000</v>
      </c>
      <c r="H1044" s="701" t="s">
        <v>997</v>
      </c>
    </row>
    <row r="1045" spans="1:8" s="292" customFormat="1" ht="33">
      <c r="A1045" s="427">
        <v>86</v>
      </c>
      <c r="B1045" s="271" t="s">
        <v>6282</v>
      </c>
      <c r="C1045" s="427" t="s">
        <v>6270</v>
      </c>
      <c r="D1045" s="427" t="s">
        <v>7360</v>
      </c>
      <c r="E1045" s="290" t="s">
        <v>6283</v>
      </c>
      <c r="F1045" s="290" t="s">
        <v>6280</v>
      </c>
      <c r="G1045" s="415">
        <v>489</v>
      </c>
      <c r="H1045" s="290">
        <v>3.1</v>
      </c>
    </row>
    <row r="1046" spans="1:8" s="292" customFormat="1" ht="33">
      <c r="A1046" s="427">
        <v>87</v>
      </c>
      <c r="B1046" s="271" t="s">
        <v>6284</v>
      </c>
      <c r="C1046" s="427" t="s">
        <v>6270</v>
      </c>
      <c r="D1046" s="427" t="s">
        <v>7360</v>
      </c>
      <c r="E1046" s="290" t="s">
        <v>6285</v>
      </c>
      <c r="F1046" s="290" t="s">
        <v>6280</v>
      </c>
      <c r="G1046" s="415">
        <v>113</v>
      </c>
      <c r="H1046" s="290">
        <v>2.7</v>
      </c>
    </row>
    <row r="1047" spans="1:8" s="292" customFormat="1" ht="33">
      <c r="A1047" s="427">
        <v>88</v>
      </c>
      <c r="B1047" s="271" t="s">
        <v>6286</v>
      </c>
      <c r="C1047" s="427" t="s">
        <v>6270</v>
      </c>
      <c r="D1047" s="427" t="s">
        <v>7360</v>
      </c>
      <c r="E1047" s="290" t="s">
        <v>6287</v>
      </c>
      <c r="F1047" s="290" t="s">
        <v>6280</v>
      </c>
      <c r="G1047" s="415">
        <v>157</v>
      </c>
      <c r="H1047" s="290">
        <v>5.4</v>
      </c>
    </row>
    <row r="1048" spans="1:8" s="292" customFormat="1" ht="33">
      <c r="A1048" s="427">
        <v>89</v>
      </c>
      <c r="B1048" s="271" t="s">
        <v>6288</v>
      </c>
      <c r="C1048" s="427" t="s">
        <v>6270</v>
      </c>
      <c r="D1048" s="427" t="s">
        <v>7360</v>
      </c>
      <c r="E1048" s="290" t="s">
        <v>6289</v>
      </c>
      <c r="F1048" s="290" t="s">
        <v>6280</v>
      </c>
      <c r="G1048" s="415">
        <v>179</v>
      </c>
      <c r="H1048" s="290">
        <v>2.4</v>
      </c>
    </row>
    <row r="1049" spans="1:8" s="292" customFormat="1">
      <c r="A1049" s="427">
        <v>90</v>
      </c>
      <c r="B1049" s="271" t="s">
        <v>6290</v>
      </c>
      <c r="C1049" s="427" t="s">
        <v>6270</v>
      </c>
      <c r="D1049" s="427" t="s">
        <v>7360</v>
      </c>
      <c r="E1049" s="290" t="s">
        <v>6291</v>
      </c>
      <c r="F1049" s="290" t="s">
        <v>6280</v>
      </c>
      <c r="G1049" s="415">
        <v>53</v>
      </c>
      <c r="H1049" s="290">
        <v>2.5</v>
      </c>
    </row>
    <row r="1050" spans="1:8" s="292" customFormat="1">
      <c r="A1050" s="427">
        <v>91</v>
      </c>
      <c r="B1050" s="271" t="s">
        <v>6292</v>
      </c>
      <c r="C1050" s="427" t="s">
        <v>6270</v>
      </c>
      <c r="D1050" s="427" t="s">
        <v>7360</v>
      </c>
      <c r="E1050" s="290" t="s">
        <v>6293</v>
      </c>
      <c r="F1050" s="290" t="s">
        <v>6280</v>
      </c>
      <c r="G1050" s="415">
        <v>97</v>
      </c>
      <c r="H1050" s="290">
        <v>1.7</v>
      </c>
    </row>
    <row r="1051" spans="1:8" s="292" customFormat="1">
      <c r="A1051" s="427">
        <v>92</v>
      </c>
      <c r="B1051" s="271" t="s">
        <v>6294</v>
      </c>
      <c r="C1051" s="427" t="s">
        <v>6270</v>
      </c>
      <c r="D1051" s="427" t="s">
        <v>7360</v>
      </c>
      <c r="E1051" s="290" t="s">
        <v>6295</v>
      </c>
      <c r="F1051" s="290" t="s">
        <v>6296</v>
      </c>
      <c r="G1051" s="415">
        <v>270</v>
      </c>
      <c r="H1051" s="701" t="s">
        <v>9081</v>
      </c>
    </row>
    <row r="1052" spans="1:8" s="292" customFormat="1" ht="33">
      <c r="A1052" s="427">
        <v>93</v>
      </c>
      <c r="B1052" s="271" t="s">
        <v>6297</v>
      </c>
      <c r="C1052" s="427" t="s">
        <v>6270</v>
      </c>
      <c r="D1052" s="427" t="s">
        <v>7360</v>
      </c>
      <c r="E1052" s="290" t="s">
        <v>6298</v>
      </c>
      <c r="F1052" s="290" t="s">
        <v>6299</v>
      </c>
      <c r="G1052" s="415">
        <v>368</v>
      </c>
      <c r="H1052" s="701" t="s">
        <v>226</v>
      </c>
    </row>
    <row r="1053" spans="1:8" s="292" customFormat="1">
      <c r="A1053" s="427">
        <v>94</v>
      </c>
      <c r="B1053" s="271" t="s">
        <v>6300</v>
      </c>
      <c r="C1053" s="427" t="s">
        <v>6270</v>
      </c>
      <c r="D1053" s="427" t="s">
        <v>7360</v>
      </c>
      <c r="E1053" s="290" t="s">
        <v>6301</v>
      </c>
      <c r="F1053" s="290" t="s">
        <v>433</v>
      </c>
      <c r="G1053" s="415">
        <v>534</v>
      </c>
      <c r="H1053" s="701" t="s">
        <v>222</v>
      </c>
    </row>
    <row r="1054" spans="1:8" s="292" customFormat="1" ht="33">
      <c r="A1054" s="427">
        <v>95</v>
      </c>
      <c r="B1054" s="271" t="s">
        <v>6302</v>
      </c>
      <c r="C1054" s="427" t="s">
        <v>6270</v>
      </c>
      <c r="D1054" s="427" t="s">
        <v>7360</v>
      </c>
      <c r="E1054" s="290" t="s">
        <v>6289</v>
      </c>
      <c r="F1054" s="290" t="s">
        <v>6303</v>
      </c>
      <c r="G1054" s="415">
        <v>76</v>
      </c>
      <c r="H1054" s="290">
        <v>2.4</v>
      </c>
    </row>
    <row r="1055" spans="1:8" s="292" customFormat="1" ht="33">
      <c r="A1055" s="427">
        <v>96</v>
      </c>
      <c r="B1055" s="271" t="s">
        <v>6304</v>
      </c>
      <c r="C1055" s="427" t="s">
        <v>6270</v>
      </c>
      <c r="D1055" s="427" t="s">
        <v>7360</v>
      </c>
      <c r="E1055" s="290" t="s">
        <v>6289</v>
      </c>
      <c r="F1055" s="290" t="s">
        <v>6305</v>
      </c>
      <c r="G1055" s="415">
        <v>97</v>
      </c>
      <c r="H1055" s="290">
        <v>6.3</v>
      </c>
    </row>
    <row r="1056" spans="1:8" s="292" customFormat="1" ht="33">
      <c r="A1056" s="427">
        <v>97</v>
      </c>
      <c r="B1056" s="271" t="s">
        <v>6306</v>
      </c>
      <c r="C1056" s="427" t="s">
        <v>6270</v>
      </c>
      <c r="D1056" s="427" t="s">
        <v>7360</v>
      </c>
      <c r="E1056" s="290" t="s">
        <v>6289</v>
      </c>
      <c r="F1056" s="290" t="s">
        <v>6307</v>
      </c>
      <c r="G1056" s="415">
        <v>136</v>
      </c>
      <c r="H1056" s="701" t="s">
        <v>9087</v>
      </c>
    </row>
    <row r="1057" spans="1:8" s="292" customFormat="1">
      <c r="A1057" s="427">
        <v>98</v>
      </c>
      <c r="B1057" s="271" t="s">
        <v>6308</v>
      </c>
      <c r="C1057" s="427" t="s">
        <v>6270</v>
      </c>
      <c r="D1057" s="427" t="s">
        <v>7360</v>
      </c>
      <c r="E1057" s="290" t="s">
        <v>6309</v>
      </c>
      <c r="F1057" s="290" t="s">
        <v>433</v>
      </c>
      <c r="G1057" s="415">
        <v>1248</v>
      </c>
      <c r="H1057" s="701" t="s">
        <v>9082</v>
      </c>
    </row>
    <row r="1058" spans="1:8" s="292" customFormat="1" ht="33">
      <c r="A1058" s="427">
        <v>99</v>
      </c>
      <c r="B1058" s="271" t="s">
        <v>6310</v>
      </c>
      <c r="C1058" s="427" t="s">
        <v>6270</v>
      </c>
      <c r="D1058" s="427" t="s">
        <v>7360</v>
      </c>
      <c r="E1058" s="290" t="s">
        <v>6289</v>
      </c>
      <c r="F1058" s="290" t="s">
        <v>6308</v>
      </c>
      <c r="G1058" s="415">
        <v>178</v>
      </c>
      <c r="H1058" s="701" t="s">
        <v>9088</v>
      </c>
    </row>
    <row r="1059" spans="1:8" s="292" customFormat="1" ht="33">
      <c r="A1059" s="427">
        <v>100</v>
      </c>
      <c r="B1059" s="271" t="s">
        <v>6311</v>
      </c>
      <c r="C1059" s="427" t="s">
        <v>6270</v>
      </c>
      <c r="D1059" s="427" t="s">
        <v>7360</v>
      </c>
      <c r="E1059" s="290" t="s">
        <v>6289</v>
      </c>
      <c r="F1059" s="290" t="s">
        <v>6312</v>
      </c>
      <c r="G1059" s="415">
        <v>641</v>
      </c>
      <c r="H1059" s="701" t="s">
        <v>9083</v>
      </c>
    </row>
    <row r="1060" spans="1:8" s="292" customFormat="1" ht="33">
      <c r="A1060" s="427">
        <v>101</v>
      </c>
      <c r="B1060" s="271" t="s">
        <v>6313</v>
      </c>
      <c r="C1060" s="427" t="s">
        <v>6270</v>
      </c>
      <c r="D1060" s="427" t="s">
        <v>7360</v>
      </c>
      <c r="E1060" s="290" t="s">
        <v>6314</v>
      </c>
      <c r="F1060" s="290" t="s">
        <v>6308</v>
      </c>
      <c r="G1060" s="415">
        <v>1050</v>
      </c>
      <c r="H1060" s="701" t="s">
        <v>9084</v>
      </c>
    </row>
    <row r="1061" spans="1:8" s="292" customFormat="1" ht="33">
      <c r="A1061" s="427">
        <v>102</v>
      </c>
      <c r="B1061" s="271" t="s">
        <v>6315</v>
      </c>
      <c r="C1061" s="427" t="s">
        <v>6270</v>
      </c>
      <c r="D1061" s="427" t="s">
        <v>7360</v>
      </c>
      <c r="E1061" s="290" t="s">
        <v>6289</v>
      </c>
      <c r="F1061" s="290" t="s">
        <v>6308</v>
      </c>
      <c r="G1061" s="415">
        <v>150</v>
      </c>
      <c r="H1061" s="701" t="s">
        <v>9089</v>
      </c>
    </row>
    <row r="1062" spans="1:8" s="292" customFormat="1">
      <c r="A1062" s="427">
        <v>103</v>
      </c>
      <c r="B1062" s="271" t="s">
        <v>6316</v>
      </c>
      <c r="C1062" s="427" t="s">
        <v>6270</v>
      </c>
      <c r="D1062" s="427" t="s">
        <v>7360</v>
      </c>
      <c r="E1062" s="290" t="s">
        <v>6309</v>
      </c>
      <c r="F1062" s="290" t="s">
        <v>6308</v>
      </c>
      <c r="G1062" s="415">
        <v>485</v>
      </c>
      <c r="H1062" s="701" t="s">
        <v>9085</v>
      </c>
    </row>
    <row r="1063" spans="1:8" s="292" customFormat="1">
      <c r="A1063" s="427">
        <v>104</v>
      </c>
      <c r="B1063" s="271" t="s">
        <v>6317</v>
      </c>
      <c r="C1063" s="427" t="s">
        <v>6270</v>
      </c>
      <c r="D1063" s="427" t="s">
        <v>7360</v>
      </c>
      <c r="E1063" s="290" t="s">
        <v>6318</v>
      </c>
      <c r="F1063" s="290" t="s">
        <v>6308</v>
      </c>
      <c r="G1063" s="415">
        <v>303</v>
      </c>
      <c r="H1063" s="701" t="s">
        <v>9086</v>
      </c>
    </row>
    <row r="1064" spans="1:8" ht="33">
      <c r="A1064" s="427">
        <v>105</v>
      </c>
      <c r="B1064" s="484" t="s">
        <v>6531</v>
      </c>
      <c r="C1064" s="268" t="s">
        <v>6532</v>
      </c>
      <c r="D1064" s="268" t="s">
        <v>6562</v>
      </c>
      <c r="E1064" s="268" t="s">
        <v>6533</v>
      </c>
      <c r="F1064" s="268" t="s">
        <v>6534</v>
      </c>
      <c r="G1064" s="487">
        <v>19500</v>
      </c>
      <c r="H1064" s="268">
        <v>3</v>
      </c>
    </row>
    <row r="1065" spans="1:8" ht="33">
      <c r="A1065" s="427">
        <v>106</v>
      </c>
      <c r="B1065" s="484" t="s">
        <v>6535</v>
      </c>
      <c r="C1065" s="268" t="s">
        <v>6532</v>
      </c>
      <c r="D1065" s="268" t="s">
        <v>6562</v>
      </c>
      <c r="E1065" s="268" t="s">
        <v>6536</v>
      </c>
      <c r="F1065" s="268" t="s">
        <v>6537</v>
      </c>
      <c r="G1065" s="487">
        <v>3000</v>
      </c>
      <c r="H1065" s="268">
        <v>3</v>
      </c>
    </row>
    <row r="1066" spans="1:8" ht="33">
      <c r="A1066" s="427">
        <v>107</v>
      </c>
      <c r="B1066" s="484" t="s">
        <v>6538</v>
      </c>
      <c r="C1066" s="268" t="s">
        <v>6532</v>
      </c>
      <c r="D1066" s="268" t="s">
        <v>6562</v>
      </c>
      <c r="E1066" s="268" t="s">
        <v>6539</v>
      </c>
      <c r="F1066" s="268" t="s">
        <v>6540</v>
      </c>
      <c r="G1066" s="487">
        <v>6000</v>
      </c>
      <c r="H1066" s="268">
        <v>3</v>
      </c>
    </row>
    <row r="1067" spans="1:8" ht="33">
      <c r="A1067" s="427">
        <v>108</v>
      </c>
      <c r="B1067" s="484" t="s">
        <v>6541</v>
      </c>
      <c r="C1067" s="268" t="s">
        <v>6532</v>
      </c>
      <c r="D1067" s="268" t="s">
        <v>6562</v>
      </c>
      <c r="E1067" s="268" t="s">
        <v>6542</v>
      </c>
      <c r="F1067" s="268" t="s">
        <v>6543</v>
      </c>
      <c r="G1067" s="487">
        <v>4500</v>
      </c>
      <c r="H1067" s="268">
        <v>3</v>
      </c>
    </row>
    <row r="1068" spans="1:8" ht="33">
      <c r="A1068" s="427">
        <v>109</v>
      </c>
      <c r="B1068" s="484" t="s">
        <v>6544</v>
      </c>
      <c r="C1068" s="268" t="s">
        <v>6532</v>
      </c>
      <c r="D1068" s="268" t="s">
        <v>6562</v>
      </c>
      <c r="E1068" s="268" t="s">
        <v>6545</v>
      </c>
      <c r="F1068" s="268" t="s">
        <v>6546</v>
      </c>
      <c r="G1068" s="487">
        <v>3000</v>
      </c>
      <c r="H1068" s="268" t="s">
        <v>6547</v>
      </c>
    </row>
    <row r="1069" spans="1:8">
      <c r="A1069" s="427">
        <v>110</v>
      </c>
      <c r="B1069" s="679" t="s">
        <v>6749</v>
      </c>
      <c r="C1069" s="309" t="s">
        <v>6750</v>
      </c>
      <c r="D1069" s="427" t="s">
        <v>6751</v>
      </c>
      <c r="E1069" s="309" t="s">
        <v>6752</v>
      </c>
      <c r="F1069" s="309" t="s">
        <v>6753</v>
      </c>
      <c r="G1069" s="415">
        <v>1370</v>
      </c>
      <c r="H1069" s="371" t="s">
        <v>182</v>
      </c>
    </row>
    <row r="1070" spans="1:8">
      <c r="A1070" s="427">
        <v>111</v>
      </c>
      <c r="B1070" s="679" t="s">
        <v>6754</v>
      </c>
      <c r="C1070" s="309" t="s">
        <v>6750</v>
      </c>
      <c r="D1070" s="427" t="s">
        <v>6751</v>
      </c>
      <c r="E1070" s="309" t="s">
        <v>6755</v>
      </c>
      <c r="F1070" s="309" t="s">
        <v>6756</v>
      </c>
      <c r="G1070" s="415">
        <v>1400</v>
      </c>
      <c r="H1070" s="371" t="s">
        <v>182</v>
      </c>
    </row>
    <row r="1071" spans="1:8">
      <c r="A1071" s="427">
        <v>112</v>
      </c>
      <c r="B1071" s="679" t="s">
        <v>6757</v>
      </c>
      <c r="C1071" s="309" t="s">
        <v>6750</v>
      </c>
      <c r="D1071" s="427" t="s">
        <v>6751</v>
      </c>
      <c r="E1071" s="309" t="s">
        <v>6758</v>
      </c>
      <c r="F1071" s="309" t="s">
        <v>6759</v>
      </c>
      <c r="G1071" s="415">
        <v>1290</v>
      </c>
      <c r="H1071" s="371" t="s">
        <v>182</v>
      </c>
    </row>
    <row r="1072" spans="1:8">
      <c r="A1072" s="427">
        <v>113</v>
      </c>
      <c r="B1072" s="271" t="s">
        <v>6760</v>
      </c>
      <c r="C1072" s="290" t="s">
        <v>6761</v>
      </c>
      <c r="D1072" s="427" t="s">
        <v>6751</v>
      </c>
      <c r="E1072" s="508" t="s">
        <v>6762</v>
      </c>
      <c r="F1072" s="427" t="s">
        <v>6763</v>
      </c>
      <c r="G1072" s="415">
        <v>2800</v>
      </c>
      <c r="H1072" s="371" t="s">
        <v>182</v>
      </c>
    </row>
    <row r="1073" spans="1:8">
      <c r="A1073" s="427">
        <v>114</v>
      </c>
      <c r="B1073" s="679" t="s">
        <v>6764</v>
      </c>
      <c r="C1073" s="290" t="s">
        <v>6750</v>
      </c>
      <c r="D1073" s="427" t="s">
        <v>6751</v>
      </c>
      <c r="E1073" s="509" t="s">
        <v>6765</v>
      </c>
      <c r="F1073" s="510" t="s">
        <v>6766</v>
      </c>
      <c r="G1073" s="415">
        <v>6800</v>
      </c>
      <c r="H1073" s="371" t="s">
        <v>182</v>
      </c>
    </row>
    <row r="1074" spans="1:8">
      <c r="A1074" s="427">
        <v>115</v>
      </c>
      <c r="B1074" s="679" t="s">
        <v>6767</v>
      </c>
      <c r="C1074" s="290" t="s">
        <v>6750</v>
      </c>
      <c r="D1074" s="427" t="s">
        <v>6751</v>
      </c>
      <c r="E1074" s="509" t="s">
        <v>6768</v>
      </c>
      <c r="F1074" s="510" t="s">
        <v>6769</v>
      </c>
      <c r="G1074" s="415">
        <v>1700</v>
      </c>
      <c r="H1074" s="371" t="s">
        <v>182</v>
      </c>
    </row>
    <row r="1075" spans="1:8">
      <c r="A1075" s="427">
        <v>116</v>
      </c>
      <c r="B1075" s="679" t="s">
        <v>6770</v>
      </c>
      <c r="C1075" s="290" t="s">
        <v>6750</v>
      </c>
      <c r="D1075" s="427" t="s">
        <v>6751</v>
      </c>
      <c r="E1075" s="509" t="s">
        <v>6771</v>
      </c>
      <c r="F1075" s="510" t="s">
        <v>6772</v>
      </c>
      <c r="G1075" s="415">
        <v>3800</v>
      </c>
      <c r="H1075" s="371" t="s">
        <v>182</v>
      </c>
    </row>
    <row r="1076" spans="1:8">
      <c r="A1076" s="427">
        <v>117</v>
      </c>
      <c r="B1076" s="679" t="s">
        <v>6773</v>
      </c>
      <c r="C1076" s="290" t="s">
        <v>6750</v>
      </c>
      <c r="D1076" s="427" t="s">
        <v>6751</v>
      </c>
      <c r="E1076" s="509" t="s">
        <v>6774</v>
      </c>
      <c r="F1076" s="509" t="s">
        <v>6775</v>
      </c>
      <c r="G1076" s="415">
        <v>2500</v>
      </c>
      <c r="H1076" s="371" t="s">
        <v>182</v>
      </c>
    </row>
    <row r="1077" spans="1:8" ht="49.5">
      <c r="A1077" s="427">
        <v>118</v>
      </c>
      <c r="B1077" s="271" t="s">
        <v>7142</v>
      </c>
      <c r="C1077" s="290" t="s">
        <v>7357</v>
      </c>
      <c r="D1077" s="290" t="s">
        <v>7358</v>
      </c>
      <c r="E1077" s="290" t="s">
        <v>7143</v>
      </c>
      <c r="F1077" s="290" t="s">
        <v>7144</v>
      </c>
      <c r="G1077" s="415" t="s">
        <v>7145</v>
      </c>
      <c r="H1077" s="489" t="s">
        <v>7200</v>
      </c>
    </row>
    <row r="1078" spans="1:8" ht="33">
      <c r="A1078" s="427">
        <v>119</v>
      </c>
      <c r="B1078" s="271" t="s">
        <v>7146</v>
      </c>
      <c r="C1078" s="290" t="s">
        <v>7357</v>
      </c>
      <c r="D1078" s="290" t="s">
        <v>7358</v>
      </c>
      <c r="E1078" s="290" t="s">
        <v>7147</v>
      </c>
      <c r="F1078" s="290" t="s">
        <v>7148</v>
      </c>
      <c r="G1078" s="415" t="s">
        <v>7149</v>
      </c>
      <c r="H1078" s="489" t="s">
        <v>1027</v>
      </c>
    </row>
    <row r="1079" spans="1:8" ht="33">
      <c r="A1079" s="427">
        <v>120</v>
      </c>
      <c r="B1079" s="271" t="s">
        <v>7150</v>
      </c>
      <c r="C1079" s="290" t="s">
        <v>7357</v>
      </c>
      <c r="D1079" s="290" t="s">
        <v>7358</v>
      </c>
      <c r="E1079" s="290" t="s">
        <v>7151</v>
      </c>
      <c r="F1079" s="290" t="s">
        <v>7152</v>
      </c>
      <c r="G1079" s="415" t="s">
        <v>7153</v>
      </c>
      <c r="H1079" s="489" t="s">
        <v>205</v>
      </c>
    </row>
    <row r="1080" spans="1:8" ht="33">
      <c r="A1080" s="427">
        <v>121</v>
      </c>
      <c r="B1080" s="271" t="s">
        <v>7154</v>
      </c>
      <c r="C1080" s="290" t="s">
        <v>7357</v>
      </c>
      <c r="D1080" s="290" t="s">
        <v>7358</v>
      </c>
      <c r="E1080" s="290" t="s">
        <v>7155</v>
      </c>
      <c r="F1080" s="290" t="s">
        <v>7156</v>
      </c>
      <c r="G1080" s="415" t="s">
        <v>7157</v>
      </c>
      <c r="H1080" s="489" t="s">
        <v>7201</v>
      </c>
    </row>
    <row r="1081" spans="1:8" ht="39.75" customHeight="1">
      <c r="A1081" s="427">
        <v>122</v>
      </c>
      <c r="B1081" s="271" t="s">
        <v>6577</v>
      </c>
      <c r="C1081" s="290" t="s">
        <v>7357</v>
      </c>
      <c r="D1081" s="290" t="s">
        <v>7358</v>
      </c>
      <c r="E1081" s="290" t="s">
        <v>7158</v>
      </c>
      <c r="F1081" s="290" t="s">
        <v>7159</v>
      </c>
      <c r="G1081" s="415" t="s">
        <v>7160</v>
      </c>
      <c r="H1081" s="489" t="s">
        <v>210</v>
      </c>
    </row>
    <row r="1082" spans="1:8" ht="49.5">
      <c r="A1082" s="427">
        <v>123</v>
      </c>
      <c r="B1082" s="271" t="s">
        <v>7161</v>
      </c>
      <c r="C1082" s="290" t="s">
        <v>7357</v>
      </c>
      <c r="D1082" s="290" t="s">
        <v>7358</v>
      </c>
      <c r="E1082" s="290" t="s">
        <v>7162</v>
      </c>
      <c r="F1082" s="290" t="s">
        <v>7163</v>
      </c>
      <c r="G1082" s="415">
        <v>100</v>
      </c>
      <c r="H1082" s="489" t="s">
        <v>207</v>
      </c>
    </row>
    <row r="1083" spans="1:8">
      <c r="A1083" s="427">
        <v>124</v>
      </c>
      <c r="B1083" s="271" t="s">
        <v>8790</v>
      </c>
      <c r="C1083" s="290" t="s">
        <v>7357</v>
      </c>
      <c r="D1083" s="290" t="s">
        <v>7358</v>
      </c>
      <c r="E1083" s="290" t="s">
        <v>8791</v>
      </c>
      <c r="F1083" s="290" t="s">
        <v>1153</v>
      </c>
      <c r="G1083" s="415">
        <v>5200</v>
      </c>
      <c r="H1083" s="489"/>
    </row>
    <row r="1084" spans="1:8">
      <c r="A1084" s="427">
        <v>125</v>
      </c>
      <c r="B1084" s="271" t="s">
        <v>8995</v>
      </c>
      <c r="C1084" s="290" t="s">
        <v>6266</v>
      </c>
      <c r="D1084" s="290" t="s">
        <v>6267</v>
      </c>
      <c r="E1084" s="427" t="s">
        <v>8996</v>
      </c>
      <c r="F1084" s="427" t="s">
        <v>8997</v>
      </c>
      <c r="G1084" s="415">
        <v>7500</v>
      </c>
      <c r="H1084" s="680"/>
    </row>
    <row r="1085" spans="1:8">
      <c r="A1085" s="427">
        <v>126</v>
      </c>
      <c r="B1085" s="271" t="s">
        <v>6215</v>
      </c>
      <c r="C1085" s="290" t="s">
        <v>6266</v>
      </c>
      <c r="D1085" s="290" t="s">
        <v>6267</v>
      </c>
      <c r="E1085" s="268" t="s">
        <v>6216</v>
      </c>
      <c r="F1085" s="268" t="s">
        <v>6217</v>
      </c>
      <c r="G1085" s="487">
        <v>400</v>
      </c>
      <c r="H1085" s="702" t="s">
        <v>210</v>
      </c>
    </row>
    <row r="1086" spans="1:8">
      <c r="A1086" s="427">
        <v>127</v>
      </c>
      <c r="B1086" s="271" t="s">
        <v>6218</v>
      </c>
      <c r="C1086" s="290" t="s">
        <v>6266</v>
      </c>
      <c r="D1086" s="290" t="s">
        <v>6267</v>
      </c>
      <c r="E1086" s="268" t="s">
        <v>6219</v>
      </c>
      <c r="F1086" s="268" t="s">
        <v>6217</v>
      </c>
      <c r="G1086" s="487">
        <v>700</v>
      </c>
      <c r="H1086" s="702" t="s">
        <v>204</v>
      </c>
    </row>
    <row r="1087" spans="1:8" ht="33">
      <c r="A1087" s="427">
        <v>128</v>
      </c>
      <c r="B1087" s="271" t="s">
        <v>6220</v>
      </c>
      <c r="C1087" s="290" t="s">
        <v>6266</v>
      </c>
      <c r="D1087" s="290" t="s">
        <v>6267</v>
      </c>
      <c r="E1087" s="268" t="s">
        <v>6219</v>
      </c>
      <c r="F1087" s="268" t="s">
        <v>6217</v>
      </c>
      <c r="G1087" s="487">
        <v>600</v>
      </c>
      <c r="H1087" s="268" t="s">
        <v>6221</v>
      </c>
    </row>
    <row r="1088" spans="1:8">
      <c r="A1088" s="427">
        <v>129</v>
      </c>
      <c r="B1088" s="271" t="s">
        <v>6222</v>
      </c>
      <c r="C1088" s="290" t="s">
        <v>6266</v>
      </c>
      <c r="D1088" s="290" t="s">
        <v>6267</v>
      </c>
      <c r="E1088" s="268" t="s">
        <v>6223</v>
      </c>
      <c r="F1088" s="268" t="s">
        <v>6219</v>
      </c>
      <c r="G1088" s="487">
        <v>300</v>
      </c>
      <c r="H1088" s="702" t="s">
        <v>220</v>
      </c>
    </row>
    <row r="1089" spans="1:9">
      <c r="A1089" s="427">
        <v>130</v>
      </c>
      <c r="B1089" s="271" t="s">
        <v>6216</v>
      </c>
      <c r="C1089" s="290" t="s">
        <v>6266</v>
      </c>
      <c r="D1089" s="290" t="s">
        <v>6267</v>
      </c>
      <c r="E1089" s="268" t="s">
        <v>6219</v>
      </c>
      <c r="F1089" s="268" t="s">
        <v>6215</v>
      </c>
      <c r="G1089" s="487">
        <v>1297</v>
      </c>
      <c r="H1089" s="702" t="s">
        <v>207</v>
      </c>
    </row>
    <row r="1090" spans="1:9">
      <c r="A1090" s="427">
        <v>131</v>
      </c>
      <c r="B1090" s="271" t="s">
        <v>6224</v>
      </c>
      <c r="C1090" s="290" t="s">
        <v>6266</v>
      </c>
      <c r="D1090" s="290" t="s">
        <v>6267</v>
      </c>
      <c r="E1090" s="268" t="s">
        <v>6225</v>
      </c>
      <c r="F1090" s="268" t="s">
        <v>6217</v>
      </c>
      <c r="G1090" s="487">
        <v>500</v>
      </c>
      <c r="H1090" s="702" t="s">
        <v>215</v>
      </c>
    </row>
    <row r="1091" spans="1:9" ht="33">
      <c r="A1091" s="427">
        <v>132</v>
      </c>
      <c r="B1091" s="271" t="s">
        <v>6226</v>
      </c>
      <c r="C1091" s="290" t="s">
        <v>6266</v>
      </c>
      <c r="D1091" s="290" t="s">
        <v>6267</v>
      </c>
      <c r="E1091" s="268" t="s">
        <v>6227</v>
      </c>
      <c r="F1091" s="268" t="s">
        <v>6225</v>
      </c>
      <c r="G1091" s="487">
        <v>200</v>
      </c>
      <c r="H1091" s="702" t="s">
        <v>296</v>
      </c>
    </row>
    <row r="1092" spans="1:9">
      <c r="A1092" s="427">
        <v>133</v>
      </c>
      <c r="B1092" s="271" t="s">
        <v>6228</v>
      </c>
      <c r="C1092" s="290" t="s">
        <v>6266</v>
      </c>
      <c r="D1092" s="290" t="s">
        <v>6267</v>
      </c>
      <c r="E1092" s="268" t="s">
        <v>6229</v>
      </c>
      <c r="F1092" s="268" t="s">
        <v>6217</v>
      </c>
      <c r="G1092" s="487">
        <v>900</v>
      </c>
      <c r="H1092" s="702" t="s">
        <v>210</v>
      </c>
    </row>
    <row r="1093" spans="1:9">
      <c r="A1093" s="427">
        <v>134</v>
      </c>
      <c r="B1093" s="271" t="s">
        <v>6230</v>
      </c>
      <c r="C1093" s="290" t="s">
        <v>6266</v>
      </c>
      <c r="D1093" s="290" t="s">
        <v>6267</v>
      </c>
      <c r="E1093" s="268" t="s">
        <v>6231</v>
      </c>
      <c r="F1093" s="268" t="s">
        <v>6232</v>
      </c>
      <c r="G1093" s="487">
        <v>1500</v>
      </c>
      <c r="H1093" s="702" t="s">
        <v>964</v>
      </c>
    </row>
    <row r="1094" spans="1:9" ht="33">
      <c r="A1094" s="427">
        <v>135</v>
      </c>
      <c r="B1094" s="271" t="s">
        <v>6233</v>
      </c>
      <c r="C1094" s="290" t="s">
        <v>6266</v>
      </c>
      <c r="D1094" s="290" t="s">
        <v>6267</v>
      </c>
      <c r="E1094" s="268" t="s">
        <v>6234</v>
      </c>
      <c r="F1094" s="268" t="s">
        <v>6235</v>
      </c>
      <c r="G1094" s="487">
        <v>720</v>
      </c>
      <c r="H1094" s="702" t="s">
        <v>204</v>
      </c>
    </row>
    <row r="1095" spans="1:9">
      <c r="A1095" s="427">
        <v>136</v>
      </c>
      <c r="B1095" s="271" t="s">
        <v>6236</v>
      </c>
      <c r="C1095" s="290" t="s">
        <v>6266</v>
      </c>
      <c r="D1095" s="290" t="s">
        <v>6267</v>
      </c>
      <c r="E1095" s="268" t="s">
        <v>6233</v>
      </c>
      <c r="F1095" s="268" t="s">
        <v>6237</v>
      </c>
      <c r="G1095" s="487">
        <v>600</v>
      </c>
      <c r="H1095" s="268"/>
    </row>
    <row r="1096" spans="1:9">
      <c r="A1096" s="427">
        <v>137</v>
      </c>
      <c r="B1096" s="271" t="s">
        <v>6238</v>
      </c>
      <c r="C1096" s="290" t="s">
        <v>6266</v>
      </c>
      <c r="D1096" s="290" t="s">
        <v>6267</v>
      </c>
      <c r="E1096" s="268" t="s">
        <v>6219</v>
      </c>
      <c r="F1096" s="268" t="s">
        <v>6239</v>
      </c>
      <c r="G1096" s="487">
        <v>300</v>
      </c>
      <c r="H1096" s="268">
        <v>2</v>
      </c>
    </row>
    <row r="1097" spans="1:9" ht="33">
      <c r="A1097" s="427">
        <v>138</v>
      </c>
      <c r="B1097" s="271" t="s">
        <v>6240</v>
      </c>
      <c r="C1097" s="290" t="s">
        <v>6266</v>
      </c>
      <c r="D1097" s="290" t="s">
        <v>6267</v>
      </c>
      <c r="E1097" s="268" t="s">
        <v>6241</v>
      </c>
      <c r="F1097" s="268" t="s">
        <v>6224</v>
      </c>
      <c r="G1097" s="487">
        <v>750</v>
      </c>
      <c r="H1097" s="268">
        <v>3</v>
      </c>
    </row>
    <row r="1098" spans="1:9">
      <c r="A1098" s="427">
        <v>139</v>
      </c>
      <c r="B1098" s="276" t="s">
        <v>7202</v>
      </c>
      <c r="C1098" s="290" t="s">
        <v>7217</v>
      </c>
      <c r="D1098" s="287" t="s">
        <v>7359</v>
      </c>
      <c r="E1098" s="287" t="s">
        <v>7203</v>
      </c>
      <c r="F1098" s="287" t="s">
        <v>7204</v>
      </c>
      <c r="G1098" s="415">
        <v>6500</v>
      </c>
      <c r="H1098" s="369" t="s">
        <v>222</v>
      </c>
    </row>
    <row r="1099" spans="1:9">
      <c r="A1099" s="427">
        <v>140</v>
      </c>
      <c r="B1099" s="276" t="s">
        <v>6525</v>
      </c>
      <c r="C1099" s="290" t="s">
        <v>7217</v>
      </c>
      <c r="D1099" s="287" t="s">
        <v>7359</v>
      </c>
      <c r="E1099" s="287" t="s">
        <v>7205</v>
      </c>
      <c r="F1099" s="287" t="s">
        <v>7203</v>
      </c>
      <c r="G1099" s="415">
        <v>2200</v>
      </c>
      <c r="H1099" s="369" t="s">
        <v>224</v>
      </c>
    </row>
    <row r="1100" spans="1:9">
      <c r="A1100" s="427">
        <v>141</v>
      </c>
      <c r="B1100" s="276" t="s">
        <v>7206</v>
      </c>
      <c r="C1100" s="290" t="s">
        <v>7217</v>
      </c>
      <c r="D1100" s="287" t="s">
        <v>7359</v>
      </c>
      <c r="E1100" s="287" t="s">
        <v>7207</v>
      </c>
      <c r="F1100" s="287" t="s">
        <v>7203</v>
      </c>
      <c r="G1100" s="415">
        <v>4500</v>
      </c>
      <c r="H1100" s="369" t="s">
        <v>222</v>
      </c>
    </row>
    <row r="1101" spans="1:9">
      <c r="A1101" s="427">
        <v>142</v>
      </c>
      <c r="B1101" s="276" t="s">
        <v>7208</v>
      </c>
      <c r="C1101" s="290" t="s">
        <v>7217</v>
      </c>
      <c r="D1101" s="287" t="s">
        <v>7359</v>
      </c>
      <c r="E1101" s="287" t="s">
        <v>7209</v>
      </c>
      <c r="F1101" s="287" t="s">
        <v>7210</v>
      </c>
      <c r="G1101" s="415">
        <v>3000</v>
      </c>
      <c r="H1101" s="369" t="s">
        <v>4415</v>
      </c>
    </row>
    <row r="1102" spans="1:9">
      <c r="A1102" s="427">
        <v>143</v>
      </c>
      <c r="B1102" s="276" t="s">
        <v>7211</v>
      </c>
      <c r="C1102" s="290" t="s">
        <v>7217</v>
      </c>
      <c r="D1102" s="287" t="s">
        <v>7359</v>
      </c>
      <c r="E1102" s="287" t="s">
        <v>7212</v>
      </c>
      <c r="F1102" s="287" t="s">
        <v>7213</v>
      </c>
      <c r="G1102" s="415">
        <v>5000</v>
      </c>
      <c r="H1102" s="369" t="s">
        <v>207</v>
      </c>
    </row>
    <row r="1103" spans="1:9">
      <c r="A1103" s="427">
        <v>144</v>
      </c>
      <c r="B1103" s="276" t="s">
        <v>6578</v>
      </c>
      <c r="C1103" s="290" t="s">
        <v>7217</v>
      </c>
      <c r="D1103" s="287" t="s">
        <v>7359</v>
      </c>
      <c r="E1103" s="287" t="s">
        <v>7214</v>
      </c>
      <c r="F1103" s="287" t="s">
        <v>7215</v>
      </c>
      <c r="G1103" s="415">
        <v>5000</v>
      </c>
      <c r="H1103" s="490" t="s">
        <v>7216</v>
      </c>
      <c r="I1103" s="669" t="s">
        <v>176</v>
      </c>
    </row>
    <row r="1104" spans="1:9" s="291" customFormat="1">
      <c r="A1104" s="427">
        <v>145</v>
      </c>
      <c r="B1104" s="271" t="s">
        <v>7363</v>
      </c>
      <c r="C1104" s="287" t="s">
        <v>7364</v>
      </c>
      <c r="D1104" s="287" t="s">
        <v>7365</v>
      </c>
      <c r="E1104" s="287" t="s">
        <v>562</v>
      </c>
      <c r="F1104" s="287" t="s">
        <v>7366</v>
      </c>
      <c r="G1104" s="415">
        <v>856</v>
      </c>
      <c r="H1104" s="369" t="s">
        <v>7367</v>
      </c>
    </row>
    <row r="1105" spans="1:8" s="291" customFormat="1">
      <c r="A1105" s="427">
        <v>146</v>
      </c>
      <c r="B1105" s="271" t="s">
        <v>7368</v>
      </c>
      <c r="C1105" s="287" t="s">
        <v>7364</v>
      </c>
      <c r="D1105" s="287" t="s">
        <v>7365</v>
      </c>
      <c r="E1105" s="290" t="s">
        <v>7369</v>
      </c>
      <c r="F1105" s="290" t="s">
        <v>7370</v>
      </c>
      <c r="G1105" s="415">
        <v>320</v>
      </c>
      <c r="H1105" s="287"/>
    </row>
    <row r="1106" spans="1:8" s="291" customFormat="1">
      <c r="A1106" s="427">
        <v>147</v>
      </c>
      <c r="B1106" s="271" t="s">
        <v>7371</v>
      </c>
      <c r="C1106" s="287" t="s">
        <v>7364</v>
      </c>
      <c r="D1106" s="287" t="s">
        <v>7365</v>
      </c>
      <c r="E1106" s="290" t="s">
        <v>7370</v>
      </c>
      <c r="F1106" s="290" t="s">
        <v>7372</v>
      </c>
      <c r="G1106" s="415">
        <v>468</v>
      </c>
      <c r="H1106" s="287"/>
    </row>
    <row r="1107" spans="1:8" s="291" customFormat="1">
      <c r="A1107" s="427">
        <v>148</v>
      </c>
      <c r="B1107" s="271" t="s">
        <v>7373</v>
      </c>
      <c r="C1107" s="287" t="s">
        <v>7364</v>
      </c>
      <c r="D1107" s="287" t="s">
        <v>7365</v>
      </c>
      <c r="E1107" s="290" t="s">
        <v>7374</v>
      </c>
      <c r="F1107" s="290" t="s">
        <v>482</v>
      </c>
      <c r="G1107" s="415">
        <v>2135</v>
      </c>
      <c r="H1107" s="303" t="s">
        <v>7375</v>
      </c>
    </row>
    <row r="1108" spans="1:8" s="288" customFormat="1">
      <c r="A1108" s="427">
        <v>149</v>
      </c>
      <c r="B1108" s="276" t="s">
        <v>7376</v>
      </c>
      <c r="C1108" s="287" t="s">
        <v>8023</v>
      </c>
      <c r="D1108" s="287" t="s">
        <v>7365</v>
      </c>
      <c r="E1108" s="290" t="s">
        <v>7377</v>
      </c>
      <c r="F1108" s="290" t="s">
        <v>7374</v>
      </c>
      <c r="G1108" s="415">
        <v>1000</v>
      </c>
      <c r="H1108" s="303" t="s">
        <v>7378</v>
      </c>
    </row>
    <row r="1109" spans="1:8" s="288" customFormat="1" ht="33">
      <c r="A1109" s="427">
        <v>150</v>
      </c>
      <c r="B1109" s="484" t="s">
        <v>1150</v>
      </c>
      <c r="C1109" s="268" t="s">
        <v>8106</v>
      </c>
      <c r="D1109" s="287" t="s">
        <v>8107</v>
      </c>
      <c r="E1109" s="268" t="s">
        <v>8033</v>
      </c>
      <c r="F1109" s="268" t="s">
        <v>8034</v>
      </c>
      <c r="G1109" s="487">
        <v>900</v>
      </c>
      <c r="H1109" s="303" t="s">
        <v>183</v>
      </c>
    </row>
    <row r="1110" spans="1:8" s="288" customFormat="1" ht="33">
      <c r="A1110" s="427">
        <v>151</v>
      </c>
      <c r="B1110" s="484" t="s">
        <v>8035</v>
      </c>
      <c r="C1110" s="268" t="s">
        <v>8106</v>
      </c>
      <c r="D1110" s="287" t="s">
        <v>8107</v>
      </c>
      <c r="E1110" s="268" t="s">
        <v>8036</v>
      </c>
      <c r="F1110" s="268" t="s">
        <v>8037</v>
      </c>
      <c r="G1110" s="487">
        <v>979</v>
      </c>
      <c r="H1110" s="303" t="s">
        <v>224</v>
      </c>
    </row>
    <row r="1111" spans="1:8" s="288" customFormat="1" ht="49.5">
      <c r="A1111" s="427">
        <v>152</v>
      </c>
      <c r="B1111" s="484" t="s">
        <v>8038</v>
      </c>
      <c r="C1111" s="268" t="s">
        <v>8106</v>
      </c>
      <c r="D1111" s="287" t="s">
        <v>8107</v>
      </c>
      <c r="E1111" s="268" t="s">
        <v>8039</v>
      </c>
      <c r="F1111" s="268" t="s">
        <v>8040</v>
      </c>
      <c r="G1111" s="487">
        <v>850</v>
      </c>
      <c r="H1111" s="303" t="s">
        <v>186</v>
      </c>
    </row>
    <row r="1112" spans="1:8" s="288" customFormat="1" ht="33">
      <c r="A1112" s="427">
        <v>153</v>
      </c>
      <c r="B1112" s="484" t="s">
        <v>8041</v>
      </c>
      <c r="C1112" s="268" t="s">
        <v>8106</v>
      </c>
      <c r="D1112" s="287" t="s">
        <v>8107</v>
      </c>
      <c r="E1112" s="268" t="s">
        <v>8042</v>
      </c>
      <c r="F1112" s="268" t="s">
        <v>8043</v>
      </c>
      <c r="G1112" s="487">
        <v>180</v>
      </c>
      <c r="H1112" s="303" t="s">
        <v>183</v>
      </c>
    </row>
    <row r="1113" spans="1:8" s="288" customFormat="1" ht="33">
      <c r="A1113" s="427">
        <v>154</v>
      </c>
      <c r="B1113" s="484" t="s">
        <v>8044</v>
      </c>
      <c r="C1113" s="268" t="s">
        <v>8106</v>
      </c>
      <c r="D1113" s="287" t="s">
        <v>8107</v>
      </c>
      <c r="E1113" s="268" t="s">
        <v>8045</v>
      </c>
      <c r="F1113" s="268" t="s">
        <v>8046</v>
      </c>
      <c r="G1113" s="487">
        <v>80</v>
      </c>
      <c r="H1113" s="303" t="s">
        <v>183</v>
      </c>
    </row>
    <row r="1114" spans="1:8" s="288" customFormat="1" ht="33">
      <c r="A1114" s="427">
        <v>155</v>
      </c>
      <c r="B1114" s="484" t="s">
        <v>8047</v>
      </c>
      <c r="C1114" s="268" t="s">
        <v>8106</v>
      </c>
      <c r="D1114" s="287" t="s">
        <v>8107</v>
      </c>
      <c r="E1114" s="268" t="s">
        <v>8048</v>
      </c>
      <c r="F1114" s="268" t="s">
        <v>8049</v>
      </c>
      <c r="G1114" s="487">
        <v>150</v>
      </c>
      <c r="H1114" s="303" t="s">
        <v>186</v>
      </c>
    </row>
    <row r="1115" spans="1:8" s="288" customFormat="1" ht="33">
      <c r="A1115" s="427">
        <v>156</v>
      </c>
      <c r="B1115" s="484" t="s">
        <v>8050</v>
      </c>
      <c r="C1115" s="268" t="s">
        <v>8106</v>
      </c>
      <c r="D1115" s="287" t="s">
        <v>8107</v>
      </c>
      <c r="E1115" s="268" t="s">
        <v>8051</v>
      </c>
      <c r="F1115" s="268" t="s">
        <v>8052</v>
      </c>
      <c r="G1115" s="487">
        <v>830</v>
      </c>
      <c r="H1115" s="303" t="s">
        <v>204</v>
      </c>
    </row>
    <row r="1116" spans="1:8" s="288" customFormat="1" ht="49.5">
      <c r="A1116" s="427">
        <v>157</v>
      </c>
      <c r="B1116" s="484" t="s">
        <v>8053</v>
      </c>
      <c r="C1116" s="268" t="s">
        <v>8106</v>
      </c>
      <c r="D1116" s="287" t="s">
        <v>8107</v>
      </c>
      <c r="E1116" s="268" t="s">
        <v>8054</v>
      </c>
      <c r="F1116" s="268" t="s">
        <v>8055</v>
      </c>
      <c r="G1116" s="487">
        <v>45</v>
      </c>
      <c r="H1116" s="303" t="s">
        <v>215</v>
      </c>
    </row>
    <row r="1117" spans="1:8" s="288" customFormat="1" ht="49.5">
      <c r="A1117" s="427">
        <v>158</v>
      </c>
      <c r="B1117" s="484" t="s">
        <v>8056</v>
      </c>
      <c r="C1117" s="268" t="s">
        <v>8106</v>
      </c>
      <c r="D1117" s="287" t="s">
        <v>8107</v>
      </c>
      <c r="E1117" s="268" t="s">
        <v>8057</v>
      </c>
      <c r="F1117" s="268" t="s">
        <v>8058</v>
      </c>
      <c r="G1117" s="487">
        <v>60</v>
      </c>
      <c r="H1117" s="303" t="s">
        <v>179</v>
      </c>
    </row>
    <row r="1118" spans="1:8" s="288" customFormat="1" ht="33">
      <c r="A1118" s="427">
        <v>159</v>
      </c>
      <c r="B1118" s="484" t="s">
        <v>8059</v>
      </c>
      <c r="C1118" s="268" t="s">
        <v>8106</v>
      </c>
      <c r="D1118" s="287" t="s">
        <v>8107</v>
      </c>
      <c r="E1118" s="268" t="s">
        <v>8060</v>
      </c>
      <c r="F1118" s="268" t="s">
        <v>8061</v>
      </c>
      <c r="G1118" s="487">
        <v>185</v>
      </c>
      <c r="H1118" s="303" t="s">
        <v>178</v>
      </c>
    </row>
    <row r="1119" spans="1:8" s="288" customFormat="1" ht="33">
      <c r="A1119" s="427">
        <v>160</v>
      </c>
      <c r="B1119" s="484" t="s">
        <v>8062</v>
      </c>
      <c r="C1119" s="268" t="s">
        <v>8106</v>
      </c>
      <c r="D1119" s="287" t="s">
        <v>8107</v>
      </c>
      <c r="E1119" s="268" t="s">
        <v>8063</v>
      </c>
      <c r="F1119" s="268" t="s">
        <v>8064</v>
      </c>
      <c r="G1119" s="487">
        <v>800</v>
      </c>
      <c r="H1119" s="303" t="s">
        <v>8108</v>
      </c>
    </row>
    <row r="1120" spans="1:8" s="288" customFormat="1" ht="33">
      <c r="A1120" s="427">
        <v>161</v>
      </c>
      <c r="B1120" s="484" t="s">
        <v>8065</v>
      </c>
      <c r="C1120" s="268" t="s">
        <v>8106</v>
      </c>
      <c r="D1120" s="287" t="s">
        <v>8107</v>
      </c>
      <c r="E1120" s="268" t="s">
        <v>8066</v>
      </c>
      <c r="F1120" s="268" t="s">
        <v>8067</v>
      </c>
      <c r="G1120" s="487">
        <v>1992</v>
      </c>
      <c r="H1120" s="303" t="s">
        <v>210</v>
      </c>
    </row>
    <row r="1121" spans="1:8" s="288" customFormat="1" ht="33">
      <c r="A1121" s="427">
        <v>162</v>
      </c>
      <c r="B1121" s="484" t="s">
        <v>8068</v>
      </c>
      <c r="C1121" s="268" t="s">
        <v>8106</v>
      </c>
      <c r="D1121" s="287" t="s">
        <v>8107</v>
      </c>
      <c r="E1121" s="268" t="s">
        <v>8069</v>
      </c>
      <c r="F1121" s="268" t="s">
        <v>8070</v>
      </c>
      <c r="G1121" s="487">
        <v>395</v>
      </c>
      <c r="H1121" s="303" t="s">
        <v>210</v>
      </c>
    </row>
    <row r="1122" spans="1:8" s="288" customFormat="1" ht="33">
      <c r="A1122" s="427">
        <v>163</v>
      </c>
      <c r="B1122" s="484" t="s">
        <v>8071</v>
      </c>
      <c r="C1122" s="268" t="s">
        <v>8106</v>
      </c>
      <c r="D1122" s="287" t="s">
        <v>8107</v>
      </c>
      <c r="E1122" s="268" t="s">
        <v>8072</v>
      </c>
      <c r="F1122" s="268" t="s">
        <v>8073</v>
      </c>
      <c r="G1122" s="487">
        <v>320</v>
      </c>
      <c r="H1122" s="303" t="s">
        <v>8109</v>
      </c>
    </row>
    <row r="1123" spans="1:8" s="288" customFormat="1" ht="33">
      <c r="A1123" s="427">
        <v>164</v>
      </c>
      <c r="B1123" s="484" t="s">
        <v>8074</v>
      </c>
      <c r="C1123" s="268" t="s">
        <v>8106</v>
      </c>
      <c r="D1123" s="287" t="s">
        <v>8107</v>
      </c>
      <c r="E1123" s="268" t="s">
        <v>8075</v>
      </c>
      <c r="F1123" s="268" t="s">
        <v>8076</v>
      </c>
      <c r="G1123" s="487">
        <v>579</v>
      </c>
      <c r="H1123" s="303" t="s">
        <v>8077</v>
      </c>
    </row>
    <row r="1124" spans="1:8" s="288" customFormat="1" ht="33">
      <c r="A1124" s="427">
        <v>165</v>
      </c>
      <c r="B1124" s="484" t="s">
        <v>8078</v>
      </c>
      <c r="C1124" s="268" t="s">
        <v>8106</v>
      </c>
      <c r="D1124" s="287" t="s">
        <v>8107</v>
      </c>
      <c r="E1124" s="268" t="s">
        <v>8079</v>
      </c>
      <c r="F1124" s="268" t="s">
        <v>8080</v>
      </c>
      <c r="G1124" s="487">
        <v>250</v>
      </c>
      <c r="H1124" s="303" t="s">
        <v>8109</v>
      </c>
    </row>
    <row r="1125" spans="1:8" s="288" customFormat="1" ht="33">
      <c r="A1125" s="427">
        <v>166</v>
      </c>
      <c r="B1125" s="484" t="s">
        <v>8081</v>
      </c>
      <c r="C1125" s="268" t="s">
        <v>8106</v>
      </c>
      <c r="D1125" s="287" t="s">
        <v>8107</v>
      </c>
      <c r="E1125" s="268" t="s">
        <v>8082</v>
      </c>
      <c r="F1125" s="268" t="s">
        <v>8083</v>
      </c>
      <c r="G1125" s="487">
        <v>713</v>
      </c>
      <c r="H1125" s="303" t="s">
        <v>975</v>
      </c>
    </row>
    <row r="1126" spans="1:8" s="288" customFormat="1">
      <c r="A1126" s="427">
        <v>167</v>
      </c>
      <c r="B1126" s="484" t="s">
        <v>8084</v>
      </c>
      <c r="C1126" s="268" t="s">
        <v>8106</v>
      </c>
      <c r="D1126" s="287" t="s">
        <v>8107</v>
      </c>
      <c r="E1126" s="268" t="s">
        <v>8085</v>
      </c>
      <c r="F1126" s="268" t="s">
        <v>8086</v>
      </c>
      <c r="G1126" s="487">
        <v>590</v>
      </c>
      <c r="H1126" s="303" t="s">
        <v>207</v>
      </c>
    </row>
    <row r="1127" spans="1:8" s="288" customFormat="1" ht="33">
      <c r="A1127" s="427">
        <v>168</v>
      </c>
      <c r="B1127" s="484" t="s">
        <v>6577</v>
      </c>
      <c r="C1127" s="268" t="s">
        <v>8106</v>
      </c>
      <c r="D1127" s="287" t="s">
        <v>8107</v>
      </c>
      <c r="E1127" s="268" t="s">
        <v>8087</v>
      </c>
      <c r="F1127" s="268" t="s">
        <v>8088</v>
      </c>
      <c r="G1127" s="487">
        <v>315</v>
      </c>
      <c r="H1127" s="303" t="s">
        <v>210</v>
      </c>
    </row>
    <row r="1128" spans="1:8" s="288" customFormat="1">
      <c r="A1128" s="427">
        <v>169</v>
      </c>
      <c r="B1128" s="484" t="s">
        <v>8089</v>
      </c>
      <c r="C1128" s="268" t="s">
        <v>8106</v>
      </c>
      <c r="D1128" s="287" t="s">
        <v>8107</v>
      </c>
      <c r="E1128" s="268" t="s">
        <v>8090</v>
      </c>
      <c r="F1128" s="268" t="s">
        <v>8091</v>
      </c>
      <c r="G1128" s="487">
        <v>681</v>
      </c>
      <c r="H1128" s="303" t="s">
        <v>210</v>
      </c>
    </row>
    <row r="1129" spans="1:8" s="288" customFormat="1" ht="33">
      <c r="A1129" s="427">
        <v>170</v>
      </c>
      <c r="B1129" s="484" t="s">
        <v>8092</v>
      </c>
      <c r="C1129" s="268" t="s">
        <v>8106</v>
      </c>
      <c r="D1129" s="287" t="s">
        <v>8107</v>
      </c>
      <c r="E1129" s="268" t="s">
        <v>8093</v>
      </c>
      <c r="F1129" s="268" t="s">
        <v>8094</v>
      </c>
      <c r="G1129" s="487">
        <v>460</v>
      </c>
      <c r="H1129" s="303" t="s">
        <v>204</v>
      </c>
    </row>
    <row r="1130" spans="1:8" s="288" customFormat="1">
      <c r="A1130" s="427">
        <v>171</v>
      </c>
      <c r="B1130" s="484" t="s">
        <v>8095</v>
      </c>
      <c r="C1130" s="268" t="s">
        <v>8106</v>
      </c>
      <c r="D1130" s="287" t="s">
        <v>8107</v>
      </c>
      <c r="E1130" s="268" t="s">
        <v>8096</v>
      </c>
      <c r="F1130" s="268" t="s">
        <v>8088</v>
      </c>
      <c r="G1130" s="487">
        <v>608</v>
      </c>
      <c r="H1130" s="303" t="s">
        <v>224</v>
      </c>
    </row>
    <row r="1131" spans="1:8" s="288" customFormat="1">
      <c r="A1131" s="427">
        <v>172</v>
      </c>
      <c r="B1131" s="484" t="s">
        <v>8097</v>
      </c>
      <c r="C1131" s="268" t="s">
        <v>8106</v>
      </c>
      <c r="D1131" s="287" t="s">
        <v>8107</v>
      </c>
      <c r="E1131" s="268" t="s">
        <v>8098</v>
      </c>
      <c r="F1131" s="268" t="s">
        <v>8099</v>
      </c>
      <c r="G1131" s="487">
        <v>1392</v>
      </c>
      <c r="H1131" s="303" t="s">
        <v>189</v>
      </c>
    </row>
    <row r="1132" spans="1:8" s="288" customFormat="1" ht="33">
      <c r="A1132" s="427">
        <v>173</v>
      </c>
      <c r="B1132" s="484" t="s">
        <v>8100</v>
      </c>
      <c r="C1132" s="268" t="s">
        <v>8106</v>
      </c>
      <c r="D1132" s="287" t="s">
        <v>8107</v>
      </c>
      <c r="E1132" s="268" t="s">
        <v>8101</v>
      </c>
      <c r="F1132" s="268" t="s">
        <v>8102</v>
      </c>
      <c r="G1132" s="487">
        <v>830</v>
      </c>
      <c r="H1132" s="303" t="s">
        <v>183</v>
      </c>
    </row>
    <row r="1133" spans="1:8" s="288" customFormat="1" ht="33">
      <c r="A1133" s="427">
        <v>174</v>
      </c>
      <c r="B1133" s="484" t="s">
        <v>8103</v>
      </c>
      <c r="C1133" s="268" t="s">
        <v>8106</v>
      </c>
      <c r="D1133" s="287" t="s">
        <v>8107</v>
      </c>
      <c r="E1133" s="268" t="s">
        <v>8104</v>
      </c>
      <c r="F1133" s="268" t="s">
        <v>8105</v>
      </c>
      <c r="G1133" s="487">
        <v>700</v>
      </c>
      <c r="H1133" s="303" t="s">
        <v>183</v>
      </c>
    </row>
    <row r="1134" spans="1:8" s="288" customFormat="1">
      <c r="A1134" s="427">
        <v>175</v>
      </c>
      <c r="B1134" s="423" t="s">
        <v>6744</v>
      </c>
      <c r="C1134" s="290" t="s">
        <v>8709</v>
      </c>
      <c r="D1134" s="290" t="s">
        <v>8710</v>
      </c>
      <c r="E1134" s="290" t="s">
        <v>8711</v>
      </c>
      <c r="F1134" s="290" t="s">
        <v>8712</v>
      </c>
      <c r="G1134" s="415">
        <v>1000</v>
      </c>
      <c r="H1134" s="290">
        <v>5</v>
      </c>
    </row>
    <row r="1135" spans="1:8" s="288" customFormat="1">
      <c r="A1135" s="427">
        <v>176</v>
      </c>
      <c r="B1135" s="423" t="s">
        <v>8713</v>
      </c>
      <c r="C1135" s="290" t="s">
        <v>8709</v>
      </c>
      <c r="D1135" s="290" t="s">
        <v>8710</v>
      </c>
      <c r="E1135" s="290" t="s">
        <v>8714</v>
      </c>
      <c r="F1135" s="290" t="s">
        <v>8715</v>
      </c>
      <c r="G1135" s="415">
        <v>5000</v>
      </c>
      <c r="H1135" s="290">
        <v>5</v>
      </c>
    </row>
    <row r="1136" spans="1:8" s="288" customFormat="1">
      <c r="A1136" s="427">
        <v>177</v>
      </c>
      <c r="B1136" s="423" t="s">
        <v>8716</v>
      </c>
      <c r="C1136" s="290" t="s">
        <v>8709</v>
      </c>
      <c r="D1136" s="290" t="s">
        <v>8710</v>
      </c>
      <c r="E1136" s="290" t="s">
        <v>8717</v>
      </c>
      <c r="F1136" s="290" t="s">
        <v>8718</v>
      </c>
      <c r="G1136" s="415">
        <v>2000</v>
      </c>
      <c r="H1136" s="290">
        <v>6</v>
      </c>
    </row>
    <row r="1137" spans="1:8" s="288" customFormat="1" ht="33">
      <c r="A1137" s="427">
        <v>178</v>
      </c>
      <c r="B1137" s="423" t="s">
        <v>8748</v>
      </c>
      <c r="C1137" s="290" t="s">
        <v>8709</v>
      </c>
      <c r="D1137" s="290" t="s">
        <v>8710</v>
      </c>
      <c r="E1137" s="290" t="s">
        <v>8719</v>
      </c>
      <c r="F1137" s="290" t="s">
        <v>8715</v>
      </c>
      <c r="G1137" s="415">
        <v>5000</v>
      </c>
      <c r="H1137" s="290">
        <v>5</v>
      </c>
    </row>
    <row r="1138" spans="1:8" s="288" customFormat="1" ht="33">
      <c r="A1138" s="427">
        <v>179</v>
      </c>
      <c r="B1138" s="423" t="s">
        <v>8749</v>
      </c>
      <c r="C1138" s="290" t="s">
        <v>8709</v>
      </c>
      <c r="D1138" s="290" t="s">
        <v>8710</v>
      </c>
      <c r="E1138" s="290" t="s">
        <v>8720</v>
      </c>
      <c r="F1138" s="290" t="s">
        <v>8715</v>
      </c>
      <c r="G1138" s="415">
        <v>4000</v>
      </c>
      <c r="H1138" s="290">
        <v>4</v>
      </c>
    </row>
    <row r="1139" spans="1:8" s="288" customFormat="1">
      <c r="A1139" s="427">
        <v>180</v>
      </c>
      <c r="B1139" s="423" t="s">
        <v>8750</v>
      </c>
      <c r="C1139" s="290" t="s">
        <v>8709</v>
      </c>
      <c r="D1139" s="290" t="s">
        <v>8710</v>
      </c>
      <c r="E1139" s="290" t="s">
        <v>8721</v>
      </c>
      <c r="F1139" s="290" t="s">
        <v>8715</v>
      </c>
      <c r="G1139" s="415">
        <v>2000</v>
      </c>
      <c r="H1139" s="290">
        <v>3</v>
      </c>
    </row>
    <row r="1140" spans="1:8" s="288" customFormat="1">
      <c r="A1140" s="427">
        <v>181</v>
      </c>
      <c r="B1140" s="423" t="s">
        <v>8751</v>
      </c>
      <c r="C1140" s="290" t="s">
        <v>8709</v>
      </c>
      <c r="D1140" s="290" t="s">
        <v>8710</v>
      </c>
      <c r="E1140" s="290" t="s">
        <v>8722</v>
      </c>
      <c r="F1140" s="290" t="s">
        <v>8115</v>
      </c>
      <c r="G1140" s="415">
        <v>2500</v>
      </c>
      <c r="H1140" s="290">
        <v>4</v>
      </c>
    </row>
    <row r="1141" spans="1:8" s="288" customFormat="1">
      <c r="A1141" s="427">
        <v>182</v>
      </c>
      <c r="B1141" s="423" t="s">
        <v>8752</v>
      </c>
      <c r="C1141" s="290" t="s">
        <v>8709</v>
      </c>
      <c r="D1141" s="290" t="s">
        <v>8710</v>
      </c>
      <c r="E1141" s="290" t="s">
        <v>8723</v>
      </c>
      <c r="F1141" s="290" t="s">
        <v>8115</v>
      </c>
      <c r="G1141" s="415">
        <v>3500</v>
      </c>
      <c r="H1141" s="290">
        <v>4</v>
      </c>
    </row>
    <row r="1142" spans="1:8" s="288" customFormat="1">
      <c r="A1142" s="427">
        <v>183</v>
      </c>
      <c r="B1142" s="423" t="s">
        <v>8753</v>
      </c>
      <c r="C1142" s="290" t="s">
        <v>8709</v>
      </c>
      <c r="D1142" s="290" t="s">
        <v>8710</v>
      </c>
      <c r="E1142" s="290" t="s">
        <v>8724</v>
      </c>
      <c r="F1142" s="290" t="s">
        <v>8715</v>
      </c>
      <c r="G1142" s="415">
        <v>2000</v>
      </c>
      <c r="H1142" s="290">
        <v>4</v>
      </c>
    </row>
    <row r="1143" spans="1:8" s="288" customFormat="1">
      <c r="A1143" s="427">
        <v>184</v>
      </c>
      <c r="B1143" s="423" t="s">
        <v>8754</v>
      </c>
      <c r="C1143" s="290" t="s">
        <v>8709</v>
      </c>
      <c r="D1143" s="290" t="s">
        <v>8710</v>
      </c>
      <c r="E1143" s="290" t="s">
        <v>642</v>
      </c>
      <c r="F1143" s="290" t="s">
        <v>8715</v>
      </c>
      <c r="G1143" s="415">
        <v>3500</v>
      </c>
      <c r="H1143" s="290">
        <v>4</v>
      </c>
    </row>
    <row r="1144" spans="1:8" s="288" customFormat="1">
      <c r="A1144" s="427">
        <v>185</v>
      </c>
      <c r="B1144" s="423" t="s">
        <v>8755</v>
      </c>
      <c r="C1144" s="290" t="s">
        <v>8709</v>
      </c>
      <c r="D1144" s="290" t="s">
        <v>8710</v>
      </c>
      <c r="E1144" s="290" t="s">
        <v>8725</v>
      </c>
      <c r="F1144" s="290" t="s">
        <v>642</v>
      </c>
      <c r="G1144" s="415">
        <v>6000</v>
      </c>
      <c r="H1144" s="290">
        <v>4</v>
      </c>
    </row>
    <row r="1145" spans="1:8" s="288" customFormat="1">
      <c r="A1145" s="427">
        <v>186</v>
      </c>
      <c r="B1145" s="423" t="s">
        <v>8726</v>
      </c>
      <c r="C1145" s="290" t="s">
        <v>8709</v>
      </c>
      <c r="D1145" s="290" t="s">
        <v>8710</v>
      </c>
      <c r="E1145" s="290" t="s">
        <v>8727</v>
      </c>
      <c r="F1145" s="290" t="s">
        <v>8728</v>
      </c>
      <c r="G1145" s="415">
        <v>5000</v>
      </c>
      <c r="H1145" s="701" t="s">
        <v>9090</v>
      </c>
    </row>
    <row r="1146" spans="1:8" s="288" customFormat="1">
      <c r="A1146" s="427">
        <v>187</v>
      </c>
      <c r="B1146" s="423" t="s">
        <v>8729</v>
      </c>
      <c r="C1146" s="290" t="s">
        <v>8709</v>
      </c>
      <c r="D1146" s="290" t="s">
        <v>8710</v>
      </c>
      <c r="E1146" s="290" t="s">
        <v>8727</v>
      </c>
      <c r="F1146" s="290" t="s">
        <v>8730</v>
      </c>
      <c r="G1146" s="415">
        <v>2000</v>
      </c>
      <c r="H1146" s="290">
        <v>5</v>
      </c>
    </row>
    <row r="1147" spans="1:8" s="288" customFormat="1">
      <c r="A1147" s="427">
        <v>188</v>
      </c>
      <c r="B1147" s="423" t="s">
        <v>8731</v>
      </c>
      <c r="C1147" s="290" t="s">
        <v>8709</v>
      </c>
      <c r="D1147" s="290" t="s">
        <v>8710</v>
      </c>
      <c r="E1147" s="290" t="s">
        <v>8732</v>
      </c>
      <c r="F1147" s="290" t="s">
        <v>8727</v>
      </c>
      <c r="G1147" s="415">
        <v>2000</v>
      </c>
      <c r="H1147" s="290">
        <v>5</v>
      </c>
    </row>
    <row r="1148" spans="1:8" s="288" customFormat="1">
      <c r="A1148" s="427">
        <v>189</v>
      </c>
      <c r="B1148" s="423" t="s">
        <v>6735</v>
      </c>
      <c r="C1148" s="290" t="s">
        <v>8709</v>
      </c>
      <c r="D1148" s="290" t="s">
        <v>8710</v>
      </c>
      <c r="E1148" s="290" t="s">
        <v>8730</v>
      </c>
      <c r="F1148" s="290" t="s">
        <v>8715</v>
      </c>
      <c r="G1148" s="415">
        <v>2000</v>
      </c>
      <c r="H1148" s="290">
        <v>5</v>
      </c>
    </row>
    <row r="1149" spans="1:8" s="288" customFormat="1">
      <c r="A1149" s="427">
        <v>190</v>
      </c>
      <c r="B1149" s="423" t="s">
        <v>6538</v>
      </c>
      <c r="C1149" s="290" t="s">
        <v>8709</v>
      </c>
      <c r="D1149" s="290" t="s">
        <v>8710</v>
      </c>
      <c r="E1149" s="290" t="s">
        <v>8717</v>
      </c>
      <c r="F1149" s="290" t="s">
        <v>8718</v>
      </c>
      <c r="G1149" s="415">
        <v>2000</v>
      </c>
      <c r="H1149" s="290">
        <v>6</v>
      </c>
    </row>
    <row r="1150" spans="1:8" s="288" customFormat="1">
      <c r="A1150" s="427">
        <v>191</v>
      </c>
      <c r="B1150" s="423" t="s">
        <v>8733</v>
      </c>
      <c r="C1150" s="290" t="s">
        <v>8709</v>
      </c>
      <c r="D1150" s="290" t="s">
        <v>8710</v>
      </c>
      <c r="E1150" s="290" t="s">
        <v>8734</v>
      </c>
      <c r="F1150" s="290" t="s">
        <v>8012</v>
      </c>
      <c r="G1150" s="415">
        <v>2000</v>
      </c>
      <c r="H1150" s="290">
        <v>5</v>
      </c>
    </row>
    <row r="1151" spans="1:8" s="288" customFormat="1">
      <c r="A1151" s="427">
        <v>192</v>
      </c>
      <c r="B1151" s="423" t="s">
        <v>8756</v>
      </c>
      <c r="C1151" s="290" t="s">
        <v>8709</v>
      </c>
      <c r="D1151" s="290" t="s">
        <v>8710</v>
      </c>
      <c r="E1151" s="290" t="s">
        <v>8735</v>
      </c>
      <c r="F1151" s="290" t="s">
        <v>8012</v>
      </c>
      <c r="G1151" s="415">
        <v>5000</v>
      </c>
      <c r="H1151" s="290">
        <v>5</v>
      </c>
    </row>
    <row r="1152" spans="1:8" s="288" customFormat="1">
      <c r="A1152" s="427">
        <v>193</v>
      </c>
      <c r="B1152" s="423" t="s">
        <v>8757</v>
      </c>
      <c r="C1152" s="290" t="s">
        <v>8709</v>
      </c>
      <c r="D1152" s="290" t="s">
        <v>8710</v>
      </c>
      <c r="E1152" s="290" t="s">
        <v>8736</v>
      </c>
      <c r="F1152" s="290" t="s">
        <v>8737</v>
      </c>
      <c r="G1152" s="415">
        <v>2000</v>
      </c>
      <c r="H1152" s="290">
        <v>4</v>
      </c>
    </row>
    <row r="1153" spans="1:8" s="288" customFormat="1">
      <c r="A1153" s="427">
        <v>194</v>
      </c>
      <c r="B1153" s="423" t="s">
        <v>8758</v>
      </c>
      <c r="C1153" s="290" t="s">
        <v>8709</v>
      </c>
      <c r="D1153" s="290" t="s">
        <v>8710</v>
      </c>
      <c r="E1153" s="290" t="s">
        <v>8738</v>
      </c>
      <c r="F1153" s="290" t="s">
        <v>8012</v>
      </c>
      <c r="G1153" s="415">
        <v>5000</v>
      </c>
      <c r="H1153" s="290">
        <v>7</v>
      </c>
    </row>
    <row r="1154" spans="1:8" s="288" customFormat="1" ht="33">
      <c r="A1154" s="427">
        <v>195</v>
      </c>
      <c r="B1154" s="423" t="s">
        <v>8759</v>
      </c>
      <c r="C1154" s="290" t="s">
        <v>8709</v>
      </c>
      <c r="D1154" s="290" t="s">
        <v>8710</v>
      </c>
      <c r="E1154" s="290" t="s">
        <v>8739</v>
      </c>
      <c r="F1154" s="290" t="s">
        <v>8737</v>
      </c>
      <c r="G1154" s="415">
        <v>2000</v>
      </c>
      <c r="H1154" s="290">
        <v>3</v>
      </c>
    </row>
    <row r="1155" spans="1:8" s="288" customFormat="1">
      <c r="A1155" s="427">
        <v>196</v>
      </c>
      <c r="B1155" s="423" t="s">
        <v>8760</v>
      </c>
      <c r="C1155" s="290" t="s">
        <v>8709</v>
      </c>
      <c r="D1155" s="290" t="s">
        <v>8710</v>
      </c>
      <c r="E1155" s="290" t="s">
        <v>8740</v>
      </c>
      <c r="F1155" s="290" t="s">
        <v>8741</v>
      </c>
      <c r="G1155" s="415">
        <v>200</v>
      </c>
      <c r="H1155" s="290">
        <v>2</v>
      </c>
    </row>
    <row r="1156" spans="1:8" s="288" customFormat="1">
      <c r="A1156" s="427">
        <v>197</v>
      </c>
      <c r="B1156" s="423" t="s">
        <v>8761</v>
      </c>
      <c r="C1156" s="290" t="s">
        <v>8709</v>
      </c>
      <c r="D1156" s="290" t="s">
        <v>8710</v>
      </c>
      <c r="E1156" s="290" t="s">
        <v>8742</v>
      </c>
      <c r="F1156" s="290" t="s">
        <v>8743</v>
      </c>
      <c r="G1156" s="415">
        <v>180</v>
      </c>
      <c r="H1156" s="290">
        <v>3</v>
      </c>
    </row>
    <row r="1157" spans="1:8" s="288" customFormat="1" ht="33">
      <c r="A1157" s="427">
        <v>198</v>
      </c>
      <c r="B1157" s="423" t="s">
        <v>8744</v>
      </c>
      <c r="C1157" s="290" t="s">
        <v>8709</v>
      </c>
      <c r="D1157" s="290" t="s">
        <v>8710</v>
      </c>
      <c r="E1157" s="290" t="s">
        <v>8745</v>
      </c>
      <c r="F1157" s="290" t="s">
        <v>8115</v>
      </c>
      <c r="G1157" s="415">
        <v>3200</v>
      </c>
      <c r="H1157" s="701" t="s">
        <v>9091</v>
      </c>
    </row>
    <row r="1158" spans="1:8" s="288" customFormat="1" ht="33">
      <c r="A1158" s="427">
        <v>199</v>
      </c>
      <c r="B1158" s="423" t="s">
        <v>8746</v>
      </c>
      <c r="C1158" s="290" t="s">
        <v>8709</v>
      </c>
      <c r="D1158" s="290" t="s">
        <v>8710</v>
      </c>
      <c r="E1158" s="290" t="s">
        <v>8747</v>
      </c>
      <c r="F1158" s="290" t="s">
        <v>8115</v>
      </c>
      <c r="G1158" s="415">
        <v>4800</v>
      </c>
      <c r="H1158" s="701" t="s">
        <v>9092</v>
      </c>
    </row>
    <row r="1159" spans="1:8">
      <c r="A1159" s="634" t="s">
        <v>1114</v>
      </c>
      <c r="B1159" s="631" t="s">
        <v>5901</v>
      </c>
      <c r="C1159" s="677"/>
      <c r="D1159" s="635"/>
      <c r="E1159" s="634"/>
      <c r="F1159" s="634"/>
      <c r="G1159" s="672">
        <f>SUM(G1160:G1233)</f>
        <v>492700</v>
      </c>
      <c r="H1159" s="604"/>
    </row>
    <row r="1160" spans="1:8">
      <c r="A1160" s="427">
        <v>1</v>
      </c>
      <c r="B1160" s="273" t="s">
        <v>6799</v>
      </c>
      <c r="C1160" s="309" t="s">
        <v>6800</v>
      </c>
      <c r="D1160" s="309" t="s">
        <v>6801</v>
      </c>
      <c r="E1160" s="427" t="s">
        <v>6802</v>
      </c>
      <c r="F1160" s="427" t="s">
        <v>6803</v>
      </c>
      <c r="G1160" s="415">
        <v>3200</v>
      </c>
      <c r="H1160" s="681" t="s">
        <v>296</v>
      </c>
    </row>
    <row r="1161" spans="1:8">
      <c r="A1161" s="427">
        <v>2</v>
      </c>
      <c r="B1161" s="273" t="s">
        <v>6804</v>
      </c>
      <c r="C1161" s="309" t="s">
        <v>6800</v>
      </c>
      <c r="D1161" s="309" t="s">
        <v>6801</v>
      </c>
      <c r="E1161" s="427" t="s">
        <v>6805</v>
      </c>
      <c r="F1161" s="427" t="s">
        <v>6806</v>
      </c>
      <c r="G1161" s="415">
        <v>2000</v>
      </c>
      <c r="H1161" s="681" t="s">
        <v>296</v>
      </c>
    </row>
    <row r="1162" spans="1:8">
      <c r="A1162" s="427">
        <v>3</v>
      </c>
      <c r="B1162" s="273" t="s">
        <v>6807</v>
      </c>
      <c r="C1162" s="309" t="s">
        <v>6800</v>
      </c>
      <c r="D1162" s="309" t="s">
        <v>6801</v>
      </c>
      <c r="E1162" s="427" t="s">
        <v>6808</v>
      </c>
      <c r="F1162" s="427" t="s">
        <v>6809</v>
      </c>
      <c r="G1162" s="415">
        <v>2500</v>
      </c>
      <c r="H1162" s="681" t="s">
        <v>296</v>
      </c>
    </row>
    <row r="1163" spans="1:8">
      <c r="A1163" s="427">
        <v>4</v>
      </c>
      <c r="B1163" s="273" t="s">
        <v>6810</v>
      </c>
      <c r="C1163" s="309" t="s">
        <v>6800</v>
      </c>
      <c r="D1163" s="309" t="s">
        <v>6801</v>
      </c>
      <c r="E1163" s="427" t="s">
        <v>6811</v>
      </c>
      <c r="F1163" s="427" t="s">
        <v>6812</v>
      </c>
      <c r="G1163" s="415">
        <v>8000</v>
      </c>
      <c r="H1163" s="681" t="s">
        <v>964</v>
      </c>
    </row>
    <row r="1164" spans="1:8">
      <c r="A1164" s="427">
        <v>5</v>
      </c>
      <c r="B1164" s="271" t="s">
        <v>6813</v>
      </c>
      <c r="C1164" s="290" t="s">
        <v>6814</v>
      </c>
      <c r="D1164" s="290" t="s">
        <v>6815</v>
      </c>
      <c r="E1164" s="290" t="s">
        <v>6816</v>
      </c>
      <c r="F1164" s="290" t="s">
        <v>6817</v>
      </c>
      <c r="G1164" s="415">
        <v>2500</v>
      </c>
      <c r="H1164" s="681"/>
    </row>
    <row r="1165" spans="1:8">
      <c r="A1165" s="427">
        <v>6</v>
      </c>
      <c r="B1165" s="682" t="s">
        <v>6818</v>
      </c>
      <c r="C1165" s="290" t="s">
        <v>6814</v>
      </c>
      <c r="D1165" s="290" t="s">
        <v>6815</v>
      </c>
      <c r="E1165" s="290" t="s">
        <v>6819</v>
      </c>
      <c r="F1165" s="290" t="s">
        <v>6820</v>
      </c>
      <c r="G1165" s="416">
        <v>6400</v>
      </c>
      <c r="H1165" s="681"/>
    </row>
    <row r="1166" spans="1:8">
      <c r="A1166" s="427">
        <v>7</v>
      </c>
      <c r="B1166" s="271" t="s">
        <v>540</v>
      </c>
      <c r="C1166" s="290" t="s">
        <v>6814</v>
      </c>
      <c r="D1166" s="290" t="s">
        <v>6815</v>
      </c>
      <c r="E1166" s="290" t="s">
        <v>6821</v>
      </c>
      <c r="F1166" s="290" t="s">
        <v>6822</v>
      </c>
      <c r="G1166" s="415">
        <v>8800</v>
      </c>
      <c r="H1166" s="681"/>
    </row>
    <row r="1167" spans="1:8">
      <c r="A1167" s="427">
        <v>8</v>
      </c>
      <c r="B1167" s="682" t="s">
        <v>6823</v>
      </c>
      <c r="C1167" s="290" t="s">
        <v>6814</v>
      </c>
      <c r="D1167" s="290" t="s">
        <v>6815</v>
      </c>
      <c r="E1167" s="290" t="s">
        <v>6824</v>
      </c>
      <c r="F1167" s="290" t="s">
        <v>6821</v>
      </c>
      <c r="G1167" s="416">
        <v>5000</v>
      </c>
      <c r="H1167" s="681"/>
    </row>
    <row r="1168" spans="1:8">
      <c r="A1168" s="427">
        <v>9</v>
      </c>
      <c r="B1168" s="271" t="s">
        <v>6825</v>
      </c>
      <c r="C1168" s="290" t="s">
        <v>6814</v>
      </c>
      <c r="D1168" s="290" t="s">
        <v>6815</v>
      </c>
      <c r="E1168" s="290" t="s">
        <v>6826</v>
      </c>
      <c r="F1168" s="290" t="s">
        <v>6827</v>
      </c>
      <c r="G1168" s="415">
        <v>10800</v>
      </c>
      <c r="H1168" s="681"/>
    </row>
    <row r="1169" spans="1:8" ht="33">
      <c r="A1169" s="427">
        <v>10</v>
      </c>
      <c r="B1169" s="682" t="s">
        <v>6828</v>
      </c>
      <c r="C1169" s="290" t="s">
        <v>6829</v>
      </c>
      <c r="D1169" s="290" t="s">
        <v>6830</v>
      </c>
      <c r="E1169" s="290" t="s">
        <v>6831</v>
      </c>
      <c r="F1169" s="290" t="s">
        <v>6832</v>
      </c>
      <c r="G1169" s="416">
        <v>5800</v>
      </c>
      <c r="H1169" s="681"/>
    </row>
    <row r="1170" spans="1:8">
      <c r="A1170" s="427">
        <v>11</v>
      </c>
      <c r="B1170" s="271" t="s">
        <v>6833</v>
      </c>
      <c r="C1170" s="290" t="s">
        <v>6814</v>
      </c>
      <c r="D1170" s="290" t="s">
        <v>6815</v>
      </c>
      <c r="E1170" s="290" t="s">
        <v>6834</v>
      </c>
      <c r="F1170" s="290" t="s">
        <v>6835</v>
      </c>
      <c r="G1170" s="415">
        <v>5800</v>
      </c>
      <c r="H1170" s="681"/>
    </row>
    <row r="1171" spans="1:8" ht="33">
      <c r="A1171" s="427">
        <v>12</v>
      </c>
      <c r="B1171" s="271" t="s">
        <v>6836</v>
      </c>
      <c r="C1171" s="290" t="s">
        <v>6829</v>
      </c>
      <c r="D1171" s="290" t="s">
        <v>6830</v>
      </c>
      <c r="E1171" s="290" t="s">
        <v>6837</v>
      </c>
      <c r="F1171" s="290" t="s">
        <v>6838</v>
      </c>
      <c r="G1171" s="415">
        <v>3000</v>
      </c>
      <c r="H1171" s="681"/>
    </row>
    <row r="1172" spans="1:8" ht="33">
      <c r="A1172" s="427">
        <v>13</v>
      </c>
      <c r="B1172" s="682" t="s">
        <v>6839</v>
      </c>
      <c r="C1172" s="290" t="s">
        <v>6829</v>
      </c>
      <c r="D1172" s="290" t="s">
        <v>6830</v>
      </c>
      <c r="E1172" s="290" t="s">
        <v>6840</v>
      </c>
      <c r="F1172" s="290" t="s">
        <v>6841</v>
      </c>
      <c r="G1172" s="416">
        <v>3000</v>
      </c>
      <c r="H1172" s="681"/>
    </row>
    <row r="1173" spans="1:8" ht="33">
      <c r="A1173" s="427">
        <v>14</v>
      </c>
      <c r="B1173" s="271" t="s">
        <v>6842</v>
      </c>
      <c r="C1173" s="290" t="s">
        <v>6829</v>
      </c>
      <c r="D1173" s="290" t="s">
        <v>6830</v>
      </c>
      <c r="E1173" s="290" t="s">
        <v>6843</v>
      </c>
      <c r="F1173" s="290" t="s">
        <v>6840</v>
      </c>
      <c r="G1173" s="415">
        <v>5400</v>
      </c>
      <c r="H1173" s="681"/>
    </row>
    <row r="1174" spans="1:8">
      <c r="A1174" s="427">
        <v>15</v>
      </c>
      <c r="B1174" s="682" t="s">
        <v>6844</v>
      </c>
      <c r="C1174" s="290" t="s">
        <v>6800</v>
      </c>
      <c r="D1174" s="290" t="s">
        <v>6801</v>
      </c>
      <c r="E1174" s="290" t="s">
        <v>6845</v>
      </c>
      <c r="F1174" s="290" t="s">
        <v>6846</v>
      </c>
      <c r="G1174" s="416">
        <v>14500</v>
      </c>
      <c r="H1174" s="681"/>
    </row>
    <row r="1175" spans="1:8">
      <c r="A1175" s="427">
        <v>16</v>
      </c>
      <c r="B1175" s="682" t="s">
        <v>6807</v>
      </c>
      <c r="C1175" s="290" t="s">
        <v>6800</v>
      </c>
      <c r="D1175" s="290" t="s">
        <v>6801</v>
      </c>
      <c r="E1175" s="290" t="s">
        <v>6847</v>
      </c>
      <c r="F1175" s="290" t="s">
        <v>6848</v>
      </c>
      <c r="G1175" s="416">
        <v>5100</v>
      </c>
      <c r="H1175" s="681"/>
    </row>
    <row r="1176" spans="1:8">
      <c r="A1176" s="427">
        <v>17</v>
      </c>
      <c r="B1176" s="271" t="s">
        <v>6849</v>
      </c>
      <c r="C1176" s="290" t="s">
        <v>6800</v>
      </c>
      <c r="D1176" s="290" t="s">
        <v>6801</v>
      </c>
      <c r="E1176" s="290" t="s">
        <v>6850</v>
      </c>
      <c r="F1176" s="290" t="s">
        <v>6851</v>
      </c>
      <c r="G1176" s="415">
        <v>3500</v>
      </c>
      <c r="H1176" s="681"/>
    </row>
    <row r="1177" spans="1:8">
      <c r="A1177" s="427">
        <v>18</v>
      </c>
      <c r="B1177" s="682" t="s">
        <v>6852</v>
      </c>
      <c r="C1177" s="290" t="s">
        <v>6800</v>
      </c>
      <c r="D1177" s="290" t="s">
        <v>6801</v>
      </c>
      <c r="E1177" s="290" t="s">
        <v>6853</v>
      </c>
      <c r="F1177" s="290" t="s">
        <v>6854</v>
      </c>
      <c r="G1177" s="416">
        <v>5400</v>
      </c>
      <c r="H1177" s="681"/>
    </row>
    <row r="1178" spans="1:8">
      <c r="A1178" s="427">
        <v>19</v>
      </c>
      <c r="B1178" s="271" t="s">
        <v>6855</v>
      </c>
      <c r="C1178" s="290" t="s">
        <v>6856</v>
      </c>
      <c r="D1178" s="309" t="s">
        <v>6857</v>
      </c>
      <c r="E1178" s="290" t="s">
        <v>6858</v>
      </c>
      <c r="F1178" s="290" t="s">
        <v>6859</v>
      </c>
      <c r="G1178" s="415">
        <v>3500</v>
      </c>
      <c r="H1178" s="681"/>
    </row>
    <row r="1179" spans="1:8">
      <c r="A1179" s="427">
        <v>20</v>
      </c>
      <c r="B1179" s="271" t="s">
        <v>6860</v>
      </c>
      <c r="C1179" s="290" t="s">
        <v>6856</v>
      </c>
      <c r="D1179" s="309" t="s">
        <v>6857</v>
      </c>
      <c r="E1179" s="290" t="s">
        <v>6861</v>
      </c>
      <c r="F1179" s="290" t="s">
        <v>6862</v>
      </c>
      <c r="G1179" s="415">
        <v>23400</v>
      </c>
      <c r="H1179" s="681"/>
    </row>
    <row r="1180" spans="1:8">
      <c r="A1180" s="427">
        <v>21</v>
      </c>
      <c r="B1180" s="271" t="s">
        <v>6863</v>
      </c>
      <c r="C1180" s="290" t="s">
        <v>6856</v>
      </c>
      <c r="D1180" s="309" t="s">
        <v>6857</v>
      </c>
      <c r="E1180" s="290" t="s">
        <v>6864</v>
      </c>
      <c r="F1180" s="290" t="s">
        <v>6862</v>
      </c>
      <c r="G1180" s="415">
        <v>14200</v>
      </c>
      <c r="H1180" s="681"/>
    </row>
    <row r="1181" spans="1:8">
      <c r="A1181" s="427">
        <v>22</v>
      </c>
      <c r="B1181" s="271" t="s">
        <v>6865</v>
      </c>
      <c r="C1181" s="290" t="s">
        <v>6866</v>
      </c>
      <c r="D1181" s="309" t="s">
        <v>6867</v>
      </c>
      <c r="E1181" s="290" t="s">
        <v>6868</v>
      </c>
      <c r="F1181" s="290" t="s">
        <v>6869</v>
      </c>
      <c r="G1181" s="415">
        <v>6200</v>
      </c>
      <c r="H1181" s="681"/>
    </row>
    <row r="1182" spans="1:8">
      <c r="A1182" s="427">
        <v>23</v>
      </c>
      <c r="B1182" s="271" t="s">
        <v>6870</v>
      </c>
      <c r="C1182" s="290" t="s">
        <v>6866</v>
      </c>
      <c r="D1182" s="309" t="s">
        <v>6867</v>
      </c>
      <c r="E1182" s="290" t="s">
        <v>6871</v>
      </c>
      <c r="F1182" s="290" t="s">
        <v>6872</v>
      </c>
      <c r="G1182" s="415">
        <v>1600</v>
      </c>
      <c r="H1182" s="681"/>
    </row>
    <row r="1183" spans="1:8">
      <c r="A1183" s="427">
        <v>24</v>
      </c>
      <c r="B1183" s="682" t="s">
        <v>6873</v>
      </c>
      <c r="C1183" s="290" t="s">
        <v>6874</v>
      </c>
      <c r="D1183" s="309" t="s">
        <v>6875</v>
      </c>
      <c r="E1183" s="290" t="s">
        <v>6876</v>
      </c>
      <c r="F1183" s="290" t="s">
        <v>6876</v>
      </c>
      <c r="G1183" s="416">
        <v>8200</v>
      </c>
      <c r="H1183" s="681"/>
    </row>
    <row r="1184" spans="1:8">
      <c r="A1184" s="427">
        <v>25</v>
      </c>
      <c r="B1184" s="271" t="s">
        <v>6777</v>
      </c>
      <c r="C1184" s="290" t="s">
        <v>6874</v>
      </c>
      <c r="D1184" s="309" t="s">
        <v>6875</v>
      </c>
      <c r="E1184" s="290" t="s">
        <v>6877</v>
      </c>
      <c r="F1184" s="290" t="s">
        <v>6878</v>
      </c>
      <c r="G1184" s="415">
        <v>7400</v>
      </c>
      <c r="H1184" s="681"/>
    </row>
    <row r="1185" spans="1:8">
      <c r="A1185" s="427">
        <v>26</v>
      </c>
      <c r="B1185" s="682" t="s">
        <v>6735</v>
      </c>
      <c r="C1185" s="290" t="s">
        <v>6874</v>
      </c>
      <c r="D1185" s="309" t="s">
        <v>6875</v>
      </c>
      <c r="E1185" s="290" t="s">
        <v>6879</v>
      </c>
      <c r="F1185" s="290" t="s">
        <v>6880</v>
      </c>
      <c r="G1185" s="416">
        <v>11800</v>
      </c>
      <c r="H1185" s="681"/>
    </row>
    <row r="1186" spans="1:8">
      <c r="A1186" s="427">
        <v>27</v>
      </c>
      <c r="B1186" s="271" t="s">
        <v>6881</v>
      </c>
      <c r="C1186" s="290" t="s">
        <v>6882</v>
      </c>
      <c r="D1186" s="309" t="s">
        <v>6883</v>
      </c>
      <c r="E1186" s="290" t="s">
        <v>6884</v>
      </c>
      <c r="F1186" s="290" t="s">
        <v>6885</v>
      </c>
      <c r="G1186" s="415">
        <v>900</v>
      </c>
      <c r="H1186" s="681"/>
    </row>
    <row r="1187" spans="1:8">
      <c r="A1187" s="427">
        <v>28</v>
      </c>
      <c r="B1187" s="682" t="s">
        <v>6886</v>
      </c>
      <c r="C1187" s="290" t="s">
        <v>6866</v>
      </c>
      <c r="D1187" s="309" t="s">
        <v>6867</v>
      </c>
      <c r="E1187" s="290" t="s">
        <v>6887</v>
      </c>
      <c r="F1187" s="290" t="s">
        <v>6888</v>
      </c>
      <c r="G1187" s="416">
        <v>5200</v>
      </c>
      <c r="H1187" s="681"/>
    </row>
    <row r="1188" spans="1:8">
      <c r="A1188" s="427">
        <v>29</v>
      </c>
      <c r="B1188" s="271" t="s">
        <v>6889</v>
      </c>
      <c r="C1188" s="290" t="s">
        <v>6874</v>
      </c>
      <c r="D1188" s="309" t="s">
        <v>6875</v>
      </c>
      <c r="E1188" s="290" t="s">
        <v>6890</v>
      </c>
      <c r="F1188" s="290" t="s">
        <v>6891</v>
      </c>
      <c r="G1188" s="415">
        <v>11000</v>
      </c>
      <c r="H1188" s="681"/>
    </row>
    <row r="1189" spans="1:8">
      <c r="A1189" s="427">
        <v>30</v>
      </c>
      <c r="B1189" s="271" t="s">
        <v>6892</v>
      </c>
      <c r="C1189" s="290" t="s">
        <v>6893</v>
      </c>
      <c r="D1189" s="309" t="s">
        <v>6894</v>
      </c>
      <c r="E1189" s="290" t="s">
        <v>6895</v>
      </c>
      <c r="F1189" s="290" t="s">
        <v>6896</v>
      </c>
      <c r="G1189" s="415">
        <v>4900</v>
      </c>
      <c r="H1189" s="681"/>
    </row>
    <row r="1190" spans="1:8">
      <c r="A1190" s="427">
        <v>31</v>
      </c>
      <c r="B1190" s="271" t="s">
        <v>6538</v>
      </c>
      <c r="C1190" s="290" t="s">
        <v>6893</v>
      </c>
      <c r="D1190" s="309" t="s">
        <v>6894</v>
      </c>
      <c r="E1190" s="290" t="s">
        <v>6897</v>
      </c>
      <c r="F1190" s="290" t="s">
        <v>6898</v>
      </c>
      <c r="G1190" s="415">
        <v>900</v>
      </c>
      <c r="H1190" s="681"/>
    </row>
    <row r="1191" spans="1:8">
      <c r="A1191" s="427">
        <v>32</v>
      </c>
      <c r="B1191" s="683" t="s">
        <v>6899</v>
      </c>
      <c r="C1191" s="290" t="s">
        <v>6893</v>
      </c>
      <c r="D1191" s="309" t="s">
        <v>6894</v>
      </c>
      <c r="E1191" s="290" t="s">
        <v>6900</v>
      </c>
      <c r="F1191" s="290" t="s">
        <v>6901</v>
      </c>
      <c r="G1191" s="684">
        <v>15400</v>
      </c>
      <c r="H1191" s="681"/>
    </row>
    <row r="1192" spans="1:8">
      <c r="A1192" s="427">
        <v>33</v>
      </c>
      <c r="B1192" s="683" t="s">
        <v>6902</v>
      </c>
      <c r="C1192" s="290" t="s">
        <v>6893</v>
      </c>
      <c r="D1192" s="309" t="s">
        <v>6894</v>
      </c>
      <c r="E1192" s="290" t="s">
        <v>6903</v>
      </c>
      <c r="F1192" s="290" t="s">
        <v>6904</v>
      </c>
      <c r="G1192" s="684">
        <v>6400</v>
      </c>
      <c r="H1192" s="681"/>
    </row>
    <row r="1193" spans="1:8">
      <c r="A1193" s="427">
        <v>34</v>
      </c>
      <c r="B1193" s="683" t="s">
        <v>6905</v>
      </c>
      <c r="C1193" s="290" t="s">
        <v>6893</v>
      </c>
      <c r="D1193" s="309" t="s">
        <v>6894</v>
      </c>
      <c r="E1193" s="290" t="s">
        <v>6906</v>
      </c>
      <c r="F1193" s="290" t="s">
        <v>6907</v>
      </c>
      <c r="G1193" s="684">
        <v>15400</v>
      </c>
      <c r="H1193" s="681"/>
    </row>
    <row r="1194" spans="1:8">
      <c r="A1194" s="427">
        <v>35</v>
      </c>
      <c r="B1194" s="682" t="s">
        <v>6908</v>
      </c>
      <c r="C1194" s="290" t="s">
        <v>6909</v>
      </c>
      <c r="D1194" s="309" t="s">
        <v>6910</v>
      </c>
      <c r="E1194" s="290" t="s">
        <v>6911</v>
      </c>
      <c r="F1194" s="290" t="s">
        <v>6912</v>
      </c>
      <c r="G1194" s="416">
        <v>3700</v>
      </c>
      <c r="H1194" s="681"/>
    </row>
    <row r="1195" spans="1:8">
      <c r="A1195" s="427">
        <v>36</v>
      </c>
      <c r="B1195" s="682" t="s">
        <v>6211</v>
      </c>
      <c r="C1195" s="290" t="s">
        <v>6909</v>
      </c>
      <c r="D1195" s="309" t="s">
        <v>6910</v>
      </c>
      <c r="E1195" s="290" t="s">
        <v>6913</v>
      </c>
      <c r="F1195" s="290" t="s">
        <v>6914</v>
      </c>
      <c r="G1195" s="416">
        <v>3900</v>
      </c>
      <c r="H1195" s="681"/>
    </row>
    <row r="1196" spans="1:8">
      <c r="A1196" s="427">
        <v>37</v>
      </c>
      <c r="B1196" s="683" t="s">
        <v>6915</v>
      </c>
      <c r="C1196" s="290" t="s">
        <v>6916</v>
      </c>
      <c r="D1196" s="309" t="s">
        <v>6917</v>
      </c>
      <c r="E1196" s="290" t="s">
        <v>6918</v>
      </c>
      <c r="F1196" s="290" t="s">
        <v>6919</v>
      </c>
      <c r="G1196" s="684">
        <v>8700</v>
      </c>
      <c r="H1196" s="681"/>
    </row>
    <row r="1197" spans="1:8">
      <c r="A1197" s="427">
        <v>38</v>
      </c>
      <c r="B1197" s="682" t="s">
        <v>6920</v>
      </c>
      <c r="C1197" s="290" t="s">
        <v>5827</v>
      </c>
      <c r="D1197" s="309" t="s">
        <v>6921</v>
      </c>
      <c r="E1197" s="290" t="s">
        <v>6922</v>
      </c>
      <c r="F1197" s="290" t="s">
        <v>6923</v>
      </c>
      <c r="G1197" s="416">
        <v>12100</v>
      </c>
      <c r="H1197" s="681"/>
    </row>
    <row r="1198" spans="1:8">
      <c r="A1198" s="427">
        <v>39</v>
      </c>
      <c r="B1198" s="682" t="s">
        <v>6924</v>
      </c>
      <c r="C1198" s="290" t="s">
        <v>5827</v>
      </c>
      <c r="D1198" s="309" t="s">
        <v>6921</v>
      </c>
      <c r="E1198" s="290" t="s">
        <v>6925</v>
      </c>
      <c r="F1198" s="290" t="s">
        <v>6926</v>
      </c>
      <c r="G1198" s="416">
        <v>9700</v>
      </c>
      <c r="H1198" s="681"/>
    </row>
    <row r="1199" spans="1:8">
      <c r="A1199" s="427">
        <v>40</v>
      </c>
      <c r="B1199" s="682" t="s">
        <v>6538</v>
      </c>
      <c r="C1199" s="290" t="s">
        <v>6916</v>
      </c>
      <c r="D1199" s="309" t="s">
        <v>6917</v>
      </c>
      <c r="E1199" s="290" t="s">
        <v>6927</v>
      </c>
      <c r="F1199" s="290" t="s">
        <v>6928</v>
      </c>
      <c r="G1199" s="416">
        <v>24500</v>
      </c>
      <c r="H1199" s="681"/>
    </row>
    <row r="1200" spans="1:8">
      <c r="A1200" s="427">
        <v>41</v>
      </c>
      <c r="B1200" s="682" t="s">
        <v>6929</v>
      </c>
      <c r="C1200" s="290" t="s">
        <v>6916</v>
      </c>
      <c r="D1200" s="309" t="s">
        <v>6917</v>
      </c>
      <c r="E1200" s="290" t="s">
        <v>6930</v>
      </c>
      <c r="F1200" s="290" t="s">
        <v>6931</v>
      </c>
      <c r="G1200" s="416">
        <v>24500</v>
      </c>
      <c r="H1200" s="681"/>
    </row>
    <row r="1201" spans="1:8">
      <c r="A1201" s="427">
        <v>42</v>
      </c>
      <c r="B1201" s="271" t="s">
        <v>6932</v>
      </c>
      <c r="C1201" s="290" t="s">
        <v>6916</v>
      </c>
      <c r="D1201" s="309" t="s">
        <v>6917</v>
      </c>
      <c r="E1201" s="290" t="s">
        <v>6933</v>
      </c>
      <c r="F1201" s="290" t="s">
        <v>6934</v>
      </c>
      <c r="G1201" s="415">
        <v>7200</v>
      </c>
      <c r="H1201" s="681"/>
    </row>
    <row r="1202" spans="1:8">
      <c r="A1202" s="427">
        <v>43</v>
      </c>
      <c r="B1202" s="271" t="s">
        <v>6935</v>
      </c>
      <c r="C1202" s="290" t="s">
        <v>6916</v>
      </c>
      <c r="D1202" s="309" t="s">
        <v>6917</v>
      </c>
      <c r="E1202" s="290" t="s">
        <v>6936</v>
      </c>
      <c r="F1202" s="290" t="s">
        <v>6937</v>
      </c>
      <c r="G1202" s="415">
        <v>3100</v>
      </c>
      <c r="H1202" s="681"/>
    </row>
    <row r="1203" spans="1:8">
      <c r="A1203" s="427">
        <v>44</v>
      </c>
      <c r="B1203" s="271" t="s">
        <v>6938</v>
      </c>
      <c r="C1203" s="290" t="s">
        <v>6939</v>
      </c>
      <c r="D1203" s="309" t="s">
        <v>6940</v>
      </c>
      <c r="E1203" s="290" t="s">
        <v>6941</v>
      </c>
      <c r="F1203" s="290" t="s">
        <v>6942</v>
      </c>
      <c r="G1203" s="415">
        <v>3000</v>
      </c>
      <c r="H1203" s="681"/>
    </row>
    <row r="1204" spans="1:8">
      <c r="A1204" s="427">
        <v>45</v>
      </c>
      <c r="B1204" s="271" t="s">
        <v>6943</v>
      </c>
      <c r="C1204" s="290" t="s">
        <v>6939</v>
      </c>
      <c r="D1204" s="309" t="s">
        <v>6940</v>
      </c>
      <c r="E1204" s="290" t="s">
        <v>6944</v>
      </c>
      <c r="F1204" s="290" t="s">
        <v>6945</v>
      </c>
      <c r="G1204" s="415">
        <v>11200</v>
      </c>
      <c r="H1204" s="427"/>
    </row>
    <row r="1205" spans="1:8">
      <c r="A1205" s="427">
        <v>46</v>
      </c>
      <c r="B1205" s="271" t="s">
        <v>6946</v>
      </c>
      <c r="C1205" s="290" t="s">
        <v>6947</v>
      </c>
      <c r="D1205" s="309" t="s">
        <v>6948</v>
      </c>
      <c r="E1205" s="290" t="s">
        <v>6949</v>
      </c>
      <c r="F1205" s="290" t="s">
        <v>6950</v>
      </c>
      <c r="G1205" s="415">
        <v>7100</v>
      </c>
      <c r="H1205" s="427"/>
    </row>
    <row r="1206" spans="1:8" ht="33">
      <c r="A1206" s="427">
        <v>47</v>
      </c>
      <c r="B1206" s="271" t="s">
        <v>6951</v>
      </c>
      <c r="C1206" s="290" t="s">
        <v>6952</v>
      </c>
      <c r="D1206" s="309" t="s">
        <v>6953</v>
      </c>
      <c r="E1206" s="290" t="s">
        <v>6954</v>
      </c>
      <c r="F1206" s="290" t="s">
        <v>6955</v>
      </c>
      <c r="G1206" s="415">
        <v>5100</v>
      </c>
      <c r="H1206" s="427"/>
    </row>
    <row r="1207" spans="1:8">
      <c r="A1207" s="427">
        <v>48</v>
      </c>
      <c r="B1207" s="271" t="s">
        <v>6956</v>
      </c>
      <c r="C1207" s="290" t="s">
        <v>6957</v>
      </c>
      <c r="D1207" s="309" t="s">
        <v>6958</v>
      </c>
      <c r="E1207" s="290" t="s">
        <v>6959</v>
      </c>
      <c r="F1207" s="290" t="s">
        <v>6960</v>
      </c>
      <c r="G1207" s="415">
        <v>5300</v>
      </c>
      <c r="H1207" s="427"/>
    </row>
    <row r="1208" spans="1:8">
      <c r="A1208" s="427">
        <v>49</v>
      </c>
      <c r="B1208" s="271" t="s">
        <v>6961</v>
      </c>
      <c r="C1208" s="290" t="s">
        <v>6962</v>
      </c>
      <c r="D1208" s="309" t="s">
        <v>6963</v>
      </c>
      <c r="E1208" s="290" t="s">
        <v>6964</v>
      </c>
      <c r="F1208" s="290" t="s">
        <v>6965</v>
      </c>
      <c r="G1208" s="415">
        <v>15000</v>
      </c>
      <c r="H1208" s="427"/>
    </row>
    <row r="1209" spans="1:8">
      <c r="A1209" s="427">
        <v>50</v>
      </c>
      <c r="B1209" s="271" t="s">
        <v>6966</v>
      </c>
      <c r="C1209" s="290" t="s">
        <v>6962</v>
      </c>
      <c r="D1209" s="309" t="s">
        <v>6963</v>
      </c>
      <c r="E1209" s="290" t="s">
        <v>6967</v>
      </c>
      <c r="F1209" s="290" t="s">
        <v>6968</v>
      </c>
      <c r="G1209" s="415">
        <v>15000</v>
      </c>
      <c r="H1209" s="427"/>
    </row>
    <row r="1210" spans="1:8">
      <c r="A1210" s="427">
        <v>51</v>
      </c>
      <c r="B1210" s="271" t="s">
        <v>6969</v>
      </c>
      <c r="C1210" s="290" t="s">
        <v>6957</v>
      </c>
      <c r="D1210" s="309" t="s">
        <v>6958</v>
      </c>
      <c r="E1210" s="290" t="s">
        <v>6970</v>
      </c>
      <c r="F1210" s="290" t="s">
        <v>6971</v>
      </c>
      <c r="G1210" s="415">
        <v>4500</v>
      </c>
      <c r="H1210" s="427"/>
    </row>
    <row r="1211" spans="1:8">
      <c r="A1211" s="427">
        <v>52</v>
      </c>
      <c r="B1211" s="271" t="s">
        <v>6972</v>
      </c>
      <c r="C1211" s="290" t="s">
        <v>6957</v>
      </c>
      <c r="D1211" s="309" t="s">
        <v>6958</v>
      </c>
      <c r="E1211" s="290" t="s">
        <v>6973</v>
      </c>
      <c r="F1211" s="290" t="s">
        <v>6974</v>
      </c>
      <c r="G1211" s="415">
        <v>5200</v>
      </c>
      <c r="H1211" s="427"/>
    </row>
    <row r="1212" spans="1:8">
      <c r="A1212" s="427">
        <v>53</v>
      </c>
      <c r="B1212" s="271" t="s">
        <v>6975</v>
      </c>
      <c r="C1212" s="290" t="s">
        <v>6957</v>
      </c>
      <c r="D1212" s="309" t="s">
        <v>6958</v>
      </c>
      <c r="E1212" s="290" t="s">
        <v>6976</v>
      </c>
      <c r="F1212" s="290" t="s">
        <v>6977</v>
      </c>
      <c r="G1212" s="415">
        <v>2100</v>
      </c>
      <c r="H1212" s="427"/>
    </row>
    <row r="1213" spans="1:8" ht="33">
      <c r="A1213" s="427">
        <v>54</v>
      </c>
      <c r="B1213" s="271" t="s">
        <v>6978</v>
      </c>
      <c r="C1213" s="290" t="s">
        <v>6829</v>
      </c>
      <c r="D1213" s="309" t="s">
        <v>6830</v>
      </c>
      <c r="E1213" s="290" t="s">
        <v>6979</v>
      </c>
      <c r="F1213" s="290" t="s">
        <v>6980</v>
      </c>
      <c r="G1213" s="415">
        <v>3000</v>
      </c>
      <c r="H1213" s="427"/>
    </row>
    <row r="1214" spans="1:8" ht="33">
      <c r="A1214" s="427">
        <v>55</v>
      </c>
      <c r="B1214" s="271" t="s">
        <v>6981</v>
      </c>
      <c r="C1214" s="290" t="s">
        <v>6829</v>
      </c>
      <c r="D1214" s="309" t="s">
        <v>6830</v>
      </c>
      <c r="E1214" s="290" t="s">
        <v>6982</v>
      </c>
      <c r="F1214" s="290" t="s">
        <v>6983</v>
      </c>
      <c r="G1214" s="415">
        <v>12400</v>
      </c>
      <c r="H1214" s="427"/>
    </row>
    <row r="1215" spans="1:8" ht="33">
      <c r="A1215" s="427">
        <v>56</v>
      </c>
      <c r="B1215" s="271" t="s">
        <v>6984</v>
      </c>
      <c r="C1215" s="290" t="s">
        <v>6829</v>
      </c>
      <c r="D1215" s="309" t="s">
        <v>6830</v>
      </c>
      <c r="E1215" s="290" t="s">
        <v>6985</v>
      </c>
      <c r="F1215" s="290" t="s">
        <v>6986</v>
      </c>
      <c r="G1215" s="415">
        <v>1800</v>
      </c>
      <c r="H1215" s="427"/>
    </row>
    <row r="1216" spans="1:8" ht="33">
      <c r="A1216" s="427">
        <v>57</v>
      </c>
      <c r="B1216" s="271" t="s">
        <v>6987</v>
      </c>
      <c r="C1216" s="290" t="s">
        <v>6829</v>
      </c>
      <c r="D1216" s="309" t="s">
        <v>6830</v>
      </c>
      <c r="E1216" s="290" t="s">
        <v>6988</v>
      </c>
      <c r="F1216" s="290" t="s">
        <v>6989</v>
      </c>
      <c r="G1216" s="415">
        <v>2700</v>
      </c>
      <c r="H1216" s="427"/>
    </row>
    <row r="1217" spans="1:8">
      <c r="A1217" s="427">
        <v>58</v>
      </c>
      <c r="B1217" s="271" t="s">
        <v>6990</v>
      </c>
      <c r="C1217" s="290" t="s">
        <v>6991</v>
      </c>
      <c r="D1217" s="309" t="s">
        <v>6992</v>
      </c>
      <c r="E1217" s="302" t="s">
        <v>6993</v>
      </c>
      <c r="F1217" s="290" t="s">
        <v>6994</v>
      </c>
      <c r="G1217" s="415">
        <v>9100</v>
      </c>
      <c r="H1217" s="427"/>
    </row>
    <row r="1218" spans="1:8">
      <c r="A1218" s="427">
        <v>59</v>
      </c>
      <c r="B1218" s="271" t="s">
        <v>6995</v>
      </c>
      <c r="C1218" s="290" t="s">
        <v>6991</v>
      </c>
      <c r="D1218" s="309" t="s">
        <v>6992</v>
      </c>
      <c r="E1218" s="302" t="s">
        <v>6996</v>
      </c>
      <c r="F1218" s="290" t="s">
        <v>6997</v>
      </c>
      <c r="G1218" s="415">
        <v>1500</v>
      </c>
      <c r="H1218" s="427"/>
    </row>
    <row r="1219" spans="1:8">
      <c r="A1219" s="427">
        <v>60</v>
      </c>
      <c r="B1219" s="271" t="s">
        <v>6998</v>
      </c>
      <c r="C1219" s="290" t="s">
        <v>6991</v>
      </c>
      <c r="D1219" s="309" t="s">
        <v>6992</v>
      </c>
      <c r="E1219" s="302" t="s">
        <v>6999</v>
      </c>
      <c r="F1219" s="290" t="s">
        <v>7000</v>
      </c>
      <c r="G1219" s="415">
        <v>3800</v>
      </c>
      <c r="H1219" s="427"/>
    </row>
    <row r="1220" spans="1:8" ht="33">
      <c r="A1220" s="427">
        <v>61</v>
      </c>
      <c r="B1220" s="271" t="s">
        <v>7001</v>
      </c>
      <c r="C1220" s="290" t="s">
        <v>7002</v>
      </c>
      <c r="D1220" s="309" t="s">
        <v>7003</v>
      </c>
      <c r="E1220" s="302" t="s">
        <v>7004</v>
      </c>
      <c r="F1220" s="290" t="s">
        <v>7005</v>
      </c>
      <c r="G1220" s="415">
        <v>4100</v>
      </c>
      <c r="H1220" s="427"/>
    </row>
    <row r="1221" spans="1:8">
      <c r="A1221" s="427">
        <v>62</v>
      </c>
      <c r="B1221" s="271" t="s">
        <v>7006</v>
      </c>
      <c r="C1221" s="290" t="s">
        <v>6991</v>
      </c>
      <c r="D1221" s="309" t="s">
        <v>6992</v>
      </c>
      <c r="E1221" s="302" t="s">
        <v>7007</v>
      </c>
      <c r="F1221" s="290" t="s">
        <v>7008</v>
      </c>
      <c r="G1221" s="415">
        <v>1700</v>
      </c>
      <c r="H1221" s="427"/>
    </row>
    <row r="1222" spans="1:8">
      <c r="A1222" s="427">
        <v>63</v>
      </c>
      <c r="B1222" s="271" t="s">
        <v>7009</v>
      </c>
      <c r="C1222" s="290" t="s">
        <v>6991</v>
      </c>
      <c r="D1222" s="309" t="s">
        <v>6992</v>
      </c>
      <c r="E1222" s="302" t="s">
        <v>7010</v>
      </c>
      <c r="F1222" s="290" t="s">
        <v>7011</v>
      </c>
      <c r="G1222" s="415">
        <v>800</v>
      </c>
      <c r="H1222" s="427"/>
    </row>
    <row r="1223" spans="1:8">
      <c r="A1223" s="427">
        <v>64</v>
      </c>
      <c r="B1223" s="271" t="s">
        <v>7012</v>
      </c>
      <c r="C1223" s="290" t="s">
        <v>6991</v>
      </c>
      <c r="D1223" s="309" t="s">
        <v>6992</v>
      </c>
      <c r="E1223" s="302" t="s">
        <v>7013</v>
      </c>
      <c r="F1223" s="290" t="s">
        <v>7014</v>
      </c>
      <c r="G1223" s="415">
        <v>1700</v>
      </c>
      <c r="H1223" s="427"/>
    </row>
    <row r="1224" spans="1:8">
      <c r="A1224" s="427">
        <v>65</v>
      </c>
      <c r="B1224" s="271" t="s">
        <v>6780</v>
      </c>
      <c r="C1224" s="290" t="s">
        <v>7015</v>
      </c>
      <c r="D1224" s="309" t="s">
        <v>7016</v>
      </c>
      <c r="E1224" s="302" t="s">
        <v>7017</v>
      </c>
      <c r="F1224" s="290" t="s">
        <v>7018</v>
      </c>
      <c r="G1224" s="415">
        <v>7900</v>
      </c>
      <c r="H1224" s="427"/>
    </row>
    <row r="1225" spans="1:8">
      <c r="A1225" s="427">
        <v>66</v>
      </c>
      <c r="B1225" s="271" t="s">
        <v>6781</v>
      </c>
      <c r="C1225" s="290" t="s">
        <v>7015</v>
      </c>
      <c r="D1225" s="309" t="s">
        <v>7016</v>
      </c>
      <c r="E1225" s="302" t="s">
        <v>7019</v>
      </c>
      <c r="F1225" s="290" t="s">
        <v>7020</v>
      </c>
      <c r="G1225" s="415">
        <v>8300</v>
      </c>
      <c r="H1225" s="427"/>
    </row>
    <row r="1226" spans="1:8">
      <c r="A1226" s="427">
        <v>67</v>
      </c>
      <c r="B1226" s="271" t="s">
        <v>6782</v>
      </c>
      <c r="C1226" s="290" t="s">
        <v>7015</v>
      </c>
      <c r="D1226" s="309" t="s">
        <v>7021</v>
      </c>
      <c r="E1226" s="302" t="s">
        <v>7022</v>
      </c>
      <c r="F1226" s="290" t="s">
        <v>7023</v>
      </c>
      <c r="G1226" s="415">
        <v>4200</v>
      </c>
      <c r="H1226" s="427"/>
    </row>
    <row r="1227" spans="1:8">
      <c r="A1227" s="427">
        <v>68</v>
      </c>
      <c r="B1227" s="271" t="s">
        <v>6783</v>
      </c>
      <c r="C1227" s="290" t="s">
        <v>7015</v>
      </c>
      <c r="D1227" s="309" t="s">
        <v>7021</v>
      </c>
      <c r="E1227" s="302" t="s">
        <v>7024</v>
      </c>
      <c r="F1227" s="290" t="s">
        <v>7025</v>
      </c>
      <c r="G1227" s="415">
        <v>5200</v>
      </c>
      <c r="H1227" s="427"/>
    </row>
    <row r="1228" spans="1:8">
      <c r="A1228" s="427">
        <v>69</v>
      </c>
      <c r="B1228" s="271" t="s">
        <v>6784</v>
      </c>
      <c r="C1228" s="290" t="s">
        <v>7015</v>
      </c>
      <c r="D1228" s="309" t="s">
        <v>7021</v>
      </c>
      <c r="E1228" s="302" t="s">
        <v>7026</v>
      </c>
      <c r="F1228" s="290" t="s">
        <v>7027</v>
      </c>
      <c r="G1228" s="415">
        <v>3900</v>
      </c>
      <c r="H1228" s="427"/>
    </row>
    <row r="1229" spans="1:8">
      <c r="A1229" s="427">
        <v>70</v>
      </c>
      <c r="B1229" s="271" t="s">
        <v>6785</v>
      </c>
      <c r="C1229" s="290" t="s">
        <v>7015</v>
      </c>
      <c r="D1229" s="309" t="s">
        <v>7021</v>
      </c>
      <c r="E1229" s="302" t="s">
        <v>7028</v>
      </c>
      <c r="F1229" s="290" t="s">
        <v>7029</v>
      </c>
      <c r="G1229" s="415">
        <v>5500</v>
      </c>
      <c r="H1229" s="427"/>
    </row>
    <row r="1230" spans="1:8">
      <c r="A1230" s="427">
        <v>71</v>
      </c>
      <c r="B1230" s="271" t="s">
        <v>7030</v>
      </c>
      <c r="C1230" s="290" t="s">
        <v>6909</v>
      </c>
      <c r="D1230" s="309" t="s">
        <v>6910</v>
      </c>
      <c r="E1230" s="427" t="s">
        <v>7031</v>
      </c>
      <c r="F1230" s="427" t="s">
        <v>7032</v>
      </c>
      <c r="G1230" s="415">
        <v>1600</v>
      </c>
      <c r="H1230" s="685" t="s">
        <v>179</v>
      </c>
    </row>
    <row r="1231" spans="1:8">
      <c r="A1231" s="427">
        <v>72</v>
      </c>
      <c r="B1231" s="271" t="s">
        <v>7033</v>
      </c>
      <c r="C1231" s="290" t="s">
        <v>6909</v>
      </c>
      <c r="D1231" s="309" t="s">
        <v>6910</v>
      </c>
      <c r="E1231" s="427" t="s">
        <v>7034</v>
      </c>
      <c r="F1231" s="427" t="s">
        <v>7035</v>
      </c>
      <c r="G1231" s="415">
        <v>2000</v>
      </c>
      <c r="H1231" s="685" t="s">
        <v>179</v>
      </c>
    </row>
    <row r="1232" spans="1:8">
      <c r="A1232" s="427">
        <v>73</v>
      </c>
      <c r="B1232" s="271" t="s">
        <v>7036</v>
      </c>
      <c r="C1232" s="290" t="s">
        <v>6909</v>
      </c>
      <c r="D1232" s="309" t="s">
        <v>6910</v>
      </c>
      <c r="E1232" s="427" t="s">
        <v>7032</v>
      </c>
      <c r="F1232" s="427" t="s">
        <v>7037</v>
      </c>
      <c r="G1232" s="415">
        <v>1500</v>
      </c>
      <c r="H1232" s="685" t="s">
        <v>179</v>
      </c>
    </row>
    <row r="1233" spans="1:8">
      <c r="A1233" s="427">
        <v>74</v>
      </c>
      <c r="B1233" s="271" t="s">
        <v>6807</v>
      </c>
      <c r="C1233" s="290" t="s">
        <v>6909</v>
      </c>
      <c r="D1233" s="309" t="s">
        <v>6910</v>
      </c>
      <c r="E1233" s="427" t="s">
        <v>7038</v>
      </c>
      <c r="F1233" s="427" t="s">
        <v>7039</v>
      </c>
      <c r="G1233" s="415">
        <v>2000</v>
      </c>
      <c r="H1233" s="685" t="s">
        <v>215</v>
      </c>
    </row>
    <row r="1234" spans="1:8" ht="43.5" customHeight="1">
      <c r="A1234" s="802" t="s">
        <v>9050</v>
      </c>
      <c r="B1234" s="802"/>
      <c r="C1234" s="802"/>
      <c r="D1234" s="802"/>
      <c r="E1234" s="802"/>
      <c r="F1234" s="802"/>
      <c r="G1234" s="672">
        <f>G1235+G2240+G2695</f>
        <v>2310781.1399999997</v>
      </c>
      <c r="H1234" s="605"/>
    </row>
    <row r="1235" spans="1:8">
      <c r="A1235" s="606" t="s">
        <v>1110</v>
      </c>
      <c r="B1235" s="632" t="s">
        <v>5190</v>
      </c>
      <c r="C1235" s="606"/>
      <c r="D1235" s="606"/>
      <c r="E1235" s="606"/>
      <c r="F1235" s="606"/>
      <c r="G1235" s="672">
        <f>SUM(G1236:G2239)</f>
        <v>1128043.2999999998</v>
      </c>
      <c r="H1235" s="605"/>
    </row>
    <row r="1236" spans="1:8" s="673" customFormat="1">
      <c r="A1236" s="309">
        <v>1</v>
      </c>
      <c r="B1236" s="275" t="s">
        <v>3251</v>
      </c>
      <c r="C1236" s="706" t="s">
        <v>5074</v>
      </c>
      <c r="D1236" s="418" t="str">
        <f t="shared" ref="D1236:D1285" si="18">"UBND "&amp;C1236</f>
        <v>UBND Phường An Phú Đông</v>
      </c>
      <c r="E1236" s="287" t="s">
        <v>2420</v>
      </c>
      <c r="F1236" s="287" t="s">
        <v>407</v>
      </c>
      <c r="G1236" s="415">
        <v>1300</v>
      </c>
      <c r="H1236" s="287"/>
    </row>
    <row r="1237" spans="1:8" s="673" customFormat="1">
      <c r="A1237" s="309">
        <v>2</v>
      </c>
      <c r="B1237" s="277" t="s">
        <v>2493</v>
      </c>
      <c r="C1237" s="706" t="s">
        <v>5074</v>
      </c>
      <c r="D1237" s="418" t="str">
        <f t="shared" si="18"/>
        <v>UBND Phường An Phú Đông</v>
      </c>
      <c r="E1237" s="505" t="s">
        <v>387</v>
      </c>
      <c r="F1237" s="505" t="s">
        <v>433</v>
      </c>
      <c r="G1237" s="415">
        <v>213</v>
      </c>
      <c r="H1237" s="370"/>
    </row>
    <row r="1238" spans="1:8" s="673" customFormat="1">
      <c r="A1238" s="309">
        <v>3</v>
      </c>
      <c r="B1238" s="277" t="s">
        <v>2494</v>
      </c>
      <c r="C1238" s="706" t="s">
        <v>5074</v>
      </c>
      <c r="D1238" s="418" t="str">
        <f t="shared" si="18"/>
        <v>UBND Phường An Phú Đông</v>
      </c>
      <c r="E1238" s="505" t="s">
        <v>387</v>
      </c>
      <c r="F1238" s="505" t="s">
        <v>433</v>
      </c>
      <c r="G1238" s="415">
        <v>140</v>
      </c>
      <c r="H1238" s="370"/>
    </row>
    <row r="1239" spans="1:8" s="673" customFormat="1">
      <c r="A1239" s="309">
        <v>4</v>
      </c>
      <c r="B1239" s="277" t="s">
        <v>2495</v>
      </c>
      <c r="C1239" s="706" t="s">
        <v>5074</v>
      </c>
      <c r="D1239" s="418" t="str">
        <f t="shared" si="18"/>
        <v>UBND Phường An Phú Đông</v>
      </c>
      <c r="E1239" s="505" t="s">
        <v>387</v>
      </c>
      <c r="F1239" s="505" t="s">
        <v>433</v>
      </c>
      <c r="G1239" s="415">
        <v>192</v>
      </c>
      <c r="H1239" s="370"/>
    </row>
    <row r="1240" spans="1:8" s="673" customFormat="1">
      <c r="A1240" s="309">
        <v>5</v>
      </c>
      <c r="B1240" s="277" t="s">
        <v>2496</v>
      </c>
      <c r="C1240" s="706" t="s">
        <v>5074</v>
      </c>
      <c r="D1240" s="418" t="str">
        <f t="shared" si="18"/>
        <v>UBND Phường An Phú Đông</v>
      </c>
      <c r="E1240" s="505" t="s">
        <v>387</v>
      </c>
      <c r="F1240" s="505" t="s">
        <v>433</v>
      </c>
      <c r="G1240" s="415">
        <v>105</v>
      </c>
      <c r="H1240" s="370"/>
    </row>
    <row r="1241" spans="1:8" s="673" customFormat="1">
      <c r="A1241" s="309">
        <v>6</v>
      </c>
      <c r="B1241" s="277" t="s">
        <v>2497</v>
      </c>
      <c r="C1241" s="706" t="s">
        <v>5074</v>
      </c>
      <c r="D1241" s="418" t="str">
        <f t="shared" si="18"/>
        <v>UBND Phường An Phú Đông</v>
      </c>
      <c r="E1241" s="505" t="s">
        <v>387</v>
      </c>
      <c r="F1241" s="505" t="s">
        <v>433</v>
      </c>
      <c r="G1241" s="415">
        <v>127</v>
      </c>
      <c r="H1241" s="370"/>
    </row>
    <row r="1242" spans="1:8" s="673" customFormat="1">
      <c r="A1242" s="309">
        <v>7</v>
      </c>
      <c r="B1242" s="277" t="s">
        <v>2498</v>
      </c>
      <c r="C1242" s="706" t="s">
        <v>5074</v>
      </c>
      <c r="D1242" s="418" t="str">
        <f t="shared" si="18"/>
        <v>UBND Phường An Phú Đông</v>
      </c>
      <c r="E1242" s="505" t="s">
        <v>387</v>
      </c>
      <c r="F1242" s="505" t="s">
        <v>433</v>
      </c>
      <c r="G1242" s="415">
        <v>268</v>
      </c>
      <c r="H1242" s="370"/>
    </row>
    <row r="1243" spans="1:8" s="673" customFormat="1">
      <c r="A1243" s="309">
        <v>8</v>
      </c>
      <c r="B1243" s="277" t="s">
        <v>2500</v>
      </c>
      <c r="C1243" s="706" t="s">
        <v>5074</v>
      </c>
      <c r="D1243" s="418" t="str">
        <f t="shared" si="18"/>
        <v>UBND Phường An Phú Đông</v>
      </c>
      <c r="E1243" s="505" t="s">
        <v>387</v>
      </c>
      <c r="F1243" s="505" t="s">
        <v>433</v>
      </c>
      <c r="G1243" s="415">
        <v>124</v>
      </c>
      <c r="H1243" s="370"/>
    </row>
    <row r="1244" spans="1:8" s="673" customFormat="1">
      <c r="A1244" s="309">
        <v>9</v>
      </c>
      <c r="B1244" s="277" t="s">
        <v>2501</v>
      </c>
      <c r="C1244" s="706" t="s">
        <v>5074</v>
      </c>
      <c r="D1244" s="418" t="str">
        <f t="shared" si="18"/>
        <v>UBND Phường An Phú Đông</v>
      </c>
      <c r="E1244" s="505" t="s">
        <v>387</v>
      </c>
      <c r="F1244" s="505" t="s">
        <v>433</v>
      </c>
      <c r="G1244" s="415">
        <v>169</v>
      </c>
      <c r="H1244" s="370"/>
    </row>
    <row r="1245" spans="1:8" s="673" customFormat="1">
      <c r="A1245" s="309">
        <v>10</v>
      </c>
      <c r="B1245" s="277" t="s">
        <v>2502</v>
      </c>
      <c r="C1245" s="706" t="s">
        <v>5074</v>
      </c>
      <c r="D1245" s="418" t="str">
        <f t="shared" si="18"/>
        <v>UBND Phường An Phú Đông</v>
      </c>
      <c r="E1245" s="505" t="s">
        <v>387</v>
      </c>
      <c r="F1245" s="505" t="s">
        <v>600</v>
      </c>
      <c r="G1245" s="415">
        <v>121</v>
      </c>
      <c r="H1245" s="370"/>
    </row>
    <row r="1246" spans="1:8" s="673" customFormat="1">
      <c r="A1246" s="309">
        <v>11</v>
      </c>
      <c r="B1246" s="277" t="s">
        <v>2503</v>
      </c>
      <c r="C1246" s="706" t="s">
        <v>5074</v>
      </c>
      <c r="D1246" s="418" t="str">
        <f t="shared" si="18"/>
        <v>UBND Phường An Phú Đông</v>
      </c>
      <c r="E1246" s="505" t="s">
        <v>387</v>
      </c>
      <c r="F1246" s="505" t="s">
        <v>600</v>
      </c>
      <c r="G1246" s="415">
        <v>111</v>
      </c>
      <c r="H1246" s="370"/>
    </row>
    <row r="1247" spans="1:8" s="673" customFormat="1">
      <c r="A1247" s="309">
        <v>12</v>
      </c>
      <c r="B1247" s="277" t="s">
        <v>2504</v>
      </c>
      <c r="C1247" s="706" t="s">
        <v>5074</v>
      </c>
      <c r="D1247" s="418" t="str">
        <f t="shared" si="18"/>
        <v>UBND Phường An Phú Đông</v>
      </c>
      <c r="E1247" s="505" t="s">
        <v>387</v>
      </c>
      <c r="F1247" s="505" t="s">
        <v>600</v>
      </c>
      <c r="G1247" s="415">
        <v>283</v>
      </c>
      <c r="H1247" s="370"/>
    </row>
    <row r="1248" spans="1:8" s="673" customFormat="1">
      <c r="A1248" s="309">
        <v>13</v>
      </c>
      <c r="B1248" s="277" t="s">
        <v>3900</v>
      </c>
      <c r="C1248" s="706" t="s">
        <v>5074</v>
      </c>
      <c r="D1248" s="418" t="str">
        <f t="shared" si="18"/>
        <v>UBND Phường An Phú Đông</v>
      </c>
      <c r="E1248" s="505" t="s">
        <v>387</v>
      </c>
      <c r="F1248" s="505" t="s">
        <v>600</v>
      </c>
      <c r="G1248" s="415">
        <v>600</v>
      </c>
      <c r="H1248" s="370"/>
    </row>
    <row r="1249" spans="1:8" s="673" customFormat="1">
      <c r="A1249" s="309">
        <v>14</v>
      </c>
      <c r="B1249" s="277" t="s">
        <v>2505</v>
      </c>
      <c r="C1249" s="706" t="s">
        <v>5074</v>
      </c>
      <c r="D1249" s="418" t="str">
        <f t="shared" si="18"/>
        <v>UBND Phường An Phú Đông</v>
      </c>
      <c r="E1249" s="505" t="s">
        <v>387</v>
      </c>
      <c r="F1249" s="505" t="s">
        <v>600</v>
      </c>
      <c r="G1249" s="415">
        <v>255</v>
      </c>
      <c r="H1249" s="370"/>
    </row>
    <row r="1250" spans="1:8" s="673" customFormat="1">
      <c r="A1250" s="309">
        <v>15</v>
      </c>
      <c r="B1250" s="277" t="s">
        <v>2506</v>
      </c>
      <c r="C1250" s="706" t="s">
        <v>5074</v>
      </c>
      <c r="D1250" s="418" t="str">
        <f t="shared" si="18"/>
        <v>UBND Phường An Phú Đông</v>
      </c>
      <c r="E1250" s="505" t="s">
        <v>600</v>
      </c>
      <c r="F1250" s="505" t="s">
        <v>1009</v>
      </c>
      <c r="G1250" s="415">
        <v>1418</v>
      </c>
      <c r="H1250" s="370"/>
    </row>
    <row r="1251" spans="1:8" s="673" customFormat="1">
      <c r="A1251" s="309">
        <v>16</v>
      </c>
      <c r="B1251" s="277" t="s">
        <v>2423</v>
      </c>
      <c r="C1251" s="706" t="s">
        <v>5074</v>
      </c>
      <c r="D1251" s="418" t="str">
        <f t="shared" si="18"/>
        <v>UBND Phường An Phú Đông</v>
      </c>
      <c r="E1251" s="505" t="s">
        <v>387</v>
      </c>
      <c r="F1251" s="505" t="s">
        <v>600</v>
      </c>
      <c r="G1251" s="415">
        <v>317</v>
      </c>
      <c r="H1251" s="370"/>
    </row>
    <row r="1252" spans="1:8" s="673" customFormat="1">
      <c r="A1252" s="309">
        <v>17</v>
      </c>
      <c r="B1252" s="277" t="s">
        <v>2508</v>
      </c>
      <c r="C1252" s="706" t="s">
        <v>5074</v>
      </c>
      <c r="D1252" s="418" t="str">
        <f t="shared" si="18"/>
        <v>UBND Phường An Phú Đông</v>
      </c>
      <c r="E1252" s="505" t="s">
        <v>387</v>
      </c>
      <c r="F1252" s="505" t="s">
        <v>461</v>
      </c>
      <c r="G1252" s="415">
        <v>360</v>
      </c>
      <c r="H1252" s="370"/>
    </row>
    <row r="1253" spans="1:8" s="673" customFormat="1">
      <c r="A1253" s="309">
        <v>18</v>
      </c>
      <c r="B1253" s="277" t="s">
        <v>2509</v>
      </c>
      <c r="C1253" s="706" t="s">
        <v>5074</v>
      </c>
      <c r="D1253" s="418" t="str">
        <f t="shared" si="18"/>
        <v>UBND Phường An Phú Đông</v>
      </c>
      <c r="E1253" s="505" t="s">
        <v>998</v>
      </c>
      <c r="F1253" s="505" t="s">
        <v>588</v>
      </c>
      <c r="G1253" s="415">
        <v>421</v>
      </c>
      <c r="H1253" s="370"/>
    </row>
    <row r="1254" spans="1:8" s="673" customFormat="1">
      <c r="A1254" s="309">
        <v>19</v>
      </c>
      <c r="B1254" s="277" t="s">
        <v>2510</v>
      </c>
      <c r="C1254" s="706" t="s">
        <v>5074</v>
      </c>
      <c r="D1254" s="418" t="str">
        <f t="shared" si="18"/>
        <v>UBND Phường An Phú Đông</v>
      </c>
      <c r="E1254" s="505" t="s">
        <v>387</v>
      </c>
      <c r="F1254" s="505" t="s">
        <v>461</v>
      </c>
      <c r="G1254" s="415">
        <v>277</v>
      </c>
      <c r="H1254" s="370"/>
    </row>
    <row r="1255" spans="1:8" s="673" customFormat="1">
      <c r="A1255" s="309">
        <v>20</v>
      </c>
      <c r="B1255" s="277" t="s">
        <v>2511</v>
      </c>
      <c r="C1255" s="706" t="s">
        <v>5074</v>
      </c>
      <c r="D1255" s="418" t="str">
        <f t="shared" si="18"/>
        <v>UBND Phường An Phú Đông</v>
      </c>
      <c r="E1255" s="505" t="s">
        <v>387</v>
      </c>
      <c r="F1255" s="505" t="s">
        <v>461</v>
      </c>
      <c r="G1255" s="415">
        <v>540</v>
      </c>
      <c r="H1255" s="370"/>
    </row>
    <row r="1256" spans="1:8" s="673" customFormat="1">
      <c r="A1256" s="309">
        <v>21</v>
      </c>
      <c r="B1256" s="277" t="s">
        <v>2512</v>
      </c>
      <c r="C1256" s="706" t="s">
        <v>5074</v>
      </c>
      <c r="D1256" s="418" t="str">
        <f t="shared" si="18"/>
        <v>UBND Phường An Phú Đông</v>
      </c>
      <c r="E1256" s="505" t="s">
        <v>4930</v>
      </c>
      <c r="F1256" s="505" t="s">
        <v>433</v>
      </c>
      <c r="G1256" s="415">
        <v>630</v>
      </c>
      <c r="H1256" s="370"/>
    </row>
    <row r="1257" spans="1:8" s="673" customFormat="1">
      <c r="A1257" s="309">
        <v>22</v>
      </c>
      <c r="B1257" s="277" t="s">
        <v>2513</v>
      </c>
      <c r="C1257" s="706" t="s">
        <v>5074</v>
      </c>
      <c r="D1257" s="418" t="str">
        <f t="shared" si="18"/>
        <v>UBND Phường An Phú Đông</v>
      </c>
      <c r="E1257" s="505" t="s">
        <v>4931</v>
      </c>
      <c r="F1257" s="505" t="s">
        <v>993</v>
      </c>
      <c r="G1257" s="415">
        <v>240</v>
      </c>
      <c r="H1257" s="370"/>
    </row>
    <row r="1258" spans="1:8" s="673" customFormat="1">
      <c r="A1258" s="309">
        <v>23</v>
      </c>
      <c r="B1258" s="277" t="s">
        <v>4932</v>
      </c>
      <c r="C1258" s="706" t="s">
        <v>5074</v>
      </c>
      <c r="D1258" s="418" t="str">
        <f t="shared" si="18"/>
        <v>UBND Phường An Phú Đông</v>
      </c>
      <c r="E1258" s="505" t="s">
        <v>387</v>
      </c>
      <c r="F1258" s="505" t="s">
        <v>601</v>
      </c>
      <c r="G1258" s="415">
        <v>295</v>
      </c>
      <c r="H1258" s="370" t="s">
        <v>4933</v>
      </c>
    </row>
    <row r="1259" spans="1:8" s="673" customFormat="1">
      <c r="A1259" s="309">
        <v>24</v>
      </c>
      <c r="B1259" s="277" t="s">
        <v>1120</v>
      </c>
      <c r="C1259" s="706" t="s">
        <v>5074</v>
      </c>
      <c r="D1259" s="418" t="str">
        <f t="shared" si="18"/>
        <v>UBND Phường An Phú Đông</v>
      </c>
      <c r="E1259" s="505" t="s">
        <v>4934</v>
      </c>
      <c r="F1259" s="505" t="s">
        <v>433</v>
      </c>
      <c r="G1259" s="415">
        <v>150</v>
      </c>
      <c r="H1259" s="370" t="s">
        <v>997</v>
      </c>
    </row>
    <row r="1260" spans="1:8" s="673" customFormat="1">
      <c r="A1260" s="309">
        <v>25</v>
      </c>
      <c r="B1260" s="277" t="s">
        <v>2522</v>
      </c>
      <c r="C1260" s="706" t="s">
        <v>5074</v>
      </c>
      <c r="D1260" s="418" t="str">
        <f t="shared" si="18"/>
        <v>UBND Phường An Phú Đông</v>
      </c>
      <c r="E1260" s="505" t="s">
        <v>387</v>
      </c>
      <c r="F1260" s="505" t="s">
        <v>461</v>
      </c>
      <c r="G1260" s="415">
        <v>1500</v>
      </c>
      <c r="H1260" s="370"/>
    </row>
    <row r="1261" spans="1:8" s="673" customFormat="1">
      <c r="A1261" s="309">
        <v>26</v>
      </c>
      <c r="B1261" s="277" t="s">
        <v>4936</v>
      </c>
      <c r="C1261" s="706" t="s">
        <v>5074</v>
      </c>
      <c r="D1261" s="418" t="str">
        <f t="shared" si="18"/>
        <v>UBND Phường An Phú Đông</v>
      </c>
      <c r="E1261" s="505" t="s">
        <v>4937</v>
      </c>
      <c r="F1261" s="505" t="s">
        <v>433</v>
      </c>
      <c r="G1261" s="415">
        <v>250</v>
      </c>
      <c r="H1261" s="370" t="s">
        <v>4348</v>
      </c>
    </row>
    <row r="1262" spans="1:8" s="673" customFormat="1">
      <c r="A1262" s="309">
        <v>27</v>
      </c>
      <c r="B1262" s="277" t="s">
        <v>2524</v>
      </c>
      <c r="C1262" s="706" t="s">
        <v>5074</v>
      </c>
      <c r="D1262" s="418" t="str">
        <f t="shared" si="18"/>
        <v>UBND Phường An Phú Đông</v>
      </c>
      <c r="E1262" s="505" t="s">
        <v>4938</v>
      </c>
      <c r="F1262" s="505" t="s">
        <v>433</v>
      </c>
      <c r="G1262" s="415">
        <v>100</v>
      </c>
      <c r="H1262" s="370" t="s">
        <v>4392</v>
      </c>
    </row>
    <row r="1263" spans="1:8" s="673" customFormat="1">
      <c r="A1263" s="309">
        <v>28</v>
      </c>
      <c r="B1263" s="277" t="s">
        <v>4939</v>
      </c>
      <c r="C1263" s="706" t="s">
        <v>5074</v>
      </c>
      <c r="D1263" s="418" t="str">
        <f t="shared" si="18"/>
        <v>UBND Phường An Phú Đông</v>
      </c>
      <c r="E1263" s="505" t="s">
        <v>4940</v>
      </c>
      <c r="F1263" s="505" t="s">
        <v>433</v>
      </c>
      <c r="G1263" s="415">
        <v>195</v>
      </c>
      <c r="H1263" s="370" t="s">
        <v>4941</v>
      </c>
    </row>
    <row r="1264" spans="1:8" s="673" customFormat="1">
      <c r="A1264" s="309">
        <v>29</v>
      </c>
      <c r="B1264" s="277" t="s">
        <v>4942</v>
      </c>
      <c r="C1264" s="706" t="s">
        <v>5074</v>
      </c>
      <c r="D1264" s="418" t="str">
        <f t="shared" si="18"/>
        <v>UBND Phường An Phú Đông</v>
      </c>
      <c r="E1264" s="505" t="s">
        <v>4943</v>
      </c>
      <c r="F1264" s="505" t="s">
        <v>461</v>
      </c>
      <c r="G1264" s="415">
        <v>497</v>
      </c>
      <c r="H1264" s="370" t="s">
        <v>228</v>
      </c>
    </row>
    <row r="1265" spans="1:8" s="673" customFormat="1">
      <c r="A1265" s="309">
        <v>30</v>
      </c>
      <c r="B1265" s="686" t="s">
        <v>2471</v>
      </c>
      <c r="C1265" s="706" t="s">
        <v>5092</v>
      </c>
      <c r="D1265" s="418" t="str">
        <f t="shared" si="18"/>
        <v>UBND Phường Bình Đông</v>
      </c>
      <c r="E1265" s="505" t="s">
        <v>247</v>
      </c>
      <c r="F1265" s="505" t="s">
        <v>407</v>
      </c>
      <c r="G1265" s="415">
        <v>600</v>
      </c>
      <c r="H1265" s="370"/>
    </row>
    <row r="1266" spans="1:8" s="673" customFormat="1">
      <c r="A1266" s="309">
        <v>31</v>
      </c>
      <c r="B1266" s="277" t="s">
        <v>3794</v>
      </c>
      <c r="C1266" s="706" t="s">
        <v>5077</v>
      </c>
      <c r="D1266" s="418" t="str">
        <f t="shared" si="18"/>
        <v>UBND Phường Long Phước</v>
      </c>
      <c r="E1266" s="505" t="s">
        <v>4928</v>
      </c>
      <c r="F1266" s="505" t="s">
        <v>407</v>
      </c>
      <c r="G1266" s="415">
        <v>497</v>
      </c>
      <c r="H1266" s="370"/>
    </row>
    <row r="1267" spans="1:8" s="673" customFormat="1">
      <c r="A1267" s="309">
        <v>32</v>
      </c>
      <c r="B1267" s="277" t="s">
        <v>3795</v>
      </c>
      <c r="C1267" s="706" t="s">
        <v>5077</v>
      </c>
      <c r="D1267" s="418" t="str">
        <f t="shared" si="18"/>
        <v>UBND Phường Long Phước</v>
      </c>
      <c r="E1267" s="505" t="s">
        <v>4928</v>
      </c>
      <c r="F1267" s="505" t="s">
        <v>3785</v>
      </c>
      <c r="G1267" s="415">
        <v>610</v>
      </c>
      <c r="H1267" s="370"/>
    </row>
    <row r="1268" spans="1:8" s="673" customFormat="1">
      <c r="A1268" s="309">
        <v>33</v>
      </c>
      <c r="B1268" s="277" t="s">
        <v>3796</v>
      </c>
      <c r="C1268" s="706" t="s">
        <v>5077</v>
      </c>
      <c r="D1268" s="418" t="str">
        <f t="shared" si="18"/>
        <v>UBND Phường Long Phước</v>
      </c>
      <c r="E1268" s="505" t="s">
        <v>3786</v>
      </c>
      <c r="F1268" s="505" t="s">
        <v>3785</v>
      </c>
      <c r="G1268" s="415">
        <v>410</v>
      </c>
      <c r="H1268" s="370"/>
    </row>
    <row r="1269" spans="1:8" s="673" customFormat="1">
      <c r="A1269" s="309">
        <v>34</v>
      </c>
      <c r="B1269" s="277" t="s">
        <v>3797</v>
      </c>
      <c r="C1269" s="706" t="s">
        <v>5077</v>
      </c>
      <c r="D1269" s="418" t="str">
        <f t="shared" si="18"/>
        <v>UBND Phường Long Phước</v>
      </c>
      <c r="E1269" s="505" t="s">
        <v>3787</v>
      </c>
      <c r="F1269" s="505" t="s">
        <v>482</v>
      </c>
      <c r="G1269" s="415">
        <v>1250</v>
      </c>
      <c r="H1269" s="370"/>
    </row>
    <row r="1270" spans="1:8" s="673" customFormat="1">
      <c r="A1270" s="309">
        <v>35</v>
      </c>
      <c r="B1270" s="277" t="s">
        <v>3798</v>
      </c>
      <c r="C1270" s="706" t="s">
        <v>5077</v>
      </c>
      <c r="D1270" s="418" t="str">
        <f t="shared" si="18"/>
        <v>UBND Phường Long Phước</v>
      </c>
      <c r="E1270" s="505" t="s">
        <v>2479</v>
      </c>
      <c r="F1270" s="505" t="s">
        <v>542</v>
      </c>
      <c r="G1270" s="415">
        <v>577</v>
      </c>
      <c r="H1270" s="370"/>
    </row>
    <row r="1271" spans="1:8" s="673" customFormat="1">
      <c r="A1271" s="309">
        <v>36</v>
      </c>
      <c r="B1271" s="277" t="s">
        <v>3799</v>
      </c>
      <c r="C1271" s="706" t="s">
        <v>5077</v>
      </c>
      <c r="D1271" s="418" t="str">
        <f t="shared" si="18"/>
        <v>UBND Phường Long Phước</v>
      </c>
      <c r="E1271" s="505" t="s">
        <v>2479</v>
      </c>
      <c r="F1271" s="505" t="s">
        <v>2481</v>
      </c>
      <c r="G1271" s="415">
        <v>270</v>
      </c>
      <c r="H1271" s="370"/>
    </row>
    <row r="1272" spans="1:8" s="673" customFormat="1">
      <c r="A1272" s="309">
        <v>37</v>
      </c>
      <c r="B1272" s="277" t="s">
        <v>3888</v>
      </c>
      <c r="C1272" s="706" t="s">
        <v>5088</v>
      </c>
      <c r="D1272" s="418" t="str">
        <f t="shared" si="18"/>
        <v>UBND Phường Phú Thuận</v>
      </c>
      <c r="E1272" s="505" t="s">
        <v>691</v>
      </c>
      <c r="F1272" s="505" t="s">
        <v>407</v>
      </c>
      <c r="G1272" s="415">
        <v>2000</v>
      </c>
      <c r="H1272" s="370"/>
    </row>
    <row r="1273" spans="1:8" s="673" customFormat="1">
      <c r="A1273" s="309">
        <v>38</v>
      </c>
      <c r="B1273" s="277" t="s">
        <v>3889</v>
      </c>
      <c r="C1273" s="706" t="s">
        <v>5088</v>
      </c>
      <c r="D1273" s="418" t="str">
        <f t="shared" si="18"/>
        <v>UBND Phường Phú Thuận</v>
      </c>
      <c r="E1273" s="505" t="s">
        <v>691</v>
      </c>
      <c r="F1273" s="505" t="s">
        <v>407</v>
      </c>
      <c r="G1273" s="415">
        <v>2000</v>
      </c>
      <c r="H1273" s="370"/>
    </row>
    <row r="1274" spans="1:8" s="673" customFormat="1">
      <c r="A1274" s="309">
        <v>39</v>
      </c>
      <c r="B1274" s="277" t="s">
        <v>704</v>
      </c>
      <c r="C1274" s="706" t="s">
        <v>5085</v>
      </c>
      <c r="D1274" s="418" t="str">
        <f t="shared" si="18"/>
        <v>UBND Phường Tân Hưng</v>
      </c>
      <c r="E1274" s="505" t="s">
        <v>689</v>
      </c>
      <c r="F1274" s="505" t="s">
        <v>407</v>
      </c>
      <c r="G1274" s="415">
        <v>2500</v>
      </c>
      <c r="H1274" s="370"/>
    </row>
    <row r="1275" spans="1:8" s="673" customFormat="1">
      <c r="A1275" s="309">
        <v>40</v>
      </c>
      <c r="B1275" s="277" t="s">
        <v>705</v>
      </c>
      <c r="C1275" s="706" t="s">
        <v>5085</v>
      </c>
      <c r="D1275" s="418" t="str">
        <f t="shared" si="18"/>
        <v>UBND Phường Tân Hưng</v>
      </c>
      <c r="E1275" s="505" t="s">
        <v>689</v>
      </c>
      <c r="F1275" s="505" t="s">
        <v>660</v>
      </c>
      <c r="G1275" s="415">
        <v>3000</v>
      </c>
      <c r="H1275" s="370"/>
    </row>
    <row r="1276" spans="1:8" s="673" customFormat="1">
      <c r="A1276" s="309">
        <v>41</v>
      </c>
      <c r="B1276" s="277" t="s">
        <v>3891</v>
      </c>
      <c r="C1276" s="706" t="s">
        <v>5085</v>
      </c>
      <c r="D1276" s="418" t="str">
        <f t="shared" si="18"/>
        <v>UBND Phường Tân Hưng</v>
      </c>
      <c r="E1276" s="505" t="s">
        <v>100</v>
      </c>
      <c r="F1276" s="505" t="s">
        <v>407</v>
      </c>
      <c r="G1276" s="415">
        <v>3500</v>
      </c>
      <c r="H1276" s="370"/>
    </row>
    <row r="1277" spans="1:8" s="673" customFormat="1">
      <c r="A1277" s="309">
        <v>42</v>
      </c>
      <c r="B1277" s="277" t="s">
        <v>679</v>
      </c>
      <c r="C1277" s="706" t="s">
        <v>5085</v>
      </c>
      <c r="D1277" s="418" t="str">
        <f t="shared" si="18"/>
        <v>UBND Phường Tân Hưng</v>
      </c>
      <c r="E1277" s="505" t="s">
        <v>689</v>
      </c>
      <c r="F1277" s="505" t="s">
        <v>660</v>
      </c>
      <c r="G1277" s="415">
        <v>3000</v>
      </c>
      <c r="H1277" s="370"/>
    </row>
    <row r="1278" spans="1:8" s="673" customFormat="1">
      <c r="A1278" s="309">
        <v>43</v>
      </c>
      <c r="B1278" s="277" t="s">
        <v>3890</v>
      </c>
      <c r="C1278" s="706" t="s">
        <v>5086</v>
      </c>
      <c r="D1278" s="418" t="str">
        <f t="shared" si="18"/>
        <v>UBND Phường Tân Thuận</v>
      </c>
      <c r="E1278" s="505" t="s">
        <v>3365</v>
      </c>
      <c r="F1278" s="505" t="s">
        <v>407</v>
      </c>
      <c r="G1278" s="415">
        <v>1500</v>
      </c>
      <c r="H1278" s="370"/>
    </row>
    <row r="1279" spans="1:8" s="673" customFormat="1">
      <c r="A1279" s="309">
        <v>44</v>
      </c>
      <c r="B1279" s="687" t="s">
        <v>1153</v>
      </c>
      <c r="C1279" s="706" t="s">
        <v>5076</v>
      </c>
      <c r="D1279" s="418" t="str">
        <f t="shared" si="18"/>
        <v>UBND Phường Tăng Nhơn Phú</v>
      </c>
      <c r="E1279" s="505" t="s">
        <v>1152</v>
      </c>
      <c r="F1279" s="505" t="s">
        <v>543</v>
      </c>
      <c r="G1279" s="415">
        <v>4732</v>
      </c>
      <c r="H1279" s="371" t="s">
        <v>4916</v>
      </c>
    </row>
    <row r="1280" spans="1:8" s="673" customFormat="1">
      <c r="A1280" s="309">
        <v>45</v>
      </c>
      <c r="B1280" s="687" t="s">
        <v>4917</v>
      </c>
      <c r="C1280" s="706" t="s">
        <v>5076</v>
      </c>
      <c r="D1280" s="418" t="str">
        <f t="shared" si="18"/>
        <v>UBND Phường Tăng Nhơn Phú</v>
      </c>
      <c r="E1280" s="505" t="s">
        <v>4918</v>
      </c>
      <c r="F1280" s="505" t="s">
        <v>407</v>
      </c>
      <c r="G1280" s="415">
        <v>615</v>
      </c>
      <c r="H1280" s="371" t="s">
        <v>153</v>
      </c>
    </row>
    <row r="1281" spans="1:8" s="673" customFormat="1">
      <c r="A1281" s="309">
        <v>46</v>
      </c>
      <c r="B1281" s="687" t="s">
        <v>4919</v>
      </c>
      <c r="C1281" s="706" t="s">
        <v>5076</v>
      </c>
      <c r="D1281" s="418" t="str">
        <f t="shared" si="18"/>
        <v>UBND Phường Tăng Nhơn Phú</v>
      </c>
      <c r="E1281" s="505" t="s">
        <v>4920</v>
      </c>
      <c r="F1281" s="505" t="s">
        <v>4921</v>
      </c>
      <c r="G1281" s="415">
        <v>291</v>
      </c>
      <c r="H1281" s="371" t="s">
        <v>227</v>
      </c>
    </row>
    <row r="1282" spans="1:8" s="673" customFormat="1">
      <c r="A1282" s="309">
        <v>47</v>
      </c>
      <c r="B1282" s="687" t="s">
        <v>4922</v>
      </c>
      <c r="C1282" s="706" t="s">
        <v>5076</v>
      </c>
      <c r="D1282" s="418" t="str">
        <f t="shared" si="18"/>
        <v>UBND Phường Tăng Nhơn Phú</v>
      </c>
      <c r="E1282" s="505" t="s">
        <v>4918</v>
      </c>
      <c r="F1282" s="505" t="s">
        <v>4923</v>
      </c>
      <c r="G1282" s="415">
        <v>780</v>
      </c>
      <c r="H1282" s="371" t="s">
        <v>782</v>
      </c>
    </row>
    <row r="1283" spans="1:8" s="673" customFormat="1">
      <c r="A1283" s="309">
        <v>48</v>
      </c>
      <c r="B1283" s="687" t="s">
        <v>4923</v>
      </c>
      <c r="C1283" s="706" t="s">
        <v>5076</v>
      </c>
      <c r="D1283" s="418" t="str">
        <f t="shared" si="18"/>
        <v>UBND Phường Tăng Nhơn Phú</v>
      </c>
      <c r="E1283" s="688" t="s">
        <v>4922</v>
      </c>
      <c r="F1283" s="688" t="s">
        <v>3632</v>
      </c>
      <c r="G1283" s="415">
        <v>974</v>
      </c>
      <c r="H1283" s="310" t="s">
        <v>4924</v>
      </c>
    </row>
    <row r="1284" spans="1:8" s="673" customFormat="1">
      <c r="A1284" s="309">
        <v>49</v>
      </c>
      <c r="B1284" s="687" t="s">
        <v>3632</v>
      </c>
      <c r="C1284" s="706" t="s">
        <v>5076</v>
      </c>
      <c r="D1284" s="418" t="str">
        <f t="shared" si="18"/>
        <v>UBND Phường Tăng Nhơn Phú</v>
      </c>
      <c r="E1284" s="505" t="s">
        <v>4925</v>
      </c>
      <c r="F1284" s="505" t="s">
        <v>1124</v>
      </c>
      <c r="G1284" s="415">
        <v>1790</v>
      </c>
      <c r="H1284" s="310" t="s">
        <v>4926</v>
      </c>
    </row>
    <row r="1285" spans="1:8" s="673" customFormat="1">
      <c r="A1285" s="309">
        <v>50</v>
      </c>
      <c r="B1285" s="687" t="s">
        <v>4927</v>
      </c>
      <c r="C1285" s="706" t="s">
        <v>5076</v>
      </c>
      <c r="D1285" s="418" t="str">
        <f t="shared" si="18"/>
        <v>UBND Phường Tăng Nhơn Phú</v>
      </c>
      <c r="E1285" s="505" t="s">
        <v>4918</v>
      </c>
      <c r="F1285" s="505" t="s">
        <v>1124</v>
      </c>
      <c r="G1285" s="415">
        <v>1115</v>
      </c>
      <c r="H1285" s="371" t="s">
        <v>782</v>
      </c>
    </row>
    <row r="1286" spans="1:8" s="673" customFormat="1" ht="33">
      <c r="A1286" s="309">
        <v>51</v>
      </c>
      <c r="B1286" s="277" t="s">
        <v>2748</v>
      </c>
      <c r="C1286" s="706" t="s">
        <v>5124</v>
      </c>
      <c r="D1286" s="418" t="str">
        <f t="shared" ref="D1286:D1342" si="19">"UBND "&amp;C1286</f>
        <v>UBND Xã An Nhơn Tây</v>
      </c>
      <c r="E1286" s="505" t="s">
        <v>2749</v>
      </c>
      <c r="F1286" s="505" t="s">
        <v>2429</v>
      </c>
      <c r="G1286" s="415">
        <v>3900</v>
      </c>
      <c r="H1286" s="370"/>
    </row>
    <row r="1287" spans="1:8" s="673" customFormat="1">
      <c r="A1287" s="309">
        <v>52</v>
      </c>
      <c r="B1287" s="277" t="s">
        <v>2750</v>
      </c>
      <c r="C1287" s="706" t="s">
        <v>5124</v>
      </c>
      <c r="D1287" s="418" t="str">
        <f t="shared" si="19"/>
        <v>UBND Xã An Nhơn Tây</v>
      </c>
      <c r="E1287" s="505" t="s">
        <v>2751</v>
      </c>
      <c r="F1287" s="505" t="s">
        <v>2429</v>
      </c>
      <c r="G1287" s="415">
        <v>2230</v>
      </c>
      <c r="H1287" s="370"/>
    </row>
    <row r="1288" spans="1:8" s="673" customFormat="1">
      <c r="A1288" s="309">
        <v>53</v>
      </c>
      <c r="B1288" s="278" t="s">
        <v>2819</v>
      </c>
      <c r="C1288" s="706" t="s">
        <v>5124</v>
      </c>
      <c r="D1288" s="418" t="str">
        <f t="shared" si="19"/>
        <v>UBND Xã An Nhơn Tây</v>
      </c>
      <c r="E1288" s="505" t="s">
        <v>433</v>
      </c>
      <c r="F1288" s="505" t="s">
        <v>2224</v>
      </c>
      <c r="G1288" s="711">
        <v>500</v>
      </c>
      <c r="H1288" s="370"/>
    </row>
    <row r="1289" spans="1:8" s="673" customFormat="1">
      <c r="A1289" s="309">
        <v>54</v>
      </c>
      <c r="B1289" s="278" t="s">
        <v>787</v>
      </c>
      <c r="C1289" s="706" t="s">
        <v>5124</v>
      </c>
      <c r="D1289" s="418" t="str">
        <f t="shared" si="19"/>
        <v>UBND Xã An Nhơn Tây</v>
      </c>
      <c r="E1289" s="505" t="s">
        <v>2820</v>
      </c>
      <c r="F1289" s="505" t="s">
        <v>433</v>
      </c>
      <c r="G1289" s="711">
        <v>1000</v>
      </c>
      <c r="H1289" s="370"/>
    </row>
    <row r="1290" spans="1:8" s="673" customFormat="1">
      <c r="A1290" s="309">
        <v>55</v>
      </c>
      <c r="B1290" s="279" t="s">
        <v>2822</v>
      </c>
      <c r="C1290" s="706" t="s">
        <v>5124</v>
      </c>
      <c r="D1290" s="418" t="str">
        <f t="shared" si="19"/>
        <v>UBND Xã An Nhơn Tây</v>
      </c>
      <c r="E1290" s="505" t="s">
        <v>433</v>
      </c>
      <c r="F1290" s="505" t="s">
        <v>407</v>
      </c>
      <c r="G1290" s="711">
        <v>360</v>
      </c>
      <c r="H1290" s="370"/>
    </row>
    <row r="1291" spans="1:8" s="673" customFormat="1">
      <c r="A1291" s="309">
        <v>56</v>
      </c>
      <c r="B1291" s="279" t="s">
        <v>2823</v>
      </c>
      <c r="C1291" s="706" t="s">
        <v>5124</v>
      </c>
      <c r="D1291" s="418" t="str">
        <f t="shared" si="19"/>
        <v>UBND Xã An Nhơn Tây</v>
      </c>
      <c r="E1291" s="505" t="s">
        <v>433</v>
      </c>
      <c r="F1291" s="505" t="s">
        <v>407</v>
      </c>
      <c r="G1291" s="415">
        <v>140</v>
      </c>
      <c r="H1291" s="370"/>
    </row>
    <row r="1292" spans="1:8" s="673" customFormat="1">
      <c r="A1292" s="309">
        <v>57</v>
      </c>
      <c r="B1292" s="277" t="s">
        <v>2827</v>
      </c>
      <c r="C1292" s="706" t="s">
        <v>5124</v>
      </c>
      <c r="D1292" s="418" t="str">
        <f t="shared" si="19"/>
        <v>UBND Xã An Nhơn Tây</v>
      </c>
      <c r="E1292" s="505" t="s">
        <v>2820</v>
      </c>
      <c r="F1292" s="505" t="s">
        <v>433</v>
      </c>
      <c r="G1292" s="415">
        <v>240</v>
      </c>
      <c r="H1292" s="370"/>
    </row>
    <row r="1293" spans="1:8" s="673" customFormat="1">
      <c r="A1293" s="309">
        <v>58</v>
      </c>
      <c r="B1293" s="277" t="s">
        <v>2829</v>
      </c>
      <c r="C1293" s="706" t="s">
        <v>5124</v>
      </c>
      <c r="D1293" s="418" t="str">
        <f t="shared" si="19"/>
        <v>UBND Xã An Nhơn Tây</v>
      </c>
      <c r="E1293" s="505" t="s">
        <v>2830</v>
      </c>
      <c r="F1293" s="505" t="s">
        <v>407</v>
      </c>
      <c r="G1293" s="415">
        <v>2000</v>
      </c>
      <c r="H1293" s="370"/>
    </row>
    <row r="1294" spans="1:8" s="673" customFormat="1">
      <c r="A1294" s="309">
        <v>59</v>
      </c>
      <c r="B1294" s="277" t="s">
        <v>2831</v>
      </c>
      <c r="C1294" s="706" t="s">
        <v>5124</v>
      </c>
      <c r="D1294" s="418" t="str">
        <f t="shared" si="19"/>
        <v>UBND Xã An Nhơn Tây</v>
      </c>
      <c r="E1294" s="505" t="s">
        <v>2829</v>
      </c>
      <c r="F1294" s="505" t="s">
        <v>2832</v>
      </c>
      <c r="G1294" s="415">
        <v>500</v>
      </c>
      <c r="H1294" s="370"/>
    </row>
    <row r="1295" spans="1:8" s="673" customFormat="1">
      <c r="A1295" s="309">
        <v>60</v>
      </c>
      <c r="B1295" s="277" t="s">
        <v>2832</v>
      </c>
      <c r="C1295" s="706" t="s">
        <v>5124</v>
      </c>
      <c r="D1295" s="418" t="str">
        <f t="shared" si="19"/>
        <v>UBND Xã An Nhơn Tây</v>
      </c>
      <c r="E1295" s="505" t="s">
        <v>433</v>
      </c>
      <c r="F1295" s="505" t="s">
        <v>2831</v>
      </c>
      <c r="G1295" s="415">
        <v>1000</v>
      </c>
      <c r="H1295" s="370"/>
    </row>
    <row r="1296" spans="1:8" s="673" customFormat="1">
      <c r="A1296" s="309">
        <v>61</v>
      </c>
      <c r="B1296" s="277" t="s">
        <v>2833</v>
      </c>
      <c r="C1296" s="706" t="s">
        <v>5124</v>
      </c>
      <c r="D1296" s="418" t="str">
        <f t="shared" si="19"/>
        <v>UBND Xã An Nhơn Tây</v>
      </c>
      <c r="E1296" s="505" t="s">
        <v>433</v>
      </c>
      <c r="F1296" s="505" t="s">
        <v>407</v>
      </c>
      <c r="G1296" s="415">
        <v>100</v>
      </c>
      <c r="H1296" s="370"/>
    </row>
    <row r="1297" spans="1:8" s="673" customFormat="1">
      <c r="A1297" s="309">
        <v>62</v>
      </c>
      <c r="B1297" s="279" t="s">
        <v>2835</v>
      </c>
      <c r="C1297" s="706" t="s">
        <v>5124</v>
      </c>
      <c r="D1297" s="418" t="str">
        <f t="shared" si="19"/>
        <v>UBND Xã An Nhơn Tây</v>
      </c>
      <c r="E1297" s="505" t="s">
        <v>2465</v>
      </c>
      <c r="F1297" s="505" t="s">
        <v>433</v>
      </c>
      <c r="G1297" s="415">
        <v>1200</v>
      </c>
      <c r="H1297" s="370"/>
    </row>
    <row r="1298" spans="1:8" s="673" customFormat="1">
      <c r="A1298" s="309">
        <v>63</v>
      </c>
      <c r="B1298" s="279" t="s">
        <v>2836</v>
      </c>
      <c r="C1298" s="706" t="s">
        <v>5124</v>
      </c>
      <c r="D1298" s="418" t="str">
        <f t="shared" si="19"/>
        <v>UBND Xã An Nhơn Tây</v>
      </c>
      <c r="E1298" s="505" t="s">
        <v>2465</v>
      </c>
      <c r="F1298" s="505" t="s">
        <v>433</v>
      </c>
      <c r="G1298" s="415">
        <v>1300</v>
      </c>
      <c r="H1298" s="370"/>
    </row>
    <row r="1299" spans="1:8" s="673" customFormat="1">
      <c r="A1299" s="309">
        <v>64</v>
      </c>
      <c r="B1299" s="279" t="s">
        <v>2837</v>
      </c>
      <c r="C1299" s="706" t="s">
        <v>5124</v>
      </c>
      <c r="D1299" s="418" t="str">
        <f t="shared" si="19"/>
        <v>UBND Xã An Nhơn Tây</v>
      </c>
      <c r="E1299" s="505" t="s">
        <v>433</v>
      </c>
      <c r="F1299" s="505" t="s">
        <v>407</v>
      </c>
      <c r="G1299" s="415">
        <v>800</v>
      </c>
      <c r="H1299" s="370"/>
    </row>
    <row r="1300" spans="1:8" s="673" customFormat="1">
      <c r="A1300" s="309">
        <v>65</v>
      </c>
      <c r="B1300" s="277" t="s">
        <v>2838</v>
      </c>
      <c r="C1300" s="706" t="s">
        <v>5124</v>
      </c>
      <c r="D1300" s="418" t="str">
        <f t="shared" si="19"/>
        <v>UBND Xã An Nhơn Tây</v>
      </c>
      <c r="E1300" s="505" t="s">
        <v>2839</v>
      </c>
      <c r="F1300" s="505" t="s">
        <v>433</v>
      </c>
      <c r="G1300" s="415">
        <v>900</v>
      </c>
      <c r="H1300" s="370"/>
    </row>
    <row r="1301" spans="1:8" s="673" customFormat="1">
      <c r="A1301" s="309">
        <v>66</v>
      </c>
      <c r="B1301" s="277" t="s">
        <v>2840</v>
      </c>
      <c r="C1301" s="706" t="s">
        <v>5124</v>
      </c>
      <c r="D1301" s="418" t="str">
        <f t="shared" si="19"/>
        <v>UBND Xã An Nhơn Tây</v>
      </c>
      <c r="E1301" s="505" t="s">
        <v>433</v>
      </c>
      <c r="F1301" s="505" t="s">
        <v>407</v>
      </c>
      <c r="G1301" s="415">
        <v>800</v>
      </c>
      <c r="H1301" s="370"/>
    </row>
    <row r="1302" spans="1:8" s="673" customFormat="1">
      <c r="A1302" s="309">
        <v>67</v>
      </c>
      <c r="B1302" s="277" t="s">
        <v>2841</v>
      </c>
      <c r="C1302" s="706" t="s">
        <v>5124</v>
      </c>
      <c r="D1302" s="418" t="str">
        <f t="shared" si="19"/>
        <v>UBND Xã An Nhơn Tây</v>
      </c>
      <c r="E1302" s="505" t="s">
        <v>433</v>
      </c>
      <c r="F1302" s="505" t="s">
        <v>407</v>
      </c>
      <c r="G1302" s="415">
        <v>700</v>
      </c>
      <c r="H1302" s="370"/>
    </row>
    <row r="1303" spans="1:8" s="673" customFormat="1">
      <c r="A1303" s="309">
        <v>68</v>
      </c>
      <c r="B1303" s="277" t="s">
        <v>2842</v>
      </c>
      <c r="C1303" s="706" t="s">
        <v>5124</v>
      </c>
      <c r="D1303" s="418" t="str">
        <f t="shared" si="19"/>
        <v>UBND Xã An Nhơn Tây</v>
      </c>
      <c r="E1303" s="505" t="s">
        <v>433</v>
      </c>
      <c r="F1303" s="505" t="s">
        <v>407</v>
      </c>
      <c r="G1303" s="415">
        <v>1000</v>
      </c>
      <c r="H1303" s="370"/>
    </row>
    <row r="1304" spans="1:8" s="673" customFormat="1">
      <c r="A1304" s="309">
        <v>69</v>
      </c>
      <c r="B1304" s="277" t="s">
        <v>2843</v>
      </c>
      <c r="C1304" s="706" t="s">
        <v>5124</v>
      </c>
      <c r="D1304" s="418" t="str">
        <f t="shared" si="19"/>
        <v>UBND Xã An Nhơn Tây</v>
      </c>
      <c r="E1304" s="505" t="s">
        <v>2465</v>
      </c>
      <c r="F1304" s="505" t="s">
        <v>433</v>
      </c>
      <c r="G1304" s="415">
        <v>1300</v>
      </c>
      <c r="H1304" s="370"/>
    </row>
    <row r="1305" spans="1:8" s="673" customFormat="1">
      <c r="A1305" s="309">
        <v>70</v>
      </c>
      <c r="B1305" s="277" t="s">
        <v>2844</v>
      </c>
      <c r="C1305" s="706" t="s">
        <v>5124</v>
      </c>
      <c r="D1305" s="418" t="str">
        <f t="shared" si="19"/>
        <v>UBND Xã An Nhơn Tây</v>
      </c>
      <c r="E1305" s="505" t="s">
        <v>407</v>
      </c>
      <c r="F1305" s="505" t="s">
        <v>433</v>
      </c>
      <c r="G1305" s="415">
        <v>900</v>
      </c>
      <c r="H1305" s="370"/>
    </row>
    <row r="1306" spans="1:8" s="673" customFormat="1">
      <c r="A1306" s="309">
        <v>71</v>
      </c>
      <c r="B1306" s="277" t="s">
        <v>2845</v>
      </c>
      <c r="C1306" s="706" t="s">
        <v>5124</v>
      </c>
      <c r="D1306" s="418" t="str">
        <f t="shared" si="19"/>
        <v>UBND Xã An Nhơn Tây</v>
      </c>
      <c r="E1306" s="505" t="s">
        <v>407</v>
      </c>
      <c r="F1306" s="505" t="s">
        <v>433</v>
      </c>
      <c r="G1306" s="415">
        <v>800</v>
      </c>
      <c r="H1306" s="370"/>
    </row>
    <row r="1307" spans="1:8" s="673" customFormat="1">
      <c r="A1307" s="309">
        <v>72</v>
      </c>
      <c r="B1307" s="277" t="s">
        <v>2846</v>
      </c>
      <c r="C1307" s="706" t="s">
        <v>5124</v>
      </c>
      <c r="D1307" s="418" t="str">
        <f t="shared" si="19"/>
        <v>UBND Xã An Nhơn Tây</v>
      </c>
      <c r="E1307" s="505" t="s">
        <v>2465</v>
      </c>
      <c r="F1307" s="505" t="s">
        <v>433</v>
      </c>
      <c r="G1307" s="415">
        <v>1100</v>
      </c>
      <c r="H1307" s="370"/>
    </row>
    <row r="1308" spans="1:8" s="673" customFormat="1">
      <c r="A1308" s="309">
        <v>73</v>
      </c>
      <c r="B1308" s="277" t="s">
        <v>2847</v>
      </c>
      <c r="C1308" s="706" t="s">
        <v>5124</v>
      </c>
      <c r="D1308" s="418" t="str">
        <f t="shared" si="19"/>
        <v>UBND Xã An Nhơn Tây</v>
      </c>
      <c r="E1308" s="505" t="s">
        <v>2465</v>
      </c>
      <c r="F1308" s="505" t="s">
        <v>433</v>
      </c>
      <c r="G1308" s="415">
        <v>1000</v>
      </c>
      <c r="H1308" s="370"/>
    </row>
    <row r="1309" spans="1:8" s="673" customFormat="1">
      <c r="A1309" s="309">
        <v>74</v>
      </c>
      <c r="B1309" s="277" t="s">
        <v>2994</v>
      </c>
      <c r="C1309" s="706" t="s">
        <v>5124</v>
      </c>
      <c r="D1309" s="418" t="str">
        <f t="shared" si="19"/>
        <v>UBND Xã An Nhơn Tây</v>
      </c>
      <c r="E1309" s="505" t="s">
        <v>433</v>
      </c>
      <c r="F1309" s="505" t="s">
        <v>2806</v>
      </c>
      <c r="G1309" s="415">
        <v>300</v>
      </c>
      <c r="H1309" s="370"/>
    </row>
    <row r="1310" spans="1:8" s="673" customFormat="1">
      <c r="A1310" s="309">
        <v>75</v>
      </c>
      <c r="B1310" s="277" t="s">
        <v>5045</v>
      </c>
      <c r="C1310" s="706" t="s">
        <v>5124</v>
      </c>
      <c r="D1310" s="418" t="str">
        <f t="shared" si="19"/>
        <v>UBND Xã An Nhơn Tây</v>
      </c>
      <c r="E1310" s="505" t="s">
        <v>433</v>
      </c>
      <c r="F1310" s="505" t="s">
        <v>763</v>
      </c>
      <c r="G1310" s="415">
        <v>400</v>
      </c>
      <c r="H1310" s="370"/>
    </row>
    <row r="1311" spans="1:8" s="673" customFormat="1">
      <c r="A1311" s="309">
        <v>76</v>
      </c>
      <c r="B1311" s="277" t="s">
        <v>2997</v>
      </c>
      <c r="C1311" s="706" t="s">
        <v>5124</v>
      </c>
      <c r="D1311" s="418" t="str">
        <f t="shared" si="19"/>
        <v>UBND Xã An Nhơn Tây</v>
      </c>
      <c r="E1311" s="505" t="s">
        <v>433</v>
      </c>
      <c r="F1311" s="505" t="s">
        <v>2806</v>
      </c>
      <c r="G1311" s="415">
        <v>400</v>
      </c>
      <c r="H1311" s="370"/>
    </row>
    <row r="1312" spans="1:8" s="673" customFormat="1">
      <c r="A1312" s="309">
        <v>77</v>
      </c>
      <c r="B1312" s="277" t="s">
        <v>3005</v>
      </c>
      <c r="C1312" s="706" t="s">
        <v>5124</v>
      </c>
      <c r="D1312" s="418" t="str">
        <f t="shared" si="19"/>
        <v>UBND Xã An Nhơn Tây</v>
      </c>
      <c r="E1312" s="505" t="s">
        <v>433</v>
      </c>
      <c r="F1312" s="505" t="s">
        <v>2806</v>
      </c>
      <c r="G1312" s="415">
        <v>350</v>
      </c>
      <c r="H1312" s="370"/>
    </row>
    <row r="1313" spans="1:8" s="673" customFormat="1">
      <c r="A1313" s="309">
        <v>78</v>
      </c>
      <c r="B1313" s="277" t="s">
        <v>3006</v>
      </c>
      <c r="C1313" s="706" t="s">
        <v>5124</v>
      </c>
      <c r="D1313" s="418" t="str">
        <f t="shared" si="19"/>
        <v>UBND Xã An Nhơn Tây</v>
      </c>
      <c r="E1313" s="505" t="s">
        <v>433</v>
      </c>
      <c r="F1313" s="505" t="s">
        <v>2806</v>
      </c>
      <c r="G1313" s="415">
        <v>600</v>
      </c>
      <c r="H1313" s="370"/>
    </row>
    <row r="1314" spans="1:8" s="673" customFormat="1">
      <c r="A1314" s="309">
        <v>79</v>
      </c>
      <c r="B1314" s="277" t="s">
        <v>913</v>
      </c>
      <c r="C1314" s="706" t="s">
        <v>5121</v>
      </c>
      <c r="D1314" s="418" t="str">
        <f t="shared" si="19"/>
        <v>UBND Xã An Thới Đông</v>
      </c>
      <c r="E1314" s="505" t="s">
        <v>914</v>
      </c>
      <c r="F1314" s="505" t="s">
        <v>908</v>
      </c>
      <c r="G1314" s="415">
        <v>2720</v>
      </c>
      <c r="H1314" s="370"/>
    </row>
    <row r="1315" spans="1:8" s="673" customFormat="1">
      <c r="A1315" s="309">
        <v>80</v>
      </c>
      <c r="B1315" s="277" t="s">
        <v>918</v>
      </c>
      <c r="C1315" s="706" t="s">
        <v>5121</v>
      </c>
      <c r="D1315" s="418" t="str">
        <f t="shared" si="19"/>
        <v>UBND Xã An Thới Đông</v>
      </c>
      <c r="E1315" s="505" t="s">
        <v>127</v>
      </c>
      <c r="F1315" s="505" t="s">
        <v>913</v>
      </c>
      <c r="G1315" s="415">
        <v>1320</v>
      </c>
      <c r="H1315" s="370"/>
    </row>
    <row r="1316" spans="1:8" s="673" customFormat="1">
      <c r="A1316" s="309">
        <v>81</v>
      </c>
      <c r="B1316" s="277" t="s">
        <v>917</v>
      </c>
      <c r="C1316" s="706" t="s">
        <v>5121</v>
      </c>
      <c r="D1316" s="418" t="str">
        <f t="shared" si="19"/>
        <v>UBND Xã An Thới Đông</v>
      </c>
      <c r="E1316" s="505" t="s">
        <v>127</v>
      </c>
      <c r="F1316" s="505" t="s">
        <v>910</v>
      </c>
      <c r="G1316" s="415">
        <v>1003</v>
      </c>
      <c r="H1316" s="370"/>
    </row>
    <row r="1317" spans="1:8" s="673" customFormat="1">
      <c r="A1317" s="309">
        <v>82</v>
      </c>
      <c r="B1317" s="277" t="s">
        <v>916</v>
      </c>
      <c r="C1317" s="706" t="s">
        <v>5121</v>
      </c>
      <c r="D1317" s="418" t="str">
        <f t="shared" si="19"/>
        <v>UBND Xã An Thới Đông</v>
      </c>
      <c r="E1317" s="505" t="s">
        <v>127</v>
      </c>
      <c r="F1317" s="505" t="s">
        <v>913</v>
      </c>
      <c r="G1317" s="415">
        <v>1500</v>
      </c>
      <c r="H1317" s="370"/>
    </row>
    <row r="1318" spans="1:8" s="673" customFormat="1">
      <c r="A1318" s="309">
        <v>83</v>
      </c>
      <c r="B1318" s="277" t="s">
        <v>915</v>
      </c>
      <c r="C1318" s="706" t="s">
        <v>5121</v>
      </c>
      <c r="D1318" s="418" t="str">
        <f t="shared" si="19"/>
        <v>UBND Xã An Thới Đông</v>
      </c>
      <c r="E1318" s="505" t="s">
        <v>127</v>
      </c>
      <c r="F1318" s="505" t="s">
        <v>913</v>
      </c>
      <c r="G1318" s="415">
        <v>1330</v>
      </c>
      <c r="H1318" s="370"/>
    </row>
    <row r="1319" spans="1:8" s="673" customFormat="1">
      <c r="A1319" s="309">
        <v>84</v>
      </c>
      <c r="B1319" s="277" t="s">
        <v>914</v>
      </c>
      <c r="C1319" s="706" t="s">
        <v>5121</v>
      </c>
      <c r="D1319" s="418" t="str">
        <f t="shared" si="19"/>
        <v>UBND Xã An Thới Đông</v>
      </c>
      <c r="E1319" s="505" t="s">
        <v>127</v>
      </c>
      <c r="F1319" s="505" t="s">
        <v>913</v>
      </c>
      <c r="G1319" s="415">
        <v>1090</v>
      </c>
      <c r="H1319" s="370"/>
    </row>
    <row r="1320" spans="1:8" s="673" customFormat="1">
      <c r="A1320" s="309">
        <v>85</v>
      </c>
      <c r="B1320" s="277" t="s">
        <v>3121</v>
      </c>
      <c r="C1320" s="706" t="s">
        <v>5121</v>
      </c>
      <c r="D1320" s="418" t="str">
        <f t="shared" si="19"/>
        <v>UBND Xã An Thới Đông</v>
      </c>
      <c r="E1320" s="505" t="s">
        <v>727</v>
      </c>
      <c r="F1320" s="505" t="s">
        <v>897</v>
      </c>
      <c r="G1320" s="415">
        <v>2480</v>
      </c>
      <c r="H1320" s="370"/>
    </row>
    <row r="1321" spans="1:8" s="673" customFormat="1">
      <c r="A1321" s="309">
        <v>86</v>
      </c>
      <c r="B1321" s="277" t="s">
        <v>3122</v>
      </c>
      <c r="C1321" s="706" t="s">
        <v>5121</v>
      </c>
      <c r="D1321" s="418" t="str">
        <f t="shared" si="19"/>
        <v>UBND Xã An Thới Đông</v>
      </c>
      <c r="E1321" s="505" t="s">
        <v>899</v>
      </c>
      <c r="F1321" s="505" t="s">
        <v>722</v>
      </c>
      <c r="G1321" s="415">
        <v>2307</v>
      </c>
      <c r="H1321" s="370"/>
    </row>
    <row r="1322" spans="1:8" s="673" customFormat="1">
      <c r="A1322" s="309">
        <v>87</v>
      </c>
      <c r="B1322" s="277" t="s">
        <v>899</v>
      </c>
      <c r="C1322" s="706" t="s">
        <v>5121</v>
      </c>
      <c r="D1322" s="418" t="str">
        <f t="shared" si="19"/>
        <v>UBND Xã An Thới Đông</v>
      </c>
      <c r="E1322" s="505" t="s">
        <v>801</v>
      </c>
      <c r="F1322" s="505" t="s">
        <v>3123</v>
      </c>
      <c r="G1322" s="415">
        <v>6590</v>
      </c>
      <c r="H1322" s="370"/>
    </row>
    <row r="1323" spans="1:8" s="673" customFormat="1">
      <c r="A1323" s="309">
        <v>88</v>
      </c>
      <c r="B1323" s="277" t="s">
        <v>912</v>
      </c>
      <c r="C1323" s="706" t="s">
        <v>5121</v>
      </c>
      <c r="D1323" s="418" t="str">
        <f t="shared" si="19"/>
        <v>UBND Xã An Thới Đông</v>
      </c>
      <c r="E1323" s="505" t="s">
        <v>127</v>
      </c>
      <c r="F1323" s="505" t="s">
        <v>407</v>
      </c>
      <c r="G1323" s="415">
        <v>1610</v>
      </c>
      <c r="H1323" s="370"/>
    </row>
    <row r="1324" spans="1:8" s="673" customFormat="1">
      <c r="A1324" s="309">
        <v>89</v>
      </c>
      <c r="B1324" s="277" t="s">
        <v>3123</v>
      </c>
      <c r="C1324" s="706" t="s">
        <v>5121</v>
      </c>
      <c r="D1324" s="418" t="str">
        <f t="shared" si="19"/>
        <v>UBND Xã An Thới Đông</v>
      </c>
      <c r="E1324" s="505" t="s">
        <v>3124</v>
      </c>
      <c r="F1324" s="505" t="s">
        <v>899</v>
      </c>
      <c r="G1324" s="415">
        <v>2280</v>
      </c>
      <c r="H1324" s="370"/>
    </row>
    <row r="1325" spans="1:8" s="673" customFormat="1">
      <c r="A1325" s="309">
        <v>90</v>
      </c>
      <c r="B1325" s="277" t="s">
        <v>911</v>
      </c>
      <c r="C1325" s="706" t="s">
        <v>5121</v>
      </c>
      <c r="D1325" s="418" t="str">
        <f t="shared" si="19"/>
        <v>UBND Xã An Thới Đông</v>
      </c>
      <c r="E1325" s="505" t="s">
        <v>127</v>
      </c>
      <c r="F1325" s="505" t="s">
        <v>407</v>
      </c>
      <c r="G1325" s="415">
        <v>1900</v>
      </c>
      <c r="H1325" s="370"/>
    </row>
    <row r="1326" spans="1:8" s="673" customFormat="1">
      <c r="A1326" s="309">
        <v>91</v>
      </c>
      <c r="B1326" s="277" t="s">
        <v>910</v>
      </c>
      <c r="C1326" s="706" t="s">
        <v>5121</v>
      </c>
      <c r="D1326" s="418" t="str">
        <f t="shared" si="19"/>
        <v>UBND Xã An Thới Đông</v>
      </c>
      <c r="E1326" s="505" t="s">
        <v>127</v>
      </c>
      <c r="F1326" s="505" t="s">
        <v>407</v>
      </c>
      <c r="G1326" s="415">
        <v>2510</v>
      </c>
      <c r="H1326" s="370"/>
    </row>
    <row r="1327" spans="1:8" s="673" customFormat="1">
      <c r="A1327" s="309">
        <v>92</v>
      </c>
      <c r="B1327" s="277" t="s">
        <v>909</v>
      </c>
      <c r="C1327" s="706" t="s">
        <v>5121</v>
      </c>
      <c r="D1327" s="418" t="str">
        <f t="shared" si="19"/>
        <v>UBND Xã An Thới Đông</v>
      </c>
      <c r="E1327" s="505" t="s">
        <v>127</v>
      </c>
      <c r="F1327" s="505" t="s">
        <v>407</v>
      </c>
      <c r="G1327" s="415">
        <v>1135</v>
      </c>
      <c r="H1327" s="370"/>
    </row>
    <row r="1328" spans="1:8" s="673" customFormat="1">
      <c r="A1328" s="309">
        <v>93</v>
      </c>
      <c r="B1328" s="277" t="s">
        <v>908</v>
      </c>
      <c r="C1328" s="706" t="s">
        <v>5121</v>
      </c>
      <c r="D1328" s="418" t="str">
        <f t="shared" si="19"/>
        <v>UBND Xã An Thới Đông</v>
      </c>
      <c r="E1328" s="505" t="s">
        <v>127</v>
      </c>
      <c r="F1328" s="505" t="s">
        <v>407</v>
      </c>
      <c r="G1328" s="415">
        <v>1440</v>
      </c>
      <c r="H1328" s="370"/>
    </row>
    <row r="1329" spans="1:8" s="673" customFormat="1">
      <c r="A1329" s="309">
        <v>94</v>
      </c>
      <c r="B1329" s="277" t="s">
        <v>902</v>
      </c>
      <c r="C1329" s="706" t="s">
        <v>5121</v>
      </c>
      <c r="D1329" s="418" t="str">
        <f t="shared" si="19"/>
        <v>UBND Xã An Thới Đông</v>
      </c>
      <c r="E1329" s="505" t="s">
        <v>906</v>
      </c>
      <c r="F1329" s="505" t="s">
        <v>907</v>
      </c>
      <c r="G1329" s="415">
        <v>8750</v>
      </c>
      <c r="H1329" s="370"/>
    </row>
    <row r="1330" spans="1:8" s="673" customFormat="1">
      <c r="A1330" s="309">
        <v>95</v>
      </c>
      <c r="B1330" s="277" t="s">
        <v>904</v>
      </c>
      <c r="C1330" s="706" t="s">
        <v>5121</v>
      </c>
      <c r="D1330" s="418" t="str">
        <f t="shared" si="19"/>
        <v>UBND Xã An Thới Đông</v>
      </c>
      <c r="E1330" s="505" t="s">
        <v>896</v>
      </c>
      <c r="F1330" s="505" t="s">
        <v>891</v>
      </c>
      <c r="G1330" s="415">
        <v>3190</v>
      </c>
      <c r="H1330" s="370"/>
    </row>
    <row r="1331" spans="1:8" s="673" customFormat="1">
      <c r="A1331" s="309">
        <v>96</v>
      </c>
      <c r="B1331" s="277" t="s">
        <v>3126</v>
      </c>
      <c r="C1331" s="706" t="s">
        <v>5121</v>
      </c>
      <c r="D1331" s="418" t="str">
        <f t="shared" si="19"/>
        <v>UBND Xã An Thới Đông</v>
      </c>
      <c r="E1331" s="505" t="s">
        <v>891</v>
      </c>
      <c r="F1331" s="505" t="s">
        <v>896</v>
      </c>
      <c r="G1331" s="415">
        <v>4440</v>
      </c>
      <c r="H1331" s="370"/>
    </row>
    <row r="1332" spans="1:8" s="673" customFormat="1">
      <c r="A1332" s="309">
        <v>97</v>
      </c>
      <c r="B1332" s="277" t="s">
        <v>900</v>
      </c>
      <c r="C1332" s="706" t="s">
        <v>5121</v>
      </c>
      <c r="D1332" s="418" t="str">
        <f t="shared" si="19"/>
        <v>UBND Xã An Thới Đông</v>
      </c>
      <c r="E1332" s="505" t="s">
        <v>896</v>
      </c>
      <c r="F1332" s="505" t="s">
        <v>899</v>
      </c>
      <c r="G1332" s="415">
        <v>2400</v>
      </c>
      <c r="H1332" s="370"/>
    </row>
    <row r="1333" spans="1:8" s="673" customFormat="1">
      <c r="A1333" s="309">
        <v>98</v>
      </c>
      <c r="B1333" s="277" t="s">
        <v>897</v>
      </c>
      <c r="C1333" s="706" t="s">
        <v>5121</v>
      </c>
      <c r="D1333" s="418" t="str">
        <f t="shared" si="19"/>
        <v>UBND Xã An Thới Đông</v>
      </c>
      <c r="E1333" s="505" t="s">
        <v>896</v>
      </c>
      <c r="F1333" s="505" t="s">
        <v>838</v>
      </c>
      <c r="G1333" s="415">
        <v>1960</v>
      </c>
      <c r="H1333" s="370"/>
    </row>
    <row r="1334" spans="1:8" s="673" customFormat="1">
      <c r="A1334" s="309">
        <v>99</v>
      </c>
      <c r="B1334" s="277" t="s">
        <v>894</v>
      </c>
      <c r="C1334" s="706" t="s">
        <v>5121</v>
      </c>
      <c r="D1334" s="418" t="str">
        <f t="shared" si="19"/>
        <v>UBND Xã An Thới Đông</v>
      </c>
      <c r="E1334" s="505" t="s">
        <v>739</v>
      </c>
      <c r="F1334" s="505" t="s">
        <v>838</v>
      </c>
      <c r="G1334" s="415">
        <v>1120</v>
      </c>
      <c r="H1334" s="370"/>
    </row>
    <row r="1335" spans="1:8" s="673" customFormat="1">
      <c r="A1335" s="309">
        <v>100</v>
      </c>
      <c r="B1335" s="277" t="s">
        <v>893</v>
      </c>
      <c r="C1335" s="706" t="s">
        <v>5121</v>
      </c>
      <c r="D1335" s="418" t="str">
        <f t="shared" si="19"/>
        <v>UBND Xã An Thới Đông</v>
      </c>
      <c r="E1335" s="505" t="s">
        <v>892</v>
      </c>
      <c r="F1335" s="505" t="s">
        <v>891</v>
      </c>
      <c r="G1335" s="415">
        <v>2520</v>
      </c>
      <c r="H1335" s="370"/>
    </row>
    <row r="1336" spans="1:8" s="673" customFormat="1">
      <c r="A1336" s="309">
        <v>101</v>
      </c>
      <c r="B1336" s="277" t="s">
        <v>825</v>
      </c>
      <c r="C1336" s="706" t="s">
        <v>5121</v>
      </c>
      <c r="D1336" s="418" t="str">
        <f t="shared" si="19"/>
        <v>UBND Xã An Thới Đông</v>
      </c>
      <c r="E1336" s="505" t="s">
        <v>773</v>
      </c>
      <c r="F1336" s="505" t="s">
        <v>407</v>
      </c>
      <c r="G1336" s="415">
        <v>1660</v>
      </c>
      <c r="H1336" s="370"/>
    </row>
    <row r="1337" spans="1:8" s="673" customFormat="1">
      <c r="A1337" s="309">
        <v>102</v>
      </c>
      <c r="B1337" s="277" t="s">
        <v>823</v>
      </c>
      <c r="C1337" s="706" t="s">
        <v>5121</v>
      </c>
      <c r="D1337" s="418" t="str">
        <f t="shared" si="19"/>
        <v>UBND Xã An Thới Đông</v>
      </c>
      <c r="E1337" s="505" t="s">
        <v>816</v>
      </c>
      <c r="F1337" s="505" t="s">
        <v>407</v>
      </c>
      <c r="G1337" s="415">
        <v>393</v>
      </c>
      <c r="H1337" s="370"/>
    </row>
    <row r="1338" spans="1:8" s="673" customFormat="1">
      <c r="A1338" s="309">
        <v>103</v>
      </c>
      <c r="B1338" s="277" t="s">
        <v>3142</v>
      </c>
      <c r="C1338" s="706" t="s">
        <v>5121</v>
      </c>
      <c r="D1338" s="418" t="str">
        <f t="shared" si="19"/>
        <v>UBND Xã An Thới Đông</v>
      </c>
      <c r="E1338" s="505" t="s">
        <v>801</v>
      </c>
      <c r="F1338" s="505" t="s">
        <v>821</v>
      </c>
      <c r="G1338" s="415">
        <v>1210</v>
      </c>
      <c r="H1338" s="370"/>
    </row>
    <row r="1339" spans="1:8" s="673" customFormat="1">
      <c r="A1339" s="309">
        <v>104</v>
      </c>
      <c r="B1339" s="277" t="s">
        <v>820</v>
      </c>
      <c r="C1339" s="706" t="s">
        <v>5121</v>
      </c>
      <c r="D1339" s="418" t="str">
        <f t="shared" si="19"/>
        <v>UBND Xã An Thới Đông</v>
      </c>
      <c r="E1339" s="505" t="s">
        <v>801</v>
      </c>
      <c r="F1339" s="505" t="s">
        <v>407</v>
      </c>
      <c r="G1339" s="415">
        <v>1800</v>
      </c>
      <c r="H1339" s="370"/>
    </row>
    <row r="1340" spans="1:8" s="673" customFormat="1">
      <c r="A1340" s="309">
        <v>105</v>
      </c>
      <c r="B1340" s="277" t="s">
        <v>3143</v>
      </c>
      <c r="C1340" s="706" t="s">
        <v>5121</v>
      </c>
      <c r="D1340" s="418" t="str">
        <f t="shared" si="19"/>
        <v>UBND Xã An Thới Đông</v>
      </c>
      <c r="E1340" s="505" t="s">
        <v>3144</v>
      </c>
      <c r="F1340" s="505" t="s">
        <v>407</v>
      </c>
      <c r="G1340" s="415">
        <v>3190</v>
      </c>
      <c r="H1340" s="370"/>
    </row>
    <row r="1341" spans="1:8" s="673" customFormat="1">
      <c r="A1341" s="309">
        <v>106</v>
      </c>
      <c r="B1341" s="277" t="s">
        <v>3145</v>
      </c>
      <c r="C1341" s="706" t="s">
        <v>5121</v>
      </c>
      <c r="D1341" s="418" t="str">
        <f t="shared" si="19"/>
        <v>UBND Xã An Thới Đông</v>
      </c>
      <c r="E1341" s="505" t="s">
        <v>816</v>
      </c>
      <c r="F1341" s="505" t="s">
        <v>407</v>
      </c>
      <c r="G1341" s="415">
        <v>1785</v>
      </c>
      <c r="H1341" s="370"/>
    </row>
    <row r="1342" spans="1:8" s="673" customFormat="1">
      <c r="A1342" s="309">
        <v>107</v>
      </c>
      <c r="B1342" s="277" t="s">
        <v>3146</v>
      </c>
      <c r="C1342" s="706" t="s">
        <v>5121</v>
      </c>
      <c r="D1342" s="418" t="str">
        <f t="shared" si="19"/>
        <v>UBND Xã An Thới Đông</v>
      </c>
      <c r="E1342" s="505" t="s">
        <v>816</v>
      </c>
      <c r="F1342" s="505" t="s">
        <v>407</v>
      </c>
      <c r="G1342" s="415">
        <v>1475</v>
      </c>
      <c r="H1342" s="370"/>
    </row>
    <row r="1343" spans="1:8" s="673" customFormat="1">
      <c r="A1343" s="309">
        <v>108</v>
      </c>
      <c r="B1343" s="277" t="s">
        <v>3147</v>
      </c>
      <c r="C1343" s="706" t="s">
        <v>5121</v>
      </c>
      <c r="D1343" s="418" t="str">
        <f t="shared" ref="D1343:D1406" si="20">"UBND "&amp;C1343</f>
        <v>UBND Xã An Thới Đông</v>
      </c>
      <c r="E1343" s="505" t="s">
        <v>757</v>
      </c>
      <c r="F1343" s="505" t="s">
        <v>407</v>
      </c>
      <c r="G1343" s="415">
        <v>2440</v>
      </c>
      <c r="H1343" s="370"/>
    </row>
    <row r="1344" spans="1:8" s="673" customFormat="1" ht="33">
      <c r="A1344" s="309">
        <v>109</v>
      </c>
      <c r="B1344" s="277" t="s">
        <v>3892</v>
      </c>
      <c r="C1344" s="706" t="s">
        <v>5121</v>
      </c>
      <c r="D1344" s="418" t="str">
        <f t="shared" si="20"/>
        <v>UBND Xã An Thới Đông</v>
      </c>
      <c r="E1344" s="505" t="s">
        <v>127</v>
      </c>
      <c r="F1344" s="505" t="s">
        <v>757</v>
      </c>
      <c r="G1344" s="415">
        <v>5300</v>
      </c>
      <c r="H1344" s="370"/>
    </row>
    <row r="1345" spans="1:8" s="673" customFormat="1">
      <c r="A1345" s="309">
        <v>110</v>
      </c>
      <c r="B1345" s="277" t="s">
        <v>3148</v>
      </c>
      <c r="C1345" s="706" t="s">
        <v>5121</v>
      </c>
      <c r="D1345" s="418" t="str">
        <f t="shared" si="20"/>
        <v>UBND Xã An Thới Đông</v>
      </c>
      <c r="E1345" s="505" t="s">
        <v>812</v>
      </c>
      <c r="F1345" s="505" t="s">
        <v>407</v>
      </c>
      <c r="G1345" s="415">
        <v>2040</v>
      </c>
      <c r="H1345" s="370"/>
    </row>
    <row r="1346" spans="1:8" s="673" customFormat="1">
      <c r="A1346" s="309">
        <v>111</v>
      </c>
      <c r="B1346" s="277" t="s">
        <v>811</v>
      </c>
      <c r="C1346" s="706" t="s">
        <v>5121</v>
      </c>
      <c r="D1346" s="418" t="str">
        <f t="shared" si="20"/>
        <v>UBND Xã An Thới Đông</v>
      </c>
      <c r="E1346" s="505" t="s">
        <v>806</v>
      </c>
      <c r="F1346" s="505" t="s">
        <v>807</v>
      </c>
      <c r="G1346" s="415">
        <v>1200</v>
      </c>
      <c r="H1346" s="370"/>
    </row>
    <row r="1347" spans="1:8" s="673" customFormat="1">
      <c r="A1347" s="309">
        <v>112</v>
      </c>
      <c r="B1347" s="277" t="s">
        <v>809</v>
      </c>
      <c r="C1347" s="706" t="s">
        <v>5121</v>
      </c>
      <c r="D1347" s="418" t="str">
        <f t="shared" si="20"/>
        <v>UBND Xã An Thới Đông</v>
      </c>
      <c r="E1347" s="505" t="s">
        <v>806</v>
      </c>
      <c r="F1347" s="505" t="s">
        <v>773</v>
      </c>
      <c r="G1347" s="415">
        <v>3670</v>
      </c>
      <c r="H1347" s="370"/>
    </row>
    <row r="1348" spans="1:8" s="673" customFormat="1">
      <c r="A1348" s="309">
        <v>113</v>
      </c>
      <c r="B1348" s="277" t="s">
        <v>807</v>
      </c>
      <c r="C1348" s="706" t="s">
        <v>5121</v>
      </c>
      <c r="D1348" s="418" t="str">
        <f t="shared" si="20"/>
        <v>UBND Xã An Thới Đông</v>
      </c>
      <c r="E1348" s="505" t="s">
        <v>806</v>
      </c>
      <c r="F1348" s="505" t="s">
        <v>407</v>
      </c>
      <c r="G1348" s="415">
        <v>1370</v>
      </c>
      <c r="H1348" s="370"/>
    </row>
    <row r="1349" spans="1:8" s="673" customFormat="1">
      <c r="A1349" s="309">
        <v>114</v>
      </c>
      <c r="B1349" s="277" t="s">
        <v>3149</v>
      </c>
      <c r="C1349" s="706" t="s">
        <v>5121</v>
      </c>
      <c r="D1349" s="418" t="str">
        <f t="shared" si="20"/>
        <v>UBND Xã An Thới Đông</v>
      </c>
      <c r="E1349" s="505" t="s">
        <v>801</v>
      </c>
      <c r="F1349" s="505" t="s">
        <v>1129</v>
      </c>
      <c r="G1349" s="415">
        <v>8720</v>
      </c>
      <c r="H1349" s="370"/>
    </row>
    <row r="1350" spans="1:8" s="673" customFormat="1">
      <c r="A1350" s="309">
        <v>115</v>
      </c>
      <c r="B1350" s="277" t="s">
        <v>599</v>
      </c>
      <c r="C1350" s="706" t="s">
        <v>5121</v>
      </c>
      <c r="D1350" s="418" t="str">
        <f t="shared" si="20"/>
        <v>UBND Xã An Thới Đông</v>
      </c>
      <c r="E1350" s="505" t="s">
        <v>726</v>
      </c>
      <c r="F1350" s="505" t="s">
        <v>407</v>
      </c>
      <c r="G1350" s="415">
        <v>3416</v>
      </c>
      <c r="H1350" s="370"/>
    </row>
    <row r="1351" spans="1:8" s="673" customFormat="1">
      <c r="A1351" s="309">
        <v>116</v>
      </c>
      <c r="B1351" s="277" t="s">
        <v>742</v>
      </c>
      <c r="C1351" s="706" t="s">
        <v>5121</v>
      </c>
      <c r="D1351" s="418" t="str">
        <f t="shared" si="20"/>
        <v>UBND Xã An Thới Đông</v>
      </c>
      <c r="E1351" s="505" t="s">
        <v>801</v>
      </c>
      <c r="F1351" s="505" t="s">
        <v>3159</v>
      </c>
      <c r="G1351" s="415">
        <v>3980</v>
      </c>
      <c r="H1351" s="370"/>
    </row>
    <row r="1352" spans="1:8" s="673" customFormat="1">
      <c r="A1352" s="309">
        <v>117</v>
      </c>
      <c r="B1352" s="277" t="s">
        <v>3160</v>
      </c>
      <c r="C1352" s="706" t="s">
        <v>5121</v>
      </c>
      <c r="D1352" s="418" t="str">
        <f t="shared" si="20"/>
        <v>UBND Xã An Thới Đông</v>
      </c>
      <c r="E1352" s="505" t="s">
        <v>1131</v>
      </c>
      <c r="F1352" s="505" t="s">
        <v>3161</v>
      </c>
      <c r="G1352" s="415">
        <v>2500</v>
      </c>
      <c r="H1352" s="370"/>
    </row>
    <row r="1353" spans="1:8" s="673" customFormat="1">
      <c r="A1353" s="309">
        <v>118</v>
      </c>
      <c r="B1353" s="282" t="s">
        <v>3166</v>
      </c>
      <c r="C1353" s="706" t="s">
        <v>5121</v>
      </c>
      <c r="D1353" s="418" t="str">
        <f t="shared" si="20"/>
        <v>UBND Xã An Thới Đông</v>
      </c>
      <c r="E1353" s="505" t="s">
        <v>862</v>
      </c>
      <c r="F1353" s="505" t="s">
        <v>3161</v>
      </c>
      <c r="G1353" s="415">
        <v>4500</v>
      </c>
      <c r="H1353" s="370"/>
    </row>
    <row r="1354" spans="1:8" s="673" customFormat="1">
      <c r="A1354" s="309">
        <v>119</v>
      </c>
      <c r="B1354" s="282" t="s">
        <v>5056</v>
      </c>
      <c r="C1354" s="706" t="s">
        <v>5121</v>
      </c>
      <c r="D1354" s="418" t="str">
        <f t="shared" si="20"/>
        <v>UBND Xã An Thới Đông</v>
      </c>
      <c r="E1354" s="309" t="s">
        <v>816</v>
      </c>
      <c r="F1354" s="309" t="s">
        <v>727</v>
      </c>
      <c r="G1354" s="415">
        <v>5000</v>
      </c>
      <c r="H1354" s="370"/>
    </row>
    <row r="1355" spans="1:8" s="673" customFormat="1">
      <c r="A1355" s="309">
        <v>120</v>
      </c>
      <c r="B1355" s="282" t="s">
        <v>5057</v>
      </c>
      <c r="C1355" s="706" t="s">
        <v>5121</v>
      </c>
      <c r="D1355" s="418" t="str">
        <f t="shared" si="20"/>
        <v>UBND Xã An Thới Đông</v>
      </c>
      <c r="E1355" s="505" t="s">
        <v>801</v>
      </c>
      <c r="F1355" s="505" t="s">
        <v>801</v>
      </c>
      <c r="G1355" s="415">
        <v>3000</v>
      </c>
      <c r="H1355" s="370"/>
    </row>
    <row r="1356" spans="1:8" s="673" customFormat="1" ht="66">
      <c r="A1356" s="309">
        <v>121</v>
      </c>
      <c r="B1356" s="282" t="s">
        <v>5058</v>
      </c>
      <c r="C1356" s="706" t="s">
        <v>5121</v>
      </c>
      <c r="D1356" s="418" t="str">
        <f t="shared" si="20"/>
        <v>UBND Xã An Thới Đông</v>
      </c>
      <c r="E1356" s="505" t="s">
        <v>127</v>
      </c>
      <c r="F1356" s="505" t="s">
        <v>1129</v>
      </c>
      <c r="G1356" s="415">
        <v>2100</v>
      </c>
      <c r="H1356" s="370"/>
    </row>
    <row r="1357" spans="1:8" s="673" customFormat="1">
      <c r="A1357" s="309">
        <v>122</v>
      </c>
      <c r="B1357" s="282" t="s">
        <v>5062</v>
      </c>
      <c r="C1357" s="706" t="s">
        <v>5121</v>
      </c>
      <c r="D1357" s="418" t="str">
        <f t="shared" si="20"/>
        <v>UBND Xã An Thới Đông</v>
      </c>
      <c r="E1357" s="505" t="s">
        <v>1128</v>
      </c>
      <c r="F1357" s="505" t="s">
        <v>821</v>
      </c>
      <c r="G1357" s="415">
        <v>6000</v>
      </c>
      <c r="H1357" s="370"/>
    </row>
    <row r="1358" spans="1:8" s="673" customFormat="1" ht="33">
      <c r="A1358" s="309">
        <v>123</v>
      </c>
      <c r="B1358" s="275" t="s">
        <v>4948</v>
      </c>
      <c r="C1358" s="706" t="s">
        <v>5111</v>
      </c>
      <c r="D1358" s="418" t="str">
        <f t="shared" si="20"/>
        <v>UBND Xã Bà Điểm</v>
      </c>
      <c r="E1358" s="505" t="s">
        <v>1079</v>
      </c>
      <c r="F1358" s="505" t="s">
        <v>1340</v>
      </c>
      <c r="G1358" s="415">
        <v>3000</v>
      </c>
      <c r="H1358" s="370" t="s">
        <v>207</v>
      </c>
    </row>
    <row r="1359" spans="1:8" s="673" customFormat="1">
      <c r="A1359" s="309">
        <v>124</v>
      </c>
      <c r="B1359" s="687" t="s">
        <v>1437</v>
      </c>
      <c r="C1359" s="706" t="s">
        <v>5111</v>
      </c>
      <c r="D1359" s="418" t="str">
        <f t="shared" si="20"/>
        <v>UBND Xã Bà Điểm</v>
      </c>
      <c r="E1359" s="505" t="s">
        <v>1438</v>
      </c>
      <c r="F1359" s="505" t="s">
        <v>407</v>
      </c>
      <c r="G1359" s="415">
        <v>400</v>
      </c>
      <c r="H1359" s="371" t="s">
        <v>183</v>
      </c>
    </row>
    <row r="1360" spans="1:8" s="673" customFormat="1">
      <c r="A1360" s="309">
        <v>125</v>
      </c>
      <c r="B1360" s="687" t="s">
        <v>1439</v>
      </c>
      <c r="C1360" s="706" t="s">
        <v>5111</v>
      </c>
      <c r="D1360" s="418" t="str">
        <f t="shared" si="20"/>
        <v>UBND Xã Bà Điểm</v>
      </c>
      <c r="E1360" s="505" t="s">
        <v>1438</v>
      </c>
      <c r="F1360" s="505" t="s">
        <v>407</v>
      </c>
      <c r="G1360" s="415">
        <v>200</v>
      </c>
      <c r="H1360" s="371" t="s">
        <v>183</v>
      </c>
    </row>
    <row r="1361" spans="1:8" s="673" customFormat="1">
      <c r="A1361" s="309">
        <v>126</v>
      </c>
      <c r="B1361" s="687" t="s">
        <v>1440</v>
      </c>
      <c r="C1361" s="706" t="s">
        <v>5111</v>
      </c>
      <c r="D1361" s="418" t="str">
        <f t="shared" si="20"/>
        <v>UBND Xã Bà Điểm</v>
      </c>
      <c r="E1361" s="505" t="s">
        <v>1438</v>
      </c>
      <c r="F1361" s="505" t="s">
        <v>407</v>
      </c>
      <c r="G1361" s="415">
        <v>370</v>
      </c>
      <c r="H1361" s="371" t="s">
        <v>183</v>
      </c>
    </row>
    <row r="1362" spans="1:8" s="673" customFormat="1">
      <c r="A1362" s="309">
        <v>127</v>
      </c>
      <c r="B1362" s="687" t="s">
        <v>1441</v>
      </c>
      <c r="C1362" s="706" t="s">
        <v>5111</v>
      </c>
      <c r="D1362" s="418" t="str">
        <f t="shared" si="20"/>
        <v>UBND Xã Bà Điểm</v>
      </c>
      <c r="E1362" s="505" t="s">
        <v>1438</v>
      </c>
      <c r="F1362" s="505" t="s">
        <v>407</v>
      </c>
      <c r="G1362" s="415">
        <v>150</v>
      </c>
      <c r="H1362" s="371" t="s">
        <v>183</v>
      </c>
    </row>
    <row r="1363" spans="1:8" s="673" customFormat="1">
      <c r="A1363" s="309">
        <v>128</v>
      </c>
      <c r="B1363" s="687" t="s">
        <v>1443</v>
      </c>
      <c r="C1363" s="706" t="s">
        <v>5111</v>
      </c>
      <c r="D1363" s="418" t="str">
        <f t="shared" si="20"/>
        <v>UBND Xã Bà Điểm</v>
      </c>
      <c r="E1363" s="505" t="s">
        <v>1442</v>
      </c>
      <c r="F1363" s="505" t="s">
        <v>407</v>
      </c>
      <c r="G1363" s="415">
        <v>200</v>
      </c>
      <c r="H1363" s="371" t="s">
        <v>183</v>
      </c>
    </row>
    <row r="1364" spans="1:8" s="673" customFormat="1">
      <c r="A1364" s="309">
        <v>129</v>
      </c>
      <c r="B1364" s="687" t="s">
        <v>1444</v>
      </c>
      <c r="C1364" s="706" t="s">
        <v>5111</v>
      </c>
      <c r="D1364" s="418" t="str">
        <f t="shared" si="20"/>
        <v>UBND Xã Bà Điểm</v>
      </c>
      <c r="E1364" s="505" t="s">
        <v>1442</v>
      </c>
      <c r="F1364" s="505" t="s">
        <v>407</v>
      </c>
      <c r="G1364" s="415">
        <v>350</v>
      </c>
      <c r="H1364" s="371" t="s">
        <v>183</v>
      </c>
    </row>
    <row r="1365" spans="1:8" s="673" customFormat="1">
      <c r="A1365" s="309">
        <v>130</v>
      </c>
      <c r="B1365" s="687" t="s">
        <v>1445</v>
      </c>
      <c r="C1365" s="706" t="s">
        <v>5111</v>
      </c>
      <c r="D1365" s="418" t="str">
        <f t="shared" si="20"/>
        <v>UBND Xã Bà Điểm</v>
      </c>
      <c r="E1365" s="505" t="s">
        <v>1442</v>
      </c>
      <c r="F1365" s="505" t="s">
        <v>407</v>
      </c>
      <c r="G1365" s="415">
        <v>160</v>
      </c>
      <c r="H1365" s="371" t="s">
        <v>183</v>
      </c>
    </row>
    <row r="1366" spans="1:8" s="673" customFormat="1">
      <c r="A1366" s="309">
        <v>131</v>
      </c>
      <c r="B1366" s="687" t="s">
        <v>1446</v>
      </c>
      <c r="C1366" s="706" t="s">
        <v>5111</v>
      </c>
      <c r="D1366" s="418" t="str">
        <f t="shared" si="20"/>
        <v>UBND Xã Bà Điểm</v>
      </c>
      <c r="E1366" s="505" t="s">
        <v>1442</v>
      </c>
      <c r="F1366" s="505" t="s">
        <v>407</v>
      </c>
      <c r="G1366" s="415">
        <v>430</v>
      </c>
      <c r="H1366" s="371" t="s">
        <v>183</v>
      </c>
    </row>
    <row r="1367" spans="1:8" s="673" customFormat="1">
      <c r="A1367" s="309">
        <v>132</v>
      </c>
      <c r="B1367" s="687" t="s">
        <v>1448</v>
      </c>
      <c r="C1367" s="706" t="s">
        <v>5111</v>
      </c>
      <c r="D1367" s="418" t="str">
        <f t="shared" si="20"/>
        <v>UBND Xã Bà Điểm</v>
      </c>
      <c r="E1367" s="505" t="s">
        <v>1447</v>
      </c>
      <c r="F1367" s="505" t="s">
        <v>407</v>
      </c>
      <c r="G1367" s="415">
        <v>140</v>
      </c>
      <c r="H1367" s="371" t="s">
        <v>183</v>
      </c>
    </row>
    <row r="1368" spans="1:8" s="673" customFormat="1">
      <c r="A1368" s="309">
        <v>133</v>
      </c>
      <c r="B1368" s="687" t="s">
        <v>1449</v>
      </c>
      <c r="C1368" s="706" t="s">
        <v>5111</v>
      </c>
      <c r="D1368" s="418" t="str">
        <f t="shared" si="20"/>
        <v>UBND Xã Bà Điểm</v>
      </c>
      <c r="E1368" s="505" t="s">
        <v>1447</v>
      </c>
      <c r="F1368" s="505" t="s">
        <v>407</v>
      </c>
      <c r="G1368" s="415">
        <v>400</v>
      </c>
      <c r="H1368" s="371" t="s">
        <v>183</v>
      </c>
    </row>
    <row r="1369" spans="1:8" s="673" customFormat="1">
      <c r="A1369" s="309">
        <v>134</v>
      </c>
      <c r="B1369" s="687" t="s">
        <v>1450</v>
      </c>
      <c r="C1369" s="706" t="s">
        <v>5111</v>
      </c>
      <c r="D1369" s="418" t="str">
        <f t="shared" si="20"/>
        <v>UBND Xã Bà Điểm</v>
      </c>
      <c r="E1369" s="505" t="s">
        <v>1447</v>
      </c>
      <c r="F1369" s="505" t="s">
        <v>407</v>
      </c>
      <c r="G1369" s="415">
        <v>150</v>
      </c>
      <c r="H1369" s="371" t="s">
        <v>183</v>
      </c>
    </row>
    <row r="1370" spans="1:8" s="673" customFormat="1">
      <c r="A1370" s="309">
        <v>135</v>
      </c>
      <c r="B1370" s="687" t="s">
        <v>1451</v>
      </c>
      <c r="C1370" s="706" t="s">
        <v>5111</v>
      </c>
      <c r="D1370" s="418" t="str">
        <f t="shared" si="20"/>
        <v>UBND Xã Bà Điểm</v>
      </c>
      <c r="E1370" s="505" t="s">
        <v>1447</v>
      </c>
      <c r="F1370" s="505" t="s">
        <v>407</v>
      </c>
      <c r="G1370" s="415">
        <v>400</v>
      </c>
      <c r="H1370" s="371" t="s">
        <v>183</v>
      </c>
    </row>
    <row r="1371" spans="1:8" s="673" customFormat="1">
      <c r="A1371" s="309">
        <v>136</v>
      </c>
      <c r="B1371" s="687" t="s">
        <v>1453</v>
      </c>
      <c r="C1371" s="706" t="s">
        <v>5111</v>
      </c>
      <c r="D1371" s="418" t="str">
        <f t="shared" si="20"/>
        <v>UBND Xã Bà Điểm</v>
      </c>
      <c r="E1371" s="505" t="s">
        <v>1452</v>
      </c>
      <c r="F1371" s="505" t="s">
        <v>407</v>
      </c>
      <c r="G1371" s="415">
        <v>170</v>
      </c>
      <c r="H1371" s="371" t="s">
        <v>183</v>
      </c>
    </row>
    <row r="1372" spans="1:8" s="673" customFormat="1">
      <c r="A1372" s="309">
        <v>137</v>
      </c>
      <c r="B1372" s="687" t="s">
        <v>1454</v>
      </c>
      <c r="C1372" s="706" t="s">
        <v>5111</v>
      </c>
      <c r="D1372" s="418" t="str">
        <f t="shared" si="20"/>
        <v>UBND Xã Bà Điểm</v>
      </c>
      <c r="E1372" s="505" t="s">
        <v>1452</v>
      </c>
      <c r="F1372" s="505" t="s">
        <v>407</v>
      </c>
      <c r="G1372" s="415">
        <v>140</v>
      </c>
      <c r="H1372" s="371" t="s">
        <v>183</v>
      </c>
    </row>
    <row r="1373" spans="1:8" s="673" customFormat="1">
      <c r="A1373" s="309">
        <v>138</v>
      </c>
      <c r="B1373" s="687" t="s">
        <v>1455</v>
      </c>
      <c r="C1373" s="706" t="s">
        <v>5111</v>
      </c>
      <c r="D1373" s="418" t="str">
        <f t="shared" si="20"/>
        <v>UBND Xã Bà Điểm</v>
      </c>
      <c r="E1373" s="505" t="s">
        <v>1452</v>
      </c>
      <c r="F1373" s="505" t="s">
        <v>407</v>
      </c>
      <c r="G1373" s="415">
        <v>170</v>
      </c>
      <c r="H1373" s="371" t="s">
        <v>183</v>
      </c>
    </row>
    <row r="1374" spans="1:8" s="673" customFormat="1">
      <c r="A1374" s="309">
        <v>139</v>
      </c>
      <c r="B1374" s="687" t="s">
        <v>1456</v>
      </c>
      <c r="C1374" s="706" t="s">
        <v>5111</v>
      </c>
      <c r="D1374" s="418" t="str">
        <f t="shared" si="20"/>
        <v>UBND Xã Bà Điểm</v>
      </c>
      <c r="E1374" s="505" t="s">
        <v>1452</v>
      </c>
      <c r="F1374" s="505" t="s">
        <v>407</v>
      </c>
      <c r="G1374" s="415">
        <v>150</v>
      </c>
      <c r="H1374" s="371" t="s">
        <v>183</v>
      </c>
    </row>
    <row r="1375" spans="1:8" s="673" customFormat="1">
      <c r="A1375" s="309">
        <v>140</v>
      </c>
      <c r="B1375" s="687" t="s">
        <v>1458</v>
      </c>
      <c r="C1375" s="706" t="s">
        <v>5111</v>
      </c>
      <c r="D1375" s="418" t="str">
        <f t="shared" si="20"/>
        <v>UBND Xã Bà Điểm</v>
      </c>
      <c r="E1375" s="505" t="s">
        <v>1457</v>
      </c>
      <c r="F1375" s="505" t="s">
        <v>407</v>
      </c>
      <c r="G1375" s="415">
        <v>150</v>
      </c>
      <c r="H1375" s="371" t="s">
        <v>183</v>
      </c>
    </row>
    <row r="1376" spans="1:8" s="673" customFormat="1">
      <c r="A1376" s="309">
        <v>141</v>
      </c>
      <c r="B1376" s="687" t="s">
        <v>1459</v>
      </c>
      <c r="C1376" s="706" t="s">
        <v>5111</v>
      </c>
      <c r="D1376" s="418" t="str">
        <f t="shared" si="20"/>
        <v>UBND Xã Bà Điểm</v>
      </c>
      <c r="E1376" s="505" t="s">
        <v>1457</v>
      </c>
      <c r="F1376" s="505" t="s">
        <v>407</v>
      </c>
      <c r="G1376" s="415">
        <v>170</v>
      </c>
      <c r="H1376" s="371" t="s">
        <v>183</v>
      </c>
    </row>
    <row r="1377" spans="1:8" s="673" customFormat="1">
      <c r="A1377" s="309">
        <v>142</v>
      </c>
      <c r="B1377" s="687" t="s">
        <v>1460</v>
      </c>
      <c r="C1377" s="706" t="s">
        <v>5111</v>
      </c>
      <c r="D1377" s="418" t="str">
        <f t="shared" si="20"/>
        <v>UBND Xã Bà Điểm</v>
      </c>
      <c r="E1377" s="505" t="s">
        <v>1457</v>
      </c>
      <c r="F1377" s="505" t="s">
        <v>407</v>
      </c>
      <c r="G1377" s="415">
        <v>200</v>
      </c>
      <c r="H1377" s="371" t="s">
        <v>183</v>
      </c>
    </row>
    <row r="1378" spans="1:8" s="673" customFormat="1">
      <c r="A1378" s="309">
        <v>143</v>
      </c>
      <c r="B1378" s="687" t="s">
        <v>1461</v>
      </c>
      <c r="C1378" s="706" t="s">
        <v>5111</v>
      </c>
      <c r="D1378" s="418" t="str">
        <f t="shared" si="20"/>
        <v>UBND Xã Bà Điểm</v>
      </c>
      <c r="E1378" s="505" t="s">
        <v>1457</v>
      </c>
      <c r="F1378" s="505" t="s">
        <v>407</v>
      </c>
      <c r="G1378" s="415">
        <v>170</v>
      </c>
      <c r="H1378" s="371" t="s">
        <v>183</v>
      </c>
    </row>
    <row r="1379" spans="1:8" s="673" customFormat="1">
      <c r="A1379" s="309">
        <v>144</v>
      </c>
      <c r="B1379" s="687" t="s">
        <v>1339</v>
      </c>
      <c r="C1379" s="706" t="s">
        <v>5111</v>
      </c>
      <c r="D1379" s="418" t="str">
        <f t="shared" si="20"/>
        <v>UBND Xã Bà Điểm</v>
      </c>
      <c r="E1379" s="505" t="s">
        <v>1340</v>
      </c>
      <c r="F1379" s="505" t="s">
        <v>407</v>
      </c>
      <c r="G1379" s="415">
        <v>500</v>
      </c>
      <c r="H1379" s="371" t="s">
        <v>164</v>
      </c>
    </row>
    <row r="1380" spans="1:8" s="673" customFormat="1">
      <c r="A1380" s="309">
        <v>145</v>
      </c>
      <c r="B1380" s="687" t="s">
        <v>1342</v>
      </c>
      <c r="C1380" s="706" t="s">
        <v>5111</v>
      </c>
      <c r="D1380" s="418" t="str">
        <f t="shared" si="20"/>
        <v>UBND Xã Bà Điểm</v>
      </c>
      <c r="E1380" s="505" t="s">
        <v>1340</v>
      </c>
      <c r="F1380" s="505" t="s">
        <v>407</v>
      </c>
      <c r="G1380" s="415">
        <v>500</v>
      </c>
      <c r="H1380" s="371" t="s">
        <v>164</v>
      </c>
    </row>
    <row r="1381" spans="1:8" s="673" customFormat="1">
      <c r="A1381" s="309">
        <v>146</v>
      </c>
      <c r="B1381" s="687" t="s">
        <v>1344</v>
      </c>
      <c r="C1381" s="706" t="s">
        <v>5111</v>
      </c>
      <c r="D1381" s="418" t="str">
        <f t="shared" si="20"/>
        <v>UBND Xã Bà Điểm</v>
      </c>
      <c r="E1381" s="505" t="s">
        <v>1340</v>
      </c>
      <c r="F1381" s="505" t="s">
        <v>407</v>
      </c>
      <c r="G1381" s="415">
        <v>500</v>
      </c>
      <c r="H1381" s="371" t="s">
        <v>164</v>
      </c>
    </row>
    <row r="1382" spans="1:8" s="673" customFormat="1">
      <c r="A1382" s="309">
        <v>147</v>
      </c>
      <c r="B1382" s="687" t="s">
        <v>1346</v>
      </c>
      <c r="C1382" s="706" t="s">
        <v>5111</v>
      </c>
      <c r="D1382" s="418" t="str">
        <f t="shared" si="20"/>
        <v>UBND Xã Bà Điểm</v>
      </c>
      <c r="E1382" s="505" t="s">
        <v>1340</v>
      </c>
      <c r="F1382" s="505" t="s">
        <v>407</v>
      </c>
      <c r="G1382" s="415">
        <v>500</v>
      </c>
      <c r="H1382" s="371" t="s">
        <v>164</v>
      </c>
    </row>
    <row r="1383" spans="1:8" s="673" customFormat="1">
      <c r="A1383" s="309">
        <v>148</v>
      </c>
      <c r="B1383" s="687" t="s">
        <v>1348</v>
      </c>
      <c r="C1383" s="706" t="s">
        <v>5111</v>
      </c>
      <c r="D1383" s="418" t="str">
        <f t="shared" si="20"/>
        <v>UBND Xã Bà Điểm</v>
      </c>
      <c r="E1383" s="505" t="s">
        <v>1340</v>
      </c>
      <c r="F1383" s="505" t="s">
        <v>407</v>
      </c>
      <c r="G1383" s="415">
        <v>500</v>
      </c>
      <c r="H1383" s="371" t="s">
        <v>164</v>
      </c>
    </row>
    <row r="1384" spans="1:8" s="673" customFormat="1">
      <c r="A1384" s="309">
        <v>149</v>
      </c>
      <c r="B1384" s="687" t="s">
        <v>1350</v>
      </c>
      <c r="C1384" s="706" t="s">
        <v>5111</v>
      </c>
      <c r="D1384" s="418" t="str">
        <f t="shared" si="20"/>
        <v>UBND Xã Bà Điểm</v>
      </c>
      <c r="E1384" s="505" t="s">
        <v>1340</v>
      </c>
      <c r="F1384" s="505" t="s">
        <v>407</v>
      </c>
      <c r="G1384" s="415">
        <v>500</v>
      </c>
      <c r="H1384" s="371" t="s">
        <v>164</v>
      </c>
    </row>
    <row r="1385" spans="1:8" s="673" customFormat="1">
      <c r="A1385" s="309">
        <v>150</v>
      </c>
      <c r="B1385" s="687" t="s">
        <v>1352</v>
      </c>
      <c r="C1385" s="706" t="s">
        <v>5111</v>
      </c>
      <c r="D1385" s="418" t="str">
        <f t="shared" si="20"/>
        <v>UBND Xã Bà Điểm</v>
      </c>
      <c r="E1385" s="505" t="s">
        <v>1340</v>
      </c>
      <c r="F1385" s="505" t="s">
        <v>407</v>
      </c>
      <c r="G1385" s="415">
        <v>500</v>
      </c>
      <c r="H1385" s="371" t="s">
        <v>164</v>
      </c>
    </row>
    <row r="1386" spans="1:8" s="673" customFormat="1">
      <c r="A1386" s="309">
        <v>151</v>
      </c>
      <c r="B1386" s="687" t="s">
        <v>1354</v>
      </c>
      <c r="C1386" s="706" t="s">
        <v>5111</v>
      </c>
      <c r="D1386" s="418" t="str">
        <f t="shared" si="20"/>
        <v>UBND Xã Bà Điểm</v>
      </c>
      <c r="E1386" s="505" t="s">
        <v>1340</v>
      </c>
      <c r="F1386" s="505" t="s">
        <v>407</v>
      </c>
      <c r="G1386" s="415">
        <v>500</v>
      </c>
      <c r="H1386" s="371" t="s">
        <v>164</v>
      </c>
    </row>
    <row r="1387" spans="1:8" s="673" customFormat="1">
      <c r="A1387" s="309">
        <v>152</v>
      </c>
      <c r="B1387" s="687" t="s">
        <v>1533</v>
      </c>
      <c r="C1387" s="706" t="s">
        <v>5111</v>
      </c>
      <c r="D1387" s="418" t="str">
        <f t="shared" si="20"/>
        <v>UBND Xã Bà Điểm</v>
      </c>
      <c r="E1387" s="505" t="s">
        <v>1534</v>
      </c>
      <c r="F1387" s="505" t="s">
        <v>407</v>
      </c>
      <c r="G1387" s="415">
        <v>500</v>
      </c>
      <c r="H1387" s="371" t="s">
        <v>164</v>
      </c>
    </row>
    <row r="1388" spans="1:8" s="673" customFormat="1">
      <c r="A1388" s="309">
        <v>153</v>
      </c>
      <c r="B1388" s="687" t="s">
        <v>1535</v>
      </c>
      <c r="C1388" s="706" t="s">
        <v>5111</v>
      </c>
      <c r="D1388" s="418" t="str">
        <f t="shared" si="20"/>
        <v>UBND Xã Bà Điểm</v>
      </c>
      <c r="E1388" s="505" t="s">
        <v>1534</v>
      </c>
      <c r="F1388" s="505" t="s">
        <v>407</v>
      </c>
      <c r="G1388" s="415">
        <v>500</v>
      </c>
      <c r="H1388" s="371" t="s">
        <v>164</v>
      </c>
    </row>
    <row r="1389" spans="1:8" s="673" customFormat="1">
      <c r="A1389" s="309">
        <v>154</v>
      </c>
      <c r="B1389" s="687" t="s">
        <v>1536</v>
      </c>
      <c r="C1389" s="706" t="s">
        <v>5111</v>
      </c>
      <c r="D1389" s="418" t="str">
        <f t="shared" si="20"/>
        <v>UBND Xã Bà Điểm</v>
      </c>
      <c r="E1389" s="505" t="s">
        <v>1534</v>
      </c>
      <c r="F1389" s="505" t="s">
        <v>407</v>
      </c>
      <c r="G1389" s="415">
        <v>500</v>
      </c>
      <c r="H1389" s="371" t="s">
        <v>164</v>
      </c>
    </row>
    <row r="1390" spans="1:8" s="673" customFormat="1">
      <c r="A1390" s="309">
        <v>155</v>
      </c>
      <c r="B1390" s="687" t="s">
        <v>1537</v>
      </c>
      <c r="C1390" s="706" t="s">
        <v>5111</v>
      </c>
      <c r="D1390" s="418" t="str">
        <f t="shared" si="20"/>
        <v>UBND Xã Bà Điểm</v>
      </c>
      <c r="E1390" s="505" t="s">
        <v>1534</v>
      </c>
      <c r="F1390" s="505" t="s">
        <v>407</v>
      </c>
      <c r="G1390" s="415">
        <v>500</v>
      </c>
      <c r="H1390" s="371" t="s">
        <v>164</v>
      </c>
    </row>
    <row r="1391" spans="1:8" s="673" customFormat="1">
      <c r="A1391" s="309">
        <v>156</v>
      </c>
      <c r="B1391" s="687" t="s">
        <v>1538</v>
      </c>
      <c r="C1391" s="706" t="s">
        <v>5111</v>
      </c>
      <c r="D1391" s="418" t="str">
        <f t="shared" si="20"/>
        <v>UBND Xã Bà Điểm</v>
      </c>
      <c r="E1391" s="505" t="s">
        <v>1534</v>
      </c>
      <c r="F1391" s="505" t="s">
        <v>407</v>
      </c>
      <c r="G1391" s="415">
        <v>500</v>
      </c>
      <c r="H1391" s="371" t="s">
        <v>164</v>
      </c>
    </row>
    <row r="1392" spans="1:8" s="673" customFormat="1">
      <c r="A1392" s="309">
        <v>157</v>
      </c>
      <c r="B1392" s="687" t="s">
        <v>1539</v>
      </c>
      <c r="C1392" s="706" t="s">
        <v>5111</v>
      </c>
      <c r="D1392" s="418" t="str">
        <f t="shared" si="20"/>
        <v>UBND Xã Bà Điểm</v>
      </c>
      <c r="E1392" s="505" t="s">
        <v>1534</v>
      </c>
      <c r="F1392" s="505" t="s">
        <v>407</v>
      </c>
      <c r="G1392" s="415">
        <v>500</v>
      </c>
      <c r="H1392" s="371" t="s">
        <v>164</v>
      </c>
    </row>
    <row r="1393" spans="1:8" s="673" customFormat="1">
      <c r="A1393" s="309">
        <v>158</v>
      </c>
      <c r="B1393" s="687" t="s">
        <v>1540</v>
      </c>
      <c r="C1393" s="706" t="s">
        <v>5111</v>
      </c>
      <c r="D1393" s="418" t="str">
        <f t="shared" si="20"/>
        <v>UBND Xã Bà Điểm</v>
      </c>
      <c r="E1393" s="505" t="s">
        <v>1534</v>
      </c>
      <c r="F1393" s="505" t="s">
        <v>407</v>
      </c>
      <c r="G1393" s="415">
        <v>500</v>
      </c>
      <c r="H1393" s="371" t="s">
        <v>164</v>
      </c>
    </row>
    <row r="1394" spans="1:8" s="673" customFormat="1">
      <c r="A1394" s="309">
        <v>159</v>
      </c>
      <c r="B1394" s="687" t="s">
        <v>1541</v>
      </c>
      <c r="C1394" s="706" t="s">
        <v>5111</v>
      </c>
      <c r="D1394" s="418" t="str">
        <f t="shared" si="20"/>
        <v>UBND Xã Bà Điểm</v>
      </c>
      <c r="E1394" s="505" t="s">
        <v>1534</v>
      </c>
      <c r="F1394" s="505" t="s">
        <v>407</v>
      </c>
      <c r="G1394" s="415">
        <v>500</v>
      </c>
      <c r="H1394" s="371" t="s">
        <v>164</v>
      </c>
    </row>
    <row r="1395" spans="1:8" s="673" customFormat="1">
      <c r="A1395" s="309">
        <v>160</v>
      </c>
      <c r="B1395" s="687" t="s">
        <v>1542</v>
      </c>
      <c r="C1395" s="706" t="s">
        <v>5111</v>
      </c>
      <c r="D1395" s="418" t="str">
        <f t="shared" si="20"/>
        <v>UBND Xã Bà Điểm</v>
      </c>
      <c r="E1395" s="505" t="s">
        <v>1534</v>
      </c>
      <c r="F1395" s="505" t="s">
        <v>407</v>
      </c>
      <c r="G1395" s="415">
        <v>500</v>
      </c>
      <c r="H1395" s="371" t="s">
        <v>164</v>
      </c>
    </row>
    <row r="1396" spans="1:8" s="673" customFormat="1">
      <c r="A1396" s="309">
        <v>161</v>
      </c>
      <c r="B1396" s="687" t="s">
        <v>1543</v>
      </c>
      <c r="C1396" s="706" t="s">
        <v>5111</v>
      </c>
      <c r="D1396" s="418" t="str">
        <f t="shared" si="20"/>
        <v>UBND Xã Bà Điểm</v>
      </c>
      <c r="E1396" s="505" t="s">
        <v>1534</v>
      </c>
      <c r="F1396" s="505" t="s">
        <v>407</v>
      </c>
      <c r="G1396" s="415">
        <v>500</v>
      </c>
      <c r="H1396" s="371" t="s">
        <v>164</v>
      </c>
    </row>
    <row r="1397" spans="1:8" s="673" customFormat="1">
      <c r="A1397" s="309">
        <v>162</v>
      </c>
      <c r="B1397" s="687" t="s">
        <v>1544</v>
      </c>
      <c r="C1397" s="706" t="s">
        <v>5111</v>
      </c>
      <c r="D1397" s="418" t="str">
        <f t="shared" si="20"/>
        <v>UBND Xã Bà Điểm</v>
      </c>
      <c r="E1397" s="505" t="s">
        <v>1534</v>
      </c>
      <c r="F1397" s="505" t="s">
        <v>407</v>
      </c>
      <c r="G1397" s="415">
        <v>500</v>
      </c>
      <c r="H1397" s="371" t="s">
        <v>164</v>
      </c>
    </row>
    <row r="1398" spans="1:8" s="673" customFormat="1">
      <c r="A1398" s="309">
        <v>163</v>
      </c>
      <c r="B1398" s="687" t="s">
        <v>1545</v>
      </c>
      <c r="C1398" s="706" t="s">
        <v>5111</v>
      </c>
      <c r="D1398" s="418" t="str">
        <f t="shared" si="20"/>
        <v>UBND Xã Bà Điểm</v>
      </c>
      <c r="E1398" s="505" t="s">
        <v>1534</v>
      </c>
      <c r="F1398" s="505" t="s">
        <v>407</v>
      </c>
      <c r="G1398" s="415">
        <v>500</v>
      </c>
      <c r="H1398" s="371" t="s">
        <v>164</v>
      </c>
    </row>
    <row r="1399" spans="1:8" s="673" customFormat="1">
      <c r="A1399" s="309">
        <v>164</v>
      </c>
      <c r="B1399" s="687" t="s">
        <v>1546</v>
      </c>
      <c r="C1399" s="706" t="s">
        <v>5111</v>
      </c>
      <c r="D1399" s="418" t="str">
        <f t="shared" si="20"/>
        <v>UBND Xã Bà Điểm</v>
      </c>
      <c r="E1399" s="505" t="s">
        <v>1534</v>
      </c>
      <c r="F1399" s="505" t="s">
        <v>407</v>
      </c>
      <c r="G1399" s="415">
        <v>500</v>
      </c>
      <c r="H1399" s="371" t="s">
        <v>164</v>
      </c>
    </row>
    <row r="1400" spans="1:8" s="673" customFormat="1">
      <c r="A1400" s="309">
        <v>165</v>
      </c>
      <c r="B1400" s="687" t="s">
        <v>1547</v>
      </c>
      <c r="C1400" s="706" t="s">
        <v>5111</v>
      </c>
      <c r="D1400" s="418" t="str">
        <f t="shared" si="20"/>
        <v>UBND Xã Bà Điểm</v>
      </c>
      <c r="E1400" s="505" t="s">
        <v>1534</v>
      </c>
      <c r="F1400" s="505" t="s">
        <v>407</v>
      </c>
      <c r="G1400" s="415">
        <v>500</v>
      </c>
      <c r="H1400" s="371" t="s">
        <v>164</v>
      </c>
    </row>
    <row r="1401" spans="1:8" s="673" customFormat="1">
      <c r="A1401" s="309">
        <v>166</v>
      </c>
      <c r="B1401" s="687" t="s">
        <v>1548</v>
      </c>
      <c r="C1401" s="706" t="s">
        <v>5111</v>
      </c>
      <c r="D1401" s="418" t="str">
        <f t="shared" si="20"/>
        <v>UBND Xã Bà Điểm</v>
      </c>
      <c r="E1401" s="505" t="s">
        <v>1534</v>
      </c>
      <c r="F1401" s="505" t="s">
        <v>407</v>
      </c>
      <c r="G1401" s="415">
        <v>500</v>
      </c>
      <c r="H1401" s="371" t="s">
        <v>164</v>
      </c>
    </row>
    <row r="1402" spans="1:8" s="673" customFormat="1">
      <c r="A1402" s="309">
        <v>167</v>
      </c>
      <c r="B1402" s="687" t="s">
        <v>1549</v>
      </c>
      <c r="C1402" s="706" t="s">
        <v>5111</v>
      </c>
      <c r="D1402" s="418" t="str">
        <f t="shared" si="20"/>
        <v>UBND Xã Bà Điểm</v>
      </c>
      <c r="E1402" s="505" t="s">
        <v>1534</v>
      </c>
      <c r="F1402" s="505" t="s">
        <v>407</v>
      </c>
      <c r="G1402" s="415">
        <v>500</v>
      </c>
      <c r="H1402" s="371" t="s">
        <v>164</v>
      </c>
    </row>
    <row r="1403" spans="1:8" s="673" customFormat="1">
      <c r="A1403" s="309">
        <v>168</v>
      </c>
      <c r="B1403" s="687" t="s">
        <v>1550</v>
      </c>
      <c r="C1403" s="706" t="s">
        <v>5111</v>
      </c>
      <c r="D1403" s="418" t="str">
        <f t="shared" si="20"/>
        <v>UBND Xã Bà Điểm</v>
      </c>
      <c r="E1403" s="505" t="s">
        <v>1551</v>
      </c>
      <c r="F1403" s="505" t="s">
        <v>407</v>
      </c>
      <c r="G1403" s="415">
        <v>500</v>
      </c>
      <c r="H1403" s="371" t="s">
        <v>164</v>
      </c>
    </row>
    <row r="1404" spans="1:8" s="673" customFormat="1">
      <c r="A1404" s="309">
        <v>169</v>
      </c>
      <c r="B1404" s="687" t="s">
        <v>1552</v>
      </c>
      <c r="C1404" s="706" t="s">
        <v>5111</v>
      </c>
      <c r="D1404" s="418" t="str">
        <f t="shared" si="20"/>
        <v>UBND Xã Bà Điểm</v>
      </c>
      <c r="E1404" s="505" t="s">
        <v>1551</v>
      </c>
      <c r="F1404" s="505" t="s">
        <v>407</v>
      </c>
      <c r="G1404" s="415">
        <v>500</v>
      </c>
      <c r="H1404" s="371" t="s">
        <v>164</v>
      </c>
    </row>
    <row r="1405" spans="1:8" s="673" customFormat="1">
      <c r="A1405" s="309">
        <v>170</v>
      </c>
      <c r="B1405" s="687" t="s">
        <v>1553</v>
      </c>
      <c r="C1405" s="706" t="s">
        <v>5111</v>
      </c>
      <c r="D1405" s="418" t="str">
        <f t="shared" si="20"/>
        <v>UBND Xã Bà Điểm</v>
      </c>
      <c r="E1405" s="505" t="s">
        <v>1551</v>
      </c>
      <c r="F1405" s="505" t="s">
        <v>407</v>
      </c>
      <c r="G1405" s="415">
        <v>500</v>
      </c>
      <c r="H1405" s="371" t="s">
        <v>164</v>
      </c>
    </row>
    <row r="1406" spans="1:8" s="673" customFormat="1">
      <c r="A1406" s="309">
        <v>171</v>
      </c>
      <c r="B1406" s="687" t="s">
        <v>1554</v>
      </c>
      <c r="C1406" s="706" t="s">
        <v>5111</v>
      </c>
      <c r="D1406" s="418" t="str">
        <f t="shared" si="20"/>
        <v>UBND Xã Bà Điểm</v>
      </c>
      <c r="E1406" s="505" t="s">
        <v>1551</v>
      </c>
      <c r="F1406" s="505" t="s">
        <v>407</v>
      </c>
      <c r="G1406" s="415">
        <v>500</v>
      </c>
      <c r="H1406" s="371" t="s">
        <v>164</v>
      </c>
    </row>
    <row r="1407" spans="1:8" s="673" customFormat="1">
      <c r="A1407" s="309">
        <v>172</v>
      </c>
      <c r="B1407" s="687" t="s">
        <v>1555</v>
      </c>
      <c r="C1407" s="706" t="s">
        <v>5111</v>
      </c>
      <c r="D1407" s="418" t="str">
        <f t="shared" ref="D1407:D1470" si="21">"UBND "&amp;C1407</f>
        <v>UBND Xã Bà Điểm</v>
      </c>
      <c r="E1407" s="505" t="s">
        <v>1551</v>
      </c>
      <c r="F1407" s="505" t="s">
        <v>407</v>
      </c>
      <c r="G1407" s="415">
        <v>500</v>
      </c>
      <c r="H1407" s="371" t="s">
        <v>164</v>
      </c>
    </row>
    <row r="1408" spans="1:8" s="673" customFormat="1">
      <c r="A1408" s="309">
        <v>173</v>
      </c>
      <c r="B1408" s="687" t="s">
        <v>1556</v>
      </c>
      <c r="C1408" s="706" t="s">
        <v>5111</v>
      </c>
      <c r="D1408" s="418" t="str">
        <f t="shared" si="21"/>
        <v>UBND Xã Bà Điểm</v>
      </c>
      <c r="E1408" s="505" t="s">
        <v>1551</v>
      </c>
      <c r="F1408" s="505" t="s">
        <v>407</v>
      </c>
      <c r="G1408" s="415">
        <v>500</v>
      </c>
      <c r="H1408" s="371" t="s">
        <v>164</v>
      </c>
    </row>
    <row r="1409" spans="1:8" s="673" customFormat="1">
      <c r="A1409" s="309">
        <v>174</v>
      </c>
      <c r="B1409" s="687" t="s">
        <v>1557</v>
      </c>
      <c r="C1409" s="706" t="s">
        <v>5111</v>
      </c>
      <c r="D1409" s="418" t="str">
        <f t="shared" si="21"/>
        <v>UBND Xã Bà Điểm</v>
      </c>
      <c r="E1409" s="505" t="s">
        <v>1551</v>
      </c>
      <c r="F1409" s="505" t="s">
        <v>407</v>
      </c>
      <c r="G1409" s="415">
        <v>500</v>
      </c>
      <c r="H1409" s="371" t="s">
        <v>164</v>
      </c>
    </row>
    <row r="1410" spans="1:8" s="673" customFormat="1">
      <c r="A1410" s="309">
        <v>175</v>
      </c>
      <c r="B1410" s="687" t="s">
        <v>1558</v>
      </c>
      <c r="C1410" s="706" t="s">
        <v>5111</v>
      </c>
      <c r="D1410" s="418" t="str">
        <f t="shared" si="21"/>
        <v>UBND Xã Bà Điểm</v>
      </c>
      <c r="E1410" s="505" t="s">
        <v>1551</v>
      </c>
      <c r="F1410" s="505" t="s">
        <v>407</v>
      </c>
      <c r="G1410" s="415">
        <v>500</v>
      </c>
      <c r="H1410" s="371" t="s">
        <v>164</v>
      </c>
    </row>
    <row r="1411" spans="1:8" s="673" customFormat="1">
      <c r="A1411" s="309">
        <v>176</v>
      </c>
      <c r="B1411" s="687" t="s">
        <v>1559</v>
      </c>
      <c r="C1411" s="706" t="s">
        <v>5111</v>
      </c>
      <c r="D1411" s="418" t="str">
        <f t="shared" si="21"/>
        <v>UBND Xã Bà Điểm</v>
      </c>
      <c r="E1411" s="505" t="s">
        <v>1551</v>
      </c>
      <c r="F1411" s="505" t="s">
        <v>407</v>
      </c>
      <c r="G1411" s="415">
        <v>500</v>
      </c>
      <c r="H1411" s="371" t="s">
        <v>164</v>
      </c>
    </row>
    <row r="1412" spans="1:8" s="673" customFormat="1">
      <c r="A1412" s="309">
        <v>177</v>
      </c>
      <c r="B1412" s="687" t="s">
        <v>1560</v>
      </c>
      <c r="C1412" s="706" t="s">
        <v>5111</v>
      </c>
      <c r="D1412" s="418" t="str">
        <f t="shared" si="21"/>
        <v>UBND Xã Bà Điểm</v>
      </c>
      <c r="E1412" s="505" t="s">
        <v>1551</v>
      </c>
      <c r="F1412" s="505" t="s">
        <v>407</v>
      </c>
      <c r="G1412" s="415">
        <v>500</v>
      </c>
      <c r="H1412" s="371" t="s">
        <v>164</v>
      </c>
    </row>
    <row r="1413" spans="1:8" s="673" customFormat="1">
      <c r="A1413" s="309">
        <v>178</v>
      </c>
      <c r="B1413" s="687" t="s">
        <v>1561</v>
      </c>
      <c r="C1413" s="706" t="s">
        <v>5111</v>
      </c>
      <c r="D1413" s="418" t="str">
        <f t="shared" si="21"/>
        <v>UBND Xã Bà Điểm</v>
      </c>
      <c r="E1413" s="505" t="s">
        <v>1551</v>
      </c>
      <c r="F1413" s="505" t="s">
        <v>407</v>
      </c>
      <c r="G1413" s="415">
        <v>500</v>
      </c>
      <c r="H1413" s="371" t="s">
        <v>164</v>
      </c>
    </row>
    <row r="1414" spans="1:8" s="673" customFormat="1">
      <c r="A1414" s="309">
        <v>179</v>
      </c>
      <c r="B1414" s="687" t="s">
        <v>1562</v>
      </c>
      <c r="C1414" s="706" t="s">
        <v>5111</v>
      </c>
      <c r="D1414" s="418" t="str">
        <f t="shared" si="21"/>
        <v>UBND Xã Bà Điểm</v>
      </c>
      <c r="E1414" s="505" t="s">
        <v>1551</v>
      </c>
      <c r="F1414" s="505" t="s">
        <v>407</v>
      </c>
      <c r="G1414" s="415">
        <v>500</v>
      </c>
      <c r="H1414" s="371" t="s">
        <v>164</v>
      </c>
    </row>
    <row r="1415" spans="1:8" s="673" customFormat="1">
      <c r="A1415" s="309">
        <v>180</v>
      </c>
      <c r="B1415" s="687" t="s">
        <v>1563</v>
      </c>
      <c r="C1415" s="706" t="s">
        <v>5111</v>
      </c>
      <c r="D1415" s="418" t="str">
        <f t="shared" si="21"/>
        <v>UBND Xã Bà Điểm</v>
      </c>
      <c r="E1415" s="505" t="s">
        <v>1551</v>
      </c>
      <c r="F1415" s="505" t="s">
        <v>407</v>
      </c>
      <c r="G1415" s="415">
        <v>500</v>
      </c>
      <c r="H1415" s="371" t="s">
        <v>164</v>
      </c>
    </row>
    <row r="1416" spans="1:8" s="673" customFormat="1">
      <c r="A1416" s="309">
        <v>181</v>
      </c>
      <c r="B1416" s="687" t="s">
        <v>1564</v>
      </c>
      <c r="C1416" s="706" t="s">
        <v>5111</v>
      </c>
      <c r="D1416" s="418" t="str">
        <f t="shared" si="21"/>
        <v>UBND Xã Bà Điểm</v>
      </c>
      <c r="E1416" s="505" t="s">
        <v>1551</v>
      </c>
      <c r="F1416" s="505" t="s">
        <v>407</v>
      </c>
      <c r="G1416" s="415">
        <v>500</v>
      </c>
      <c r="H1416" s="371" t="s">
        <v>164</v>
      </c>
    </row>
    <row r="1417" spans="1:8" s="673" customFormat="1">
      <c r="A1417" s="309">
        <v>182</v>
      </c>
      <c r="B1417" s="687" t="s">
        <v>1565</v>
      </c>
      <c r="C1417" s="706" t="s">
        <v>5111</v>
      </c>
      <c r="D1417" s="418" t="str">
        <f t="shared" si="21"/>
        <v>UBND Xã Bà Điểm</v>
      </c>
      <c r="E1417" s="505" t="s">
        <v>1551</v>
      </c>
      <c r="F1417" s="505" t="s">
        <v>407</v>
      </c>
      <c r="G1417" s="415">
        <v>500</v>
      </c>
      <c r="H1417" s="371" t="s">
        <v>164</v>
      </c>
    </row>
    <row r="1418" spans="1:8" s="673" customFormat="1">
      <c r="A1418" s="309">
        <v>183</v>
      </c>
      <c r="B1418" s="687" t="s">
        <v>1566</v>
      </c>
      <c r="C1418" s="706" t="s">
        <v>5111</v>
      </c>
      <c r="D1418" s="418" t="str">
        <f t="shared" si="21"/>
        <v>UBND Xã Bà Điểm</v>
      </c>
      <c r="E1418" s="505" t="s">
        <v>1551</v>
      </c>
      <c r="F1418" s="505" t="s">
        <v>407</v>
      </c>
      <c r="G1418" s="415">
        <v>500</v>
      </c>
      <c r="H1418" s="371" t="s">
        <v>164</v>
      </c>
    </row>
    <row r="1419" spans="1:8" s="673" customFormat="1">
      <c r="A1419" s="309">
        <v>184</v>
      </c>
      <c r="B1419" s="687" t="s">
        <v>1567</v>
      </c>
      <c r="C1419" s="706" t="s">
        <v>5111</v>
      </c>
      <c r="D1419" s="418" t="str">
        <f t="shared" si="21"/>
        <v>UBND Xã Bà Điểm</v>
      </c>
      <c r="E1419" s="505" t="s">
        <v>1079</v>
      </c>
      <c r="F1419" s="505" t="s">
        <v>407</v>
      </c>
      <c r="G1419" s="415">
        <v>500</v>
      </c>
      <c r="H1419" s="371" t="s">
        <v>164</v>
      </c>
    </row>
    <row r="1420" spans="1:8" s="673" customFormat="1">
      <c r="A1420" s="309">
        <v>185</v>
      </c>
      <c r="B1420" s="687" t="s">
        <v>1568</v>
      </c>
      <c r="C1420" s="706" t="s">
        <v>5111</v>
      </c>
      <c r="D1420" s="418" t="str">
        <f t="shared" si="21"/>
        <v>UBND Xã Bà Điểm</v>
      </c>
      <c r="E1420" s="505" t="s">
        <v>1079</v>
      </c>
      <c r="F1420" s="505" t="s">
        <v>407</v>
      </c>
      <c r="G1420" s="415">
        <v>500</v>
      </c>
      <c r="H1420" s="371" t="s">
        <v>164</v>
      </c>
    </row>
    <row r="1421" spans="1:8" s="673" customFormat="1">
      <c r="A1421" s="309">
        <v>186</v>
      </c>
      <c r="B1421" s="687" t="s">
        <v>1569</v>
      </c>
      <c r="C1421" s="706" t="s">
        <v>5111</v>
      </c>
      <c r="D1421" s="418" t="str">
        <f t="shared" si="21"/>
        <v>UBND Xã Bà Điểm</v>
      </c>
      <c r="E1421" s="505" t="s">
        <v>1079</v>
      </c>
      <c r="F1421" s="505" t="s">
        <v>407</v>
      </c>
      <c r="G1421" s="415">
        <v>500</v>
      </c>
      <c r="H1421" s="371" t="s">
        <v>164</v>
      </c>
    </row>
    <row r="1422" spans="1:8" s="673" customFormat="1">
      <c r="A1422" s="309">
        <v>187</v>
      </c>
      <c r="B1422" s="687" t="s">
        <v>1570</v>
      </c>
      <c r="C1422" s="706" t="s">
        <v>5111</v>
      </c>
      <c r="D1422" s="418" t="str">
        <f t="shared" si="21"/>
        <v>UBND Xã Bà Điểm</v>
      </c>
      <c r="E1422" s="505" t="s">
        <v>1079</v>
      </c>
      <c r="F1422" s="505" t="s">
        <v>407</v>
      </c>
      <c r="G1422" s="415">
        <v>500</v>
      </c>
      <c r="H1422" s="371" t="s">
        <v>164</v>
      </c>
    </row>
    <row r="1423" spans="1:8" s="673" customFormat="1">
      <c r="A1423" s="309">
        <v>188</v>
      </c>
      <c r="B1423" s="687" t="s">
        <v>1571</v>
      </c>
      <c r="C1423" s="706" t="s">
        <v>5111</v>
      </c>
      <c r="D1423" s="418" t="str">
        <f t="shared" si="21"/>
        <v>UBND Xã Bà Điểm</v>
      </c>
      <c r="E1423" s="505" t="s">
        <v>1079</v>
      </c>
      <c r="F1423" s="505" t="s">
        <v>407</v>
      </c>
      <c r="G1423" s="415">
        <v>500</v>
      </c>
      <c r="H1423" s="371" t="s">
        <v>164</v>
      </c>
    </row>
    <row r="1424" spans="1:8" s="673" customFormat="1">
      <c r="A1424" s="309">
        <v>189</v>
      </c>
      <c r="B1424" s="687" t="s">
        <v>1572</v>
      </c>
      <c r="C1424" s="706" t="s">
        <v>5111</v>
      </c>
      <c r="D1424" s="418" t="str">
        <f t="shared" si="21"/>
        <v>UBND Xã Bà Điểm</v>
      </c>
      <c r="E1424" s="505" t="s">
        <v>1079</v>
      </c>
      <c r="F1424" s="505" t="s">
        <v>407</v>
      </c>
      <c r="G1424" s="415">
        <v>500</v>
      </c>
      <c r="H1424" s="371" t="s">
        <v>164</v>
      </c>
    </row>
    <row r="1425" spans="1:8" s="673" customFormat="1">
      <c r="A1425" s="309">
        <v>190</v>
      </c>
      <c r="B1425" s="687" t="s">
        <v>1573</v>
      </c>
      <c r="C1425" s="706" t="s">
        <v>5111</v>
      </c>
      <c r="D1425" s="418" t="str">
        <f t="shared" si="21"/>
        <v>UBND Xã Bà Điểm</v>
      </c>
      <c r="E1425" s="505" t="s">
        <v>1079</v>
      </c>
      <c r="F1425" s="505" t="s">
        <v>407</v>
      </c>
      <c r="G1425" s="415">
        <v>500</v>
      </c>
      <c r="H1425" s="371" t="s">
        <v>164</v>
      </c>
    </row>
    <row r="1426" spans="1:8" s="673" customFormat="1">
      <c r="A1426" s="309">
        <v>191</v>
      </c>
      <c r="B1426" s="686" t="s">
        <v>2723</v>
      </c>
      <c r="C1426" s="706" t="s">
        <v>5113</v>
      </c>
      <c r="D1426" s="418" t="str">
        <f t="shared" si="21"/>
        <v>UBND Xã Bình Chánh</v>
      </c>
      <c r="E1426" s="505" t="s">
        <v>247</v>
      </c>
      <c r="F1426" s="505" t="s">
        <v>407</v>
      </c>
      <c r="G1426" s="415">
        <v>1300</v>
      </c>
      <c r="H1426" s="370"/>
    </row>
    <row r="1427" spans="1:8" s="673" customFormat="1">
      <c r="A1427" s="309">
        <v>192</v>
      </c>
      <c r="B1427" s="686" t="s">
        <v>2733</v>
      </c>
      <c r="C1427" s="706" t="s">
        <v>5113</v>
      </c>
      <c r="D1427" s="418" t="str">
        <f t="shared" si="21"/>
        <v>UBND Xã Bình Chánh</v>
      </c>
      <c r="E1427" s="505" t="s">
        <v>245</v>
      </c>
      <c r="F1427" s="505" t="s">
        <v>407</v>
      </c>
      <c r="G1427" s="415">
        <v>2100</v>
      </c>
      <c r="H1427" s="370"/>
    </row>
    <row r="1428" spans="1:8" s="673" customFormat="1">
      <c r="A1428" s="309">
        <v>193</v>
      </c>
      <c r="B1428" s="675" t="s">
        <v>1399</v>
      </c>
      <c r="C1428" s="706" t="s">
        <v>5113</v>
      </c>
      <c r="D1428" s="418" t="str">
        <f t="shared" si="21"/>
        <v>UBND Xã Bình Chánh</v>
      </c>
      <c r="E1428" s="507" t="s">
        <v>976</v>
      </c>
      <c r="F1428" s="507" t="s">
        <v>5026</v>
      </c>
      <c r="G1428" s="415">
        <v>2400</v>
      </c>
      <c r="H1428" s="370" t="s">
        <v>221</v>
      </c>
    </row>
    <row r="1429" spans="1:8" s="673" customFormat="1">
      <c r="A1429" s="309">
        <v>194</v>
      </c>
      <c r="B1429" s="675" t="s">
        <v>1416</v>
      </c>
      <c r="C1429" s="706" t="s">
        <v>5113</v>
      </c>
      <c r="D1429" s="418" t="str">
        <f t="shared" si="21"/>
        <v>UBND Xã Bình Chánh</v>
      </c>
      <c r="E1429" s="507" t="s">
        <v>5029</v>
      </c>
      <c r="F1429" s="507" t="s">
        <v>5026</v>
      </c>
      <c r="G1429" s="415">
        <v>2300</v>
      </c>
      <c r="H1429" s="370" t="s">
        <v>189</v>
      </c>
    </row>
    <row r="1430" spans="1:8" s="673" customFormat="1">
      <c r="A1430" s="309">
        <v>195</v>
      </c>
      <c r="B1430" s="675" t="s">
        <v>5030</v>
      </c>
      <c r="C1430" s="706" t="s">
        <v>5113</v>
      </c>
      <c r="D1430" s="418" t="str">
        <f t="shared" si="21"/>
        <v>UBND Xã Bình Chánh</v>
      </c>
      <c r="E1430" s="507" t="s">
        <v>5031</v>
      </c>
      <c r="F1430" s="507" t="s">
        <v>244</v>
      </c>
      <c r="G1430" s="415">
        <v>2585</v>
      </c>
      <c r="H1430" s="370" t="s">
        <v>188</v>
      </c>
    </row>
    <row r="1431" spans="1:8" s="673" customFormat="1">
      <c r="A1431" s="309">
        <v>196</v>
      </c>
      <c r="B1431" s="686" t="s">
        <v>5032</v>
      </c>
      <c r="C1431" s="706" t="s">
        <v>5113</v>
      </c>
      <c r="D1431" s="418" t="str">
        <f t="shared" si="21"/>
        <v>UBND Xã Bình Chánh</v>
      </c>
      <c r="E1431" s="507" t="s">
        <v>5031</v>
      </c>
      <c r="F1431" s="507" t="s">
        <v>244</v>
      </c>
      <c r="G1431" s="415">
        <v>2390</v>
      </c>
      <c r="H1431" s="370" t="s">
        <v>210</v>
      </c>
    </row>
    <row r="1432" spans="1:8" s="673" customFormat="1">
      <c r="A1432" s="309">
        <v>197</v>
      </c>
      <c r="B1432" s="686" t="s">
        <v>5033</v>
      </c>
      <c r="C1432" s="706" t="s">
        <v>5113</v>
      </c>
      <c r="D1432" s="418" t="str">
        <f t="shared" si="21"/>
        <v>UBND Xã Bình Chánh</v>
      </c>
      <c r="E1432" s="507" t="s">
        <v>5031</v>
      </c>
      <c r="F1432" s="689" t="s">
        <v>1399</v>
      </c>
      <c r="G1432" s="415">
        <v>1960</v>
      </c>
      <c r="H1432" s="370" t="s">
        <v>183</v>
      </c>
    </row>
    <row r="1433" spans="1:8" s="673" customFormat="1">
      <c r="A1433" s="309">
        <v>198</v>
      </c>
      <c r="B1433" s="686" t="s">
        <v>2719</v>
      </c>
      <c r="C1433" s="706" t="s">
        <v>5089</v>
      </c>
      <c r="D1433" s="418" t="str">
        <f t="shared" si="21"/>
        <v>UBND Xã Bình Hưng</v>
      </c>
      <c r="E1433" s="505" t="s">
        <v>2720</v>
      </c>
      <c r="F1433" s="505" t="s">
        <v>407</v>
      </c>
      <c r="G1433" s="415">
        <v>4800</v>
      </c>
      <c r="H1433" s="370"/>
    </row>
    <row r="1434" spans="1:8" s="673" customFormat="1">
      <c r="A1434" s="309">
        <v>199</v>
      </c>
      <c r="B1434" s="686" t="s">
        <v>839</v>
      </c>
      <c r="C1434" s="706" t="s">
        <v>5089</v>
      </c>
      <c r="D1434" s="418" t="str">
        <f t="shared" si="21"/>
        <v>UBND Xã Bình Hưng</v>
      </c>
      <c r="E1434" s="505" t="s">
        <v>2720</v>
      </c>
      <c r="F1434" s="505" t="s">
        <v>2721</v>
      </c>
      <c r="G1434" s="415">
        <v>2600</v>
      </c>
      <c r="H1434" s="370"/>
    </row>
    <row r="1435" spans="1:8" s="673" customFormat="1">
      <c r="A1435" s="309">
        <v>200</v>
      </c>
      <c r="B1435" s="686" t="s">
        <v>2722</v>
      </c>
      <c r="C1435" s="706" t="s">
        <v>5089</v>
      </c>
      <c r="D1435" s="418" t="str">
        <f t="shared" si="21"/>
        <v>UBND Xã Bình Hưng</v>
      </c>
      <c r="E1435" s="505" t="s">
        <v>246</v>
      </c>
      <c r="F1435" s="505" t="s">
        <v>407</v>
      </c>
      <c r="G1435" s="415">
        <v>2600</v>
      </c>
      <c r="H1435" s="370"/>
    </row>
    <row r="1436" spans="1:8" s="673" customFormat="1">
      <c r="A1436" s="309">
        <v>201</v>
      </c>
      <c r="B1436" s="277" t="s">
        <v>112</v>
      </c>
      <c r="C1436" s="706" t="s">
        <v>5119</v>
      </c>
      <c r="D1436" s="418" t="str">
        <f t="shared" si="21"/>
        <v>UBND Xã Bình Khánh</v>
      </c>
      <c r="E1436" s="505" t="s">
        <v>905</v>
      </c>
      <c r="F1436" s="505" t="s">
        <v>877</v>
      </c>
      <c r="G1436" s="415">
        <v>3652</v>
      </c>
      <c r="H1436" s="370"/>
    </row>
    <row r="1437" spans="1:8" s="673" customFormat="1">
      <c r="A1437" s="309">
        <v>202</v>
      </c>
      <c r="B1437" s="277" t="s">
        <v>905</v>
      </c>
      <c r="C1437" s="706" t="s">
        <v>5119</v>
      </c>
      <c r="D1437" s="418" t="str">
        <f t="shared" si="21"/>
        <v>UBND Xã Bình Khánh</v>
      </c>
      <c r="E1437" s="505" t="s">
        <v>3125</v>
      </c>
      <c r="F1437" s="505" t="s">
        <v>739</v>
      </c>
      <c r="G1437" s="415">
        <v>2990</v>
      </c>
      <c r="H1437" s="370"/>
    </row>
    <row r="1438" spans="1:8" s="673" customFormat="1">
      <c r="A1438" s="309">
        <v>203</v>
      </c>
      <c r="B1438" s="277" t="s">
        <v>890</v>
      </c>
      <c r="C1438" s="706" t="s">
        <v>5119</v>
      </c>
      <c r="D1438" s="418" t="str">
        <f t="shared" si="21"/>
        <v>UBND Xã Bình Khánh</v>
      </c>
      <c r="E1438" s="505" t="s">
        <v>739</v>
      </c>
      <c r="F1438" s="505" t="s">
        <v>879</v>
      </c>
      <c r="G1438" s="415">
        <v>2298</v>
      </c>
      <c r="H1438" s="370"/>
    </row>
    <row r="1439" spans="1:8" s="673" customFormat="1">
      <c r="A1439" s="309">
        <v>204</v>
      </c>
      <c r="B1439" s="277" t="s">
        <v>888</v>
      </c>
      <c r="C1439" s="706" t="s">
        <v>5119</v>
      </c>
      <c r="D1439" s="418" t="str">
        <f t="shared" si="21"/>
        <v>UBND Xã Bình Khánh</v>
      </c>
      <c r="E1439" s="505" t="s">
        <v>127</v>
      </c>
      <c r="F1439" s="505" t="s">
        <v>127</v>
      </c>
      <c r="G1439" s="415">
        <v>2950</v>
      </c>
      <c r="H1439" s="370"/>
    </row>
    <row r="1440" spans="1:8" s="673" customFormat="1">
      <c r="A1440" s="309">
        <v>205</v>
      </c>
      <c r="B1440" s="277" t="s">
        <v>886</v>
      </c>
      <c r="C1440" s="706" t="s">
        <v>5119</v>
      </c>
      <c r="D1440" s="418" t="str">
        <f t="shared" si="21"/>
        <v>UBND Xã Bình Khánh</v>
      </c>
      <c r="E1440" s="505" t="s">
        <v>877</v>
      </c>
      <c r="F1440" s="505" t="s">
        <v>739</v>
      </c>
      <c r="G1440" s="415">
        <v>4275</v>
      </c>
      <c r="H1440" s="370"/>
    </row>
    <row r="1441" spans="1:8" s="673" customFormat="1">
      <c r="A1441" s="309">
        <v>206</v>
      </c>
      <c r="B1441" s="277" t="s">
        <v>887</v>
      </c>
      <c r="C1441" s="706" t="s">
        <v>5119</v>
      </c>
      <c r="D1441" s="418" t="str">
        <f t="shared" si="21"/>
        <v>UBND Xã Bình Khánh</v>
      </c>
      <c r="E1441" s="505" t="s">
        <v>886</v>
      </c>
      <c r="F1441" s="505" t="s">
        <v>407</v>
      </c>
      <c r="G1441" s="415">
        <v>1319</v>
      </c>
      <c r="H1441" s="370"/>
    </row>
    <row r="1442" spans="1:8" s="673" customFormat="1">
      <c r="A1442" s="309">
        <v>207</v>
      </c>
      <c r="B1442" s="277" t="s">
        <v>3131</v>
      </c>
      <c r="C1442" s="706" t="s">
        <v>5119</v>
      </c>
      <c r="D1442" s="418" t="str">
        <f t="shared" si="21"/>
        <v>UBND Xã Bình Khánh</v>
      </c>
      <c r="E1442" s="505" t="s">
        <v>127</v>
      </c>
      <c r="F1442" s="505" t="s">
        <v>407</v>
      </c>
      <c r="G1442" s="415">
        <v>1166</v>
      </c>
      <c r="H1442" s="370"/>
    </row>
    <row r="1443" spans="1:8" s="673" customFormat="1">
      <c r="A1443" s="309">
        <v>208</v>
      </c>
      <c r="B1443" s="277" t="s">
        <v>884</v>
      </c>
      <c r="C1443" s="706" t="s">
        <v>5119</v>
      </c>
      <c r="D1443" s="418" t="str">
        <f t="shared" si="21"/>
        <v>UBND Xã Bình Khánh</v>
      </c>
      <c r="E1443" s="505" t="s">
        <v>877</v>
      </c>
      <c r="F1443" s="505" t="s">
        <v>838</v>
      </c>
      <c r="G1443" s="415">
        <v>1832</v>
      </c>
      <c r="H1443" s="370"/>
    </row>
    <row r="1444" spans="1:8" s="673" customFormat="1">
      <c r="A1444" s="309">
        <v>209</v>
      </c>
      <c r="B1444" s="277" t="s">
        <v>883</v>
      </c>
      <c r="C1444" s="706" t="s">
        <v>5119</v>
      </c>
      <c r="D1444" s="418" t="str">
        <f t="shared" si="21"/>
        <v>UBND Xã Bình Khánh</v>
      </c>
      <c r="E1444" s="505" t="s">
        <v>739</v>
      </c>
      <c r="F1444" s="505" t="s">
        <v>407</v>
      </c>
      <c r="G1444" s="415">
        <v>1271</v>
      </c>
      <c r="H1444" s="370"/>
    </row>
    <row r="1445" spans="1:8" s="673" customFormat="1">
      <c r="A1445" s="309">
        <v>210</v>
      </c>
      <c r="B1445" s="277" t="s">
        <v>880</v>
      </c>
      <c r="C1445" s="706" t="s">
        <v>5119</v>
      </c>
      <c r="D1445" s="418" t="str">
        <f t="shared" si="21"/>
        <v>UBND Xã Bình Khánh</v>
      </c>
      <c r="E1445" s="505" t="s">
        <v>739</v>
      </c>
      <c r="F1445" s="505" t="s">
        <v>879</v>
      </c>
      <c r="G1445" s="415">
        <v>950</v>
      </c>
      <c r="H1445" s="370"/>
    </row>
    <row r="1446" spans="1:8" s="673" customFormat="1">
      <c r="A1446" s="309">
        <v>211</v>
      </c>
      <c r="B1446" s="277" t="s">
        <v>878</v>
      </c>
      <c r="C1446" s="706" t="s">
        <v>5119</v>
      </c>
      <c r="D1446" s="418" t="str">
        <f t="shared" si="21"/>
        <v>UBND Xã Bình Khánh</v>
      </c>
      <c r="E1446" s="505" t="s">
        <v>877</v>
      </c>
      <c r="F1446" s="505" t="s">
        <v>838</v>
      </c>
      <c r="G1446" s="415">
        <v>780</v>
      </c>
      <c r="H1446" s="370"/>
    </row>
    <row r="1447" spans="1:8" s="673" customFormat="1">
      <c r="A1447" s="309">
        <v>212</v>
      </c>
      <c r="B1447" s="277" t="s">
        <v>800</v>
      </c>
      <c r="C1447" s="706" t="s">
        <v>5119</v>
      </c>
      <c r="D1447" s="418" t="str">
        <f t="shared" si="21"/>
        <v>UBND Xã Bình Khánh</v>
      </c>
      <c r="E1447" s="505" t="s">
        <v>791</v>
      </c>
      <c r="F1447" s="505" t="s">
        <v>3150</v>
      </c>
      <c r="G1447" s="415">
        <v>4290</v>
      </c>
      <c r="H1447" s="370"/>
    </row>
    <row r="1448" spans="1:8" s="673" customFormat="1">
      <c r="A1448" s="309">
        <v>213</v>
      </c>
      <c r="B1448" s="277" t="s">
        <v>797</v>
      </c>
      <c r="C1448" s="706" t="s">
        <v>5119</v>
      </c>
      <c r="D1448" s="418" t="str">
        <f t="shared" si="21"/>
        <v>UBND Xã Bình Khánh</v>
      </c>
      <c r="E1448" s="505" t="s">
        <v>785</v>
      </c>
      <c r="F1448" s="505" t="s">
        <v>407</v>
      </c>
      <c r="G1448" s="415">
        <v>950</v>
      </c>
      <c r="H1448" s="370"/>
    </row>
    <row r="1449" spans="1:8" s="673" customFormat="1">
      <c r="A1449" s="309">
        <v>214</v>
      </c>
      <c r="B1449" s="277" t="s">
        <v>768</v>
      </c>
      <c r="C1449" s="706" t="s">
        <v>5119</v>
      </c>
      <c r="D1449" s="418" t="str">
        <f t="shared" si="21"/>
        <v>UBND Xã Bình Khánh</v>
      </c>
      <c r="E1449" s="505" t="s">
        <v>739</v>
      </c>
      <c r="F1449" s="505" t="s">
        <v>769</v>
      </c>
      <c r="G1449" s="415">
        <v>1490</v>
      </c>
      <c r="H1449" s="370"/>
    </row>
    <row r="1450" spans="1:8" s="673" customFormat="1">
      <c r="A1450" s="309">
        <v>215</v>
      </c>
      <c r="B1450" s="277" t="s">
        <v>792</v>
      </c>
      <c r="C1450" s="706" t="s">
        <v>5119</v>
      </c>
      <c r="D1450" s="418" t="str">
        <f t="shared" si="21"/>
        <v>UBND Xã Bình Khánh</v>
      </c>
      <c r="E1450" s="505" t="s">
        <v>772</v>
      </c>
      <c r="F1450" s="505" t="s">
        <v>791</v>
      </c>
      <c r="G1450" s="415">
        <v>3050</v>
      </c>
      <c r="H1450" s="370"/>
    </row>
    <row r="1451" spans="1:8" s="673" customFormat="1">
      <c r="A1451" s="309">
        <v>216</v>
      </c>
      <c r="B1451" s="277" t="s">
        <v>790</v>
      </c>
      <c r="C1451" s="706" t="s">
        <v>5119</v>
      </c>
      <c r="D1451" s="418" t="str">
        <f t="shared" si="21"/>
        <v>UBND Xã Bình Khánh</v>
      </c>
      <c r="E1451" s="505" t="s">
        <v>757</v>
      </c>
      <c r="F1451" s="505" t="s">
        <v>407</v>
      </c>
      <c r="G1451" s="415">
        <v>1428</v>
      </c>
      <c r="H1451" s="370"/>
    </row>
    <row r="1452" spans="1:8" s="673" customFormat="1">
      <c r="A1452" s="309">
        <v>217</v>
      </c>
      <c r="B1452" s="277" t="s">
        <v>770</v>
      </c>
      <c r="C1452" s="706" t="s">
        <v>5119</v>
      </c>
      <c r="D1452" s="418" t="str">
        <f t="shared" si="21"/>
        <v>UBND Xã Bình Khánh</v>
      </c>
      <c r="E1452" s="505" t="s">
        <v>772</v>
      </c>
      <c r="F1452" s="505" t="s">
        <v>771</v>
      </c>
      <c r="G1452" s="415">
        <v>2399</v>
      </c>
      <c r="H1452" s="370"/>
    </row>
    <row r="1453" spans="1:8" s="673" customFormat="1">
      <c r="A1453" s="309">
        <v>218</v>
      </c>
      <c r="B1453" s="277" t="s">
        <v>788</v>
      </c>
      <c r="C1453" s="706" t="s">
        <v>5119</v>
      </c>
      <c r="D1453" s="418" t="str">
        <f t="shared" si="21"/>
        <v>UBND Xã Bình Khánh</v>
      </c>
      <c r="E1453" s="505" t="s">
        <v>777</v>
      </c>
      <c r="F1453" s="505" t="s">
        <v>407</v>
      </c>
      <c r="G1453" s="415">
        <v>1930</v>
      </c>
      <c r="H1453" s="370"/>
    </row>
    <row r="1454" spans="1:8" s="673" customFormat="1">
      <c r="A1454" s="309">
        <v>219</v>
      </c>
      <c r="B1454" s="277" t="s">
        <v>787</v>
      </c>
      <c r="C1454" s="706" t="s">
        <v>5119</v>
      </c>
      <c r="D1454" s="418" t="str">
        <f t="shared" si="21"/>
        <v>UBND Xã Bình Khánh</v>
      </c>
      <c r="E1454" s="505" t="s">
        <v>785</v>
      </c>
      <c r="F1454" s="505" t="s">
        <v>407</v>
      </c>
      <c r="G1454" s="415">
        <v>890</v>
      </c>
      <c r="H1454" s="370"/>
    </row>
    <row r="1455" spans="1:8" s="673" customFormat="1">
      <c r="A1455" s="309">
        <v>220</v>
      </c>
      <c r="B1455" s="277" t="s">
        <v>786</v>
      </c>
      <c r="C1455" s="706" t="s">
        <v>5119</v>
      </c>
      <c r="D1455" s="418" t="str">
        <f t="shared" si="21"/>
        <v>UBND Xã Bình Khánh</v>
      </c>
      <c r="E1455" s="505" t="s">
        <v>739</v>
      </c>
      <c r="F1455" s="505" t="s">
        <v>785</v>
      </c>
      <c r="G1455" s="415">
        <v>1660</v>
      </c>
      <c r="H1455" s="370"/>
    </row>
    <row r="1456" spans="1:8" s="673" customFormat="1">
      <c r="A1456" s="309">
        <v>221</v>
      </c>
      <c r="B1456" s="277" t="s">
        <v>3151</v>
      </c>
      <c r="C1456" s="706" t="s">
        <v>5119</v>
      </c>
      <c r="D1456" s="418" t="str">
        <f t="shared" si="21"/>
        <v>UBND Xã Bình Khánh</v>
      </c>
      <c r="E1456" s="505" t="s">
        <v>739</v>
      </c>
      <c r="F1456" s="505" t="s">
        <v>783</v>
      </c>
      <c r="G1456" s="415">
        <v>3100</v>
      </c>
      <c r="H1456" s="370"/>
    </row>
    <row r="1457" spans="1:8" s="673" customFormat="1">
      <c r="A1457" s="309">
        <v>222</v>
      </c>
      <c r="B1457" s="277" t="s">
        <v>781</v>
      </c>
      <c r="C1457" s="706" t="s">
        <v>5119</v>
      </c>
      <c r="D1457" s="418" t="str">
        <f t="shared" si="21"/>
        <v>UBND Xã Bình Khánh</v>
      </c>
      <c r="E1457" s="505" t="s">
        <v>772</v>
      </c>
      <c r="F1457" s="505" t="s">
        <v>777</v>
      </c>
      <c r="G1457" s="415">
        <v>3150</v>
      </c>
      <c r="H1457" s="370"/>
    </row>
    <row r="1458" spans="1:8" s="673" customFormat="1">
      <c r="A1458" s="309">
        <v>223</v>
      </c>
      <c r="B1458" s="277" t="s">
        <v>780</v>
      </c>
      <c r="C1458" s="706" t="s">
        <v>5119</v>
      </c>
      <c r="D1458" s="418" t="str">
        <f t="shared" si="21"/>
        <v>UBND Xã Bình Khánh</v>
      </c>
      <c r="E1458" s="505" t="s">
        <v>770</v>
      </c>
      <c r="F1458" s="505" t="s">
        <v>407</v>
      </c>
      <c r="G1458" s="415">
        <v>2310</v>
      </c>
      <c r="H1458" s="370"/>
    </row>
    <row r="1459" spans="1:8" s="673" customFormat="1">
      <c r="A1459" s="309">
        <v>224</v>
      </c>
      <c r="B1459" s="277" t="s">
        <v>779</v>
      </c>
      <c r="C1459" s="706" t="s">
        <v>5119</v>
      </c>
      <c r="D1459" s="418" t="str">
        <f t="shared" si="21"/>
        <v>UBND Xã Bình Khánh</v>
      </c>
      <c r="E1459" s="505" t="s">
        <v>739</v>
      </c>
      <c r="F1459" s="505" t="s">
        <v>757</v>
      </c>
      <c r="G1459" s="415">
        <v>3932</v>
      </c>
      <c r="H1459" s="370"/>
    </row>
    <row r="1460" spans="1:8" s="673" customFormat="1">
      <c r="A1460" s="309">
        <v>225</v>
      </c>
      <c r="B1460" s="277" t="s">
        <v>3152</v>
      </c>
      <c r="C1460" s="706" t="s">
        <v>5119</v>
      </c>
      <c r="D1460" s="418" t="str">
        <f t="shared" si="21"/>
        <v>UBND Xã Bình Khánh</v>
      </c>
      <c r="E1460" s="505" t="s">
        <v>777</v>
      </c>
      <c r="F1460" s="505" t="s">
        <v>757</v>
      </c>
      <c r="G1460" s="415">
        <v>2532</v>
      </c>
      <c r="H1460" s="370"/>
    </row>
    <row r="1461" spans="1:8" s="673" customFormat="1">
      <c r="A1461" s="309">
        <v>226</v>
      </c>
      <c r="B1461" s="277" t="s">
        <v>775</v>
      </c>
      <c r="C1461" s="706" t="s">
        <v>5119</v>
      </c>
      <c r="D1461" s="418" t="str">
        <f t="shared" si="21"/>
        <v>UBND Xã Bình Khánh</v>
      </c>
      <c r="E1461" s="505" t="s">
        <v>739</v>
      </c>
      <c r="F1461" s="505" t="s">
        <v>772</v>
      </c>
      <c r="G1461" s="415">
        <v>3465</v>
      </c>
      <c r="H1461" s="370"/>
    </row>
    <row r="1462" spans="1:8" s="673" customFormat="1">
      <c r="A1462" s="309">
        <v>227</v>
      </c>
      <c r="B1462" s="277" t="s">
        <v>771</v>
      </c>
      <c r="C1462" s="706" t="s">
        <v>5119</v>
      </c>
      <c r="D1462" s="418" t="str">
        <f t="shared" si="21"/>
        <v>UBND Xã Bình Khánh</v>
      </c>
      <c r="E1462" s="505" t="s">
        <v>757</v>
      </c>
      <c r="F1462" s="505" t="s">
        <v>770</v>
      </c>
      <c r="G1462" s="415">
        <v>3015</v>
      </c>
      <c r="H1462" s="370"/>
    </row>
    <row r="1463" spans="1:8" s="673" customFormat="1">
      <c r="A1463" s="309">
        <v>228</v>
      </c>
      <c r="B1463" s="277" t="s">
        <v>769</v>
      </c>
      <c r="C1463" s="706" t="s">
        <v>5119</v>
      </c>
      <c r="D1463" s="418" t="str">
        <f t="shared" si="21"/>
        <v>UBND Xã Bình Khánh</v>
      </c>
      <c r="E1463" s="505" t="s">
        <v>739</v>
      </c>
      <c r="F1463" s="505" t="s">
        <v>5055</v>
      </c>
      <c r="G1463" s="415"/>
      <c r="H1463" s="370"/>
    </row>
    <row r="1464" spans="1:8" s="673" customFormat="1">
      <c r="A1464" s="309">
        <v>229</v>
      </c>
      <c r="B1464" s="277" t="s">
        <v>3162</v>
      </c>
      <c r="C1464" s="706" t="s">
        <v>5119</v>
      </c>
      <c r="D1464" s="418" t="str">
        <f t="shared" si="21"/>
        <v>UBND Xã Bình Khánh</v>
      </c>
      <c r="E1464" s="505" t="s">
        <v>739</v>
      </c>
      <c r="F1464" s="505" t="s">
        <v>854</v>
      </c>
      <c r="G1464" s="415">
        <v>2500</v>
      </c>
      <c r="H1464" s="370"/>
    </row>
    <row r="1465" spans="1:8" s="673" customFormat="1">
      <c r="A1465" s="309">
        <v>230</v>
      </c>
      <c r="B1465" s="282" t="s">
        <v>5059</v>
      </c>
      <c r="C1465" s="706" t="s">
        <v>5119</v>
      </c>
      <c r="D1465" s="418" t="str">
        <f t="shared" si="21"/>
        <v>UBND Xã Bình Khánh</v>
      </c>
      <c r="E1465" s="505" t="s">
        <v>739</v>
      </c>
      <c r="F1465" s="505" t="s">
        <v>772</v>
      </c>
      <c r="G1465" s="415">
        <v>6500</v>
      </c>
      <c r="H1465" s="370"/>
    </row>
    <row r="1466" spans="1:8" s="673" customFormat="1">
      <c r="A1466" s="309">
        <v>231</v>
      </c>
      <c r="B1466" s="282" t="s">
        <v>5060</v>
      </c>
      <c r="C1466" s="706" t="s">
        <v>5119</v>
      </c>
      <c r="D1466" s="418" t="str">
        <f t="shared" si="21"/>
        <v>UBND Xã Bình Khánh</v>
      </c>
      <c r="E1466" s="505" t="s">
        <v>739</v>
      </c>
      <c r="F1466" s="505" t="s">
        <v>5061</v>
      </c>
      <c r="G1466" s="415">
        <v>4000</v>
      </c>
      <c r="H1466" s="370"/>
    </row>
    <row r="1467" spans="1:8" s="673" customFormat="1" ht="33">
      <c r="A1467" s="309">
        <v>232</v>
      </c>
      <c r="B1467" s="282" t="s">
        <v>5063</v>
      </c>
      <c r="C1467" s="706" t="s">
        <v>5119</v>
      </c>
      <c r="D1467" s="418" t="str">
        <f t="shared" si="21"/>
        <v>UBND Xã Bình Khánh</v>
      </c>
      <c r="E1467" s="505" t="s">
        <v>739</v>
      </c>
      <c r="F1467" s="505" t="s">
        <v>691</v>
      </c>
      <c r="G1467" s="415">
        <v>8700</v>
      </c>
      <c r="H1467" s="370"/>
    </row>
    <row r="1468" spans="1:8" s="673" customFormat="1">
      <c r="A1468" s="309">
        <v>233</v>
      </c>
      <c r="B1468" s="282" t="s">
        <v>5064</v>
      </c>
      <c r="C1468" s="706" t="s">
        <v>5119</v>
      </c>
      <c r="D1468" s="418" t="str">
        <f t="shared" si="21"/>
        <v>UBND Xã Bình Khánh</v>
      </c>
      <c r="E1468" s="505" t="s">
        <v>5059</v>
      </c>
      <c r="F1468" s="505" t="s">
        <v>785</v>
      </c>
      <c r="G1468" s="415">
        <v>3000</v>
      </c>
      <c r="H1468" s="370"/>
    </row>
    <row r="1469" spans="1:8" s="673" customFormat="1" ht="33">
      <c r="A1469" s="309">
        <v>234</v>
      </c>
      <c r="B1469" s="282" t="s">
        <v>5065</v>
      </c>
      <c r="C1469" s="706" t="s">
        <v>5119</v>
      </c>
      <c r="D1469" s="418" t="str">
        <f t="shared" si="21"/>
        <v>UBND Xã Bình Khánh</v>
      </c>
      <c r="E1469" s="505" t="s">
        <v>772</v>
      </c>
      <c r="F1469" s="505" t="s">
        <v>739</v>
      </c>
      <c r="G1469" s="415">
        <v>6000</v>
      </c>
      <c r="H1469" s="370"/>
    </row>
    <row r="1470" spans="1:8" s="673" customFormat="1">
      <c r="A1470" s="309">
        <v>235</v>
      </c>
      <c r="B1470" s="277" t="s">
        <v>4991</v>
      </c>
      <c r="C1470" s="706" t="s">
        <v>5114</v>
      </c>
      <c r="D1470" s="418" t="str">
        <f t="shared" si="21"/>
        <v>UBND Xã Bình Lợi</v>
      </c>
      <c r="E1470" s="505" t="s">
        <v>2645</v>
      </c>
      <c r="F1470" s="505" t="s">
        <v>407</v>
      </c>
      <c r="G1470" s="415">
        <v>575</v>
      </c>
      <c r="H1470" s="370" t="s">
        <v>188</v>
      </c>
    </row>
    <row r="1471" spans="1:8" s="673" customFormat="1">
      <c r="A1471" s="309">
        <v>236</v>
      </c>
      <c r="B1471" s="277" t="s">
        <v>4992</v>
      </c>
      <c r="C1471" s="706" t="s">
        <v>5114</v>
      </c>
      <c r="D1471" s="418" t="str">
        <f t="shared" ref="D1471:D1534" si="22">"UBND "&amp;C1471</f>
        <v>UBND Xã Bình Lợi</v>
      </c>
      <c r="E1471" s="505" t="s">
        <v>2645</v>
      </c>
      <c r="F1471" s="505" t="s">
        <v>407</v>
      </c>
      <c r="G1471" s="415">
        <v>710</v>
      </c>
      <c r="H1471" s="370" t="s">
        <v>188</v>
      </c>
    </row>
    <row r="1472" spans="1:8" s="673" customFormat="1">
      <c r="A1472" s="309">
        <v>237</v>
      </c>
      <c r="B1472" s="277" t="s">
        <v>4993</v>
      </c>
      <c r="C1472" s="706" t="s">
        <v>5114</v>
      </c>
      <c r="D1472" s="418" t="str">
        <f t="shared" si="22"/>
        <v>UBND Xã Bình Lợi</v>
      </c>
      <c r="E1472" s="505" t="s">
        <v>2645</v>
      </c>
      <c r="F1472" s="505" t="s">
        <v>407</v>
      </c>
      <c r="G1472" s="415">
        <v>603</v>
      </c>
      <c r="H1472" s="370" t="s">
        <v>188</v>
      </c>
    </row>
    <row r="1473" spans="1:8" s="673" customFormat="1">
      <c r="A1473" s="309">
        <v>238</v>
      </c>
      <c r="B1473" s="277" t="s">
        <v>4994</v>
      </c>
      <c r="C1473" s="706" t="s">
        <v>5114</v>
      </c>
      <c r="D1473" s="418" t="str">
        <f t="shared" si="22"/>
        <v>UBND Xã Bình Lợi</v>
      </c>
      <c r="E1473" s="505" t="s">
        <v>2645</v>
      </c>
      <c r="F1473" s="505" t="s">
        <v>407</v>
      </c>
      <c r="G1473" s="415">
        <v>1072</v>
      </c>
      <c r="H1473" s="370" t="s">
        <v>188</v>
      </c>
    </row>
    <row r="1474" spans="1:8" s="673" customFormat="1">
      <c r="A1474" s="309">
        <v>239</v>
      </c>
      <c r="B1474" s="277" t="s">
        <v>4995</v>
      </c>
      <c r="C1474" s="706" t="s">
        <v>5114</v>
      </c>
      <c r="D1474" s="418" t="str">
        <f t="shared" si="22"/>
        <v>UBND Xã Bình Lợi</v>
      </c>
      <c r="E1474" s="505" t="s">
        <v>2645</v>
      </c>
      <c r="F1474" s="505" t="s">
        <v>1464</v>
      </c>
      <c r="G1474" s="415">
        <v>1572</v>
      </c>
      <c r="H1474" s="370" t="s">
        <v>188</v>
      </c>
    </row>
    <row r="1475" spans="1:8" s="673" customFormat="1">
      <c r="A1475" s="309">
        <v>240</v>
      </c>
      <c r="B1475" s="277" t="s">
        <v>4996</v>
      </c>
      <c r="C1475" s="706" t="s">
        <v>5114</v>
      </c>
      <c r="D1475" s="418" t="str">
        <f t="shared" si="22"/>
        <v>UBND Xã Bình Lợi</v>
      </c>
      <c r="E1475" s="505" t="s">
        <v>2645</v>
      </c>
      <c r="F1475" s="505" t="s">
        <v>4997</v>
      </c>
      <c r="G1475" s="415">
        <v>1729</v>
      </c>
      <c r="H1475" s="370" t="s">
        <v>188</v>
      </c>
    </row>
    <row r="1476" spans="1:8" s="673" customFormat="1">
      <c r="A1476" s="309">
        <v>241</v>
      </c>
      <c r="B1476" s="277" t="s">
        <v>4998</v>
      </c>
      <c r="C1476" s="706" t="s">
        <v>5114</v>
      </c>
      <c r="D1476" s="418" t="str">
        <f t="shared" si="22"/>
        <v>UBND Xã Bình Lợi</v>
      </c>
      <c r="E1476" s="505" t="s">
        <v>2645</v>
      </c>
      <c r="F1476" s="505" t="s">
        <v>4997</v>
      </c>
      <c r="G1476" s="415">
        <v>1039</v>
      </c>
      <c r="H1476" s="370" t="s">
        <v>188</v>
      </c>
    </row>
    <row r="1477" spans="1:8" s="673" customFormat="1">
      <c r="A1477" s="309">
        <v>242</v>
      </c>
      <c r="B1477" s="277" t="s">
        <v>4999</v>
      </c>
      <c r="C1477" s="706" t="s">
        <v>5114</v>
      </c>
      <c r="D1477" s="418" t="str">
        <f t="shared" si="22"/>
        <v>UBND Xã Bình Lợi</v>
      </c>
      <c r="E1477" s="505" t="s">
        <v>2645</v>
      </c>
      <c r="F1477" s="505" t="s">
        <v>1464</v>
      </c>
      <c r="G1477" s="415">
        <v>1157</v>
      </c>
      <c r="H1477" s="370" t="s">
        <v>188</v>
      </c>
    </row>
    <row r="1478" spans="1:8" s="673" customFormat="1">
      <c r="A1478" s="309">
        <v>243</v>
      </c>
      <c r="B1478" s="277" t="s">
        <v>5000</v>
      </c>
      <c r="C1478" s="706" t="s">
        <v>5114</v>
      </c>
      <c r="D1478" s="418" t="str">
        <f t="shared" si="22"/>
        <v>UBND Xã Bình Lợi</v>
      </c>
      <c r="E1478" s="505" t="s">
        <v>2645</v>
      </c>
      <c r="F1478" s="505" t="s">
        <v>1464</v>
      </c>
      <c r="G1478" s="415">
        <v>1339</v>
      </c>
      <c r="H1478" s="370" t="s">
        <v>188</v>
      </c>
    </row>
    <row r="1479" spans="1:8" s="673" customFormat="1">
      <c r="A1479" s="309">
        <v>244</v>
      </c>
      <c r="B1479" s="277" t="s">
        <v>5001</v>
      </c>
      <c r="C1479" s="706" t="s">
        <v>5114</v>
      </c>
      <c r="D1479" s="418" t="str">
        <f t="shared" si="22"/>
        <v>UBND Xã Bình Lợi</v>
      </c>
      <c r="E1479" s="505" t="s">
        <v>2645</v>
      </c>
      <c r="F1479" s="505" t="s">
        <v>1272</v>
      </c>
      <c r="G1479" s="415">
        <v>1080</v>
      </c>
      <c r="H1479" s="370" t="s">
        <v>188</v>
      </c>
    </row>
    <row r="1480" spans="1:8" s="673" customFormat="1">
      <c r="A1480" s="309">
        <v>245</v>
      </c>
      <c r="B1480" s="277" t="s">
        <v>5002</v>
      </c>
      <c r="C1480" s="706" t="s">
        <v>5114</v>
      </c>
      <c r="D1480" s="418" t="str">
        <f t="shared" si="22"/>
        <v>UBND Xã Bình Lợi</v>
      </c>
      <c r="E1480" s="505" t="s">
        <v>2645</v>
      </c>
      <c r="F1480" s="505" t="s">
        <v>407</v>
      </c>
      <c r="G1480" s="415">
        <v>737</v>
      </c>
      <c r="H1480" s="370" t="s">
        <v>188</v>
      </c>
    </row>
    <row r="1481" spans="1:8" s="673" customFormat="1">
      <c r="A1481" s="309">
        <v>246</v>
      </c>
      <c r="B1481" s="277" t="s">
        <v>5003</v>
      </c>
      <c r="C1481" s="706" t="s">
        <v>5114</v>
      </c>
      <c r="D1481" s="418" t="str">
        <f t="shared" si="22"/>
        <v>UBND Xã Bình Lợi</v>
      </c>
      <c r="E1481" s="505" t="s">
        <v>2645</v>
      </c>
      <c r="F1481" s="505" t="s">
        <v>1464</v>
      </c>
      <c r="G1481" s="415">
        <v>1808</v>
      </c>
      <c r="H1481" s="370" t="s">
        <v>188</v>
      </c>
    </row>
    <row r="1482" spans="1:8" s="673" customFormat="1">
      <c r="A1482" s="309">
        <v>247</v>
      </c>
      <c r="B1482" s="277" t="s">
        <v>5004</v>
      </c>
      <c r="C1482" s="706" t="s">
        <v>5114</v>
      </c>
      <c r="D1482" s="418" t="str">
        <f t="shared" si="22"/>
        <v>UBND Xã Bình Lợi</v>
      </c>
      <c r="E1482" s="505" t="s">
        <v>2645</v>
      </c>
      <c r="F1482" s="505" t="s">
        <v>1464</v>
      </c>
      <c r="G1482" s="415">
        <v>1855</v>
      </c>
      <c r="H1482" s="370" t="s">
        <v>188</v>
      </c>
    </row>
    <row r="1483" spans="1:8" s="673" customFormat="1">
      <c r="A1483" s="309">
        <v>248</v>
      </c>
      <c r="B1483" s="277" t="s">
        <v>5005</v>
      </c>
      <c r="C1483" s="706" t="s">
        <v>5114</v>
      </c>
      <c r="D1483" s="418" t="str">
        <f t="shared" si="22"/>
        <v>UBND Xã Bình Lợi</v>
      </c>
      <c r="E1483" s="505" t="s">
        <v>2645</v>
      </c>
      <c r="F1483" s="505" t="s">
        <v>1464</v>
      </c>
      <c r="G1483" s="415">
        <v>581</v>
      </c>
      <c r="H1483" s="370" t="s">
        <v>188</v>
      </c>
    </row>
    <row r="1484" spans="1:8" s="673" customFormat="1">
      <c r="A1484" s="309">
        <v>249</v>
      </c>
      <c r="B1484" s="277" t="s">
        <v>5006</v>
      </c>
      <c r="C1484" s="706" t="s">
        <v>5114</v>
      </c>
      <c r="D1484" s="418" t="str">
        <f t="shared" si="22"/>
        <v>UBND Xã Bình Lợi</v>
      </c>
      <c r="E1484" s="505" t="s">
        <v>2645</v>
      </c>
      <c r="F1484" s="505" t="s">
        <v>1464</v>
      </c>
      <c r="G1484" s="415">
        <v>588</v>
      </c>
      <c r="H1484" s="370" t="s">
        <v>188</v>
      </c>
    </row>
    <row r="1485" spans="1:8" s="673" customFormat="1">
      <c r="A1485" s="309">
        <v>250</v>
      </c>
      <c r="B1485" s="277" t="s">
        <v>5007</v>
      </c>
      <c r="C1485" s="706" t="s">
        <v>5114</v>
      </c>
      <c r="D1485" s="418" t="str">
        <f t="shared" si="22"/>
        <v>UBND Xã Bình Lợi</v>
      </c>
      <c r="E1485" s="505" t="s">
        <v>2645</v>
      </c>
      <c r="F1485" s="505" t="s">
        <v>1464</v>
      </c>
      <c r="G1485" s="415">
        <v>575</v>
      </c>
      <c r="H1485" s="370" t="s">
        <v>188</v>
      </c>
    </row>
    <row r="1486" spans="1:8" s="673" customFormat="1">
      <c r="A1486" s="309">
        <v>251</v>
      </c>
      <c r="B1486" s="277" t="s">
        <v>5008</v>
      </c>
      <c r="C1486" s="706" t="s">
        <v>5114</v>
      </c>
      <c r="D1486" s="418" t="str">
        <f t="shared" si="22"/>
        <v>UBND Xã Bình Lợi</v>
      </c>
      <c r="E1486" s="505" t="s">
        <v>2645</v>
      </c>
      <c r="F1486" s="505" t="s">
        <v>5009</v>
      </c>
      <c r="G1486" s="415">
        <v>676</v>
      </c>
      <c r="H1486" s="370" t="s">
        <v>188</v>
      </c>
    </row>
    <row r="1487" spans="1:8" s="673" customFormat="1">
      <c r="A1487" s="309">
        <v>252</v>
      </c>
      <c r="B1487" s="277" t="s">
        <v>5010</v>
      </c>
      <c r="C1487" s="706" t="s">
        <v>5114</v>
      </c>
      <c r="D1487" s="418" t="str">
        <f t="shared" si="22"/>
        <v>UBND Xã Bình Lợi</v>
      </c>
      <c r="E1487" s="505" t="s">
        <v>2645</v>
      </c>
      <c r="F1487" s="505" t="s">
        <v>407</v>
      </c>
      <c r="G1487" s="415">
        <v>938</v>
      </c>
      <c r="H1487" s="370" t="s">
        <v>188</v>
      </c>
    </row>
    <row r="1488" spans="1:8" s="673" customFormat="1">
      <c r="A1488" s="309">
        <v>253</v>
      </c>
      <c r="B1488" s="277" t="s">
        <v>5011</v>
      </c>
      <c r="C1488" s="706" t="s">
        <v>5114</v>
      </c>
      <c r="D1488" s="418" t="str">
        <f t="shared" si="22"/>
        <v>UBND Xã Bình Lợi</v>
      </c>
      <c r="E1488" s="505" t="s">
        <v>2645</v>
      </c>
      <c r="F1488" s="505" t="s">
        <v>5012</v>
      </c>
      <c r="G1488" s="415">
        <v>1222</v>
      </c>
      <c r="H1488" s="370" t="s">
        <v>188</v>
      </c>
    </row>
    <row r="1489" spans="1:8" s="673" customFormat="1">
      <c r="A1489" s="309">
        <v>254</v>
      </c>
      <c r="B1489" s="277" t="s">
        <v>5013</v>
      </c>
      <c r="C1489" s="706" t="s">
        <v>5114</v>
      </c>
      <c r="D1489" s="418" t="str">
        <f t="shared" si="22"/>
        <v>UBND Xã Bình Lợi</v>
      </c>
      <c r="E1489" s="505" t="s">
        <v>2645</v>
      </c>
      <c r="F1489" s="505" t="s">
        <v>5014</v>
      </c>
      <c r="G1489" s="415">
        <v>1210</v>
      </c>
      <c r="H1489" s="370" t="s">
        <v>188</v>
      </c>
    </row>
    <row r="1490" spans="1:8" s="673" customFormat="1">
      <c r="A1490" s="309">
        <v>255</v>
      </c>
      <c r="B1490" s="277" t="s">
        <v>5015</v>
      </c>
      <c r="C1490" s="706" t="s">
        <v>5114</v>
      </c>
      <c r="D1490" s="418" t="str">
        <f t="shared" si="22"/>
        <v>UBND Xã Bình Lợi</v>
      </c>
      <c r="E1490" s="505" t="s">
        <v>2645</v>
      </c>
      <c r="F1490" s="505" t="s">
        <v>1464</v>
      </c>
      <c r="G1490" s="415">
        <v>5670</v>
      </c>
      <c r="H1490" s="370" t="s">
        <v>149</v>
      </c>
    </row>
    <row r="1491" spans="1:8" s="673" customFormat="1">
      <c r="A1491" s="309">
        <v>256</v>
      </c>
      <c r="B1491" s="277" t="s">
        <v>5016</v>
      </c>
      <c r="C1491" s="706" t="s">
        <v>5114</v>
      </c>
      <c r="D1491" s="418" t="str">
        <f t="shared" si="22"/>
        <v>UBND Xã Bình Lợi</v>
      </c>
      <c r="E1491" s="505" t="s">
        <v>2645</v>
      </c>
      <c r="F1491" s="505" t="s">
        <v>1464</v>
      </c>
      <c r="G1491" s="415">
        <v>2629</v>
      </c>
      <c r="H1491" s="370" t="s">
        <v>149</v>
      </c>
    </row>
    <row r="1492" spans="1:8" s="673" customFormat="1">
      <c r="A1492" s="309">
        <v>257</v>
      </c>
      <c r="B1492" s="277" t="s">
        <v>5017</v>
      </c>
      <c r="C1492" s="706" t="s">
        <v>5114</v>
      </c>
      <c r="D1492" s="418" t="str">
        <f t="shared" si="22"/>
        <v>UBND Xã Bình Lợi</v>
      </c>
      <c r="E1492" s="505" t="s">
        <v>2645</v>
      </c>
      <c r="F1492" s="505" t="s">
        <v>1464</v>
      </c>
      <c r="G1492" s="415">
        <v>1454</v>
      </c>
      <c r="H1492" s="370" t="s">
        <v>149</v>
      </c>
    </row>
    <row r="1493" spans="1:8" s="673" customFormat="1">
      <c r="A1493" s="309">
        <v>258</v>
      </c>
      <c r="B1493" s="277" t="s">
        <v>5018</v>
      </c>
      <c r="C1493" s="706" t="s">
        <v>5114</v>
      </c>
      <c r="D1493" s="418" t="str">
        <f t="shared" si="22"/>
        <v>UBND Xã Bình Lợi</v>
      </c>
      <c r="E1493" s="505" t="s">
        <v>2645</v>
      </c>
      <c r="F1493" s="505" t="s">
        <v>1464</v>
      </c>
      <c r="G1493" s="415">
        <v>1648</v>
      </c>
      <c r="H1493" s="370" t="s">
        <v>149</v>
      </c>
    </row>
    <row r="1494" spans="1:8" s="673" customFormat="1">
      <c r="A1494" s="309">
        <v>259</v>
      </c>
      <c r="B1494" s="277" t="s">
        <v>5019</v>
      </c>
      <c r="C1494" s="706" t="s">
        <v>5114</v>
      </c>
      <c r="D1494" s="418" t="str">
        <f t="shared" si="22"/>
        <v>UBND Xã Bình Lợi</v>
      </c>
      <c r="E1494" s="505" t="s">
        <v>2645</v>
      </c>
      <c r="F1494" s="505" t="s">
        <v>1464</v>
      </c>
      <c r="G1494" s="415">
        <v>1455</v>
      </c>
      <c r="H1494" s="370" t="s">
        <v>149</v>
      </c>
    </row>
    <row r="1495" spans="1:8" s="673" customFormat="1">
      <c r="A1495" s="309">
        <v>260</v>
      </c>
      <c r="B1495" s="277" t="s">
        <v>5020</v>
      </c>
      <c r="C1495" s="706" t="s">
        <v>5114</v>
      </c>
      <c r="D1495" s="418" t="str">
        <f t="shared" si="22"/>
        <v>UBND Xã Bình Lợi</v>
      </c>
      <c r="E1495" s="505" t="s">
        <v>2645</v>
      </c>
      <c r="F1495" s="505" t="s">
        <v>1464</v>
      </c>
      <c r="G1495" s="415">
        <v>1982</v>
      </c>
      <c r="H1495" s="370" t="s">
        <v>149</v>
      </c>
    </row>
    <row r="1496" spans="1:8" s="673" customFormat="1">
      <c r="A1496" s="309">
        <v>261</v>
      </c>
      <c r="B1496" s="277" t="s">
        <v>2668</v>
      </c>
      <c r="C1496" s="706" t="s">
        <v>5114</v>
      </c>
      <c r="D1496" s="418" t="str">
        <f t="shared" si="22"/>
        <v>UBND Xã Bình Lợi</v>
      </c>
      <c r="E1496" s="505" t="s">
        <v>2669</v>
      </c>
      <c r="F1496" s="505" t="s">
        <v>25</v>
      </c>
      <c r="G1496" s="415">
        <v>1498</v>
      </c>
      <c r="H1496" s="370"/>
    </row>
    <row r="1497" spans="1:8" s="673" customFormat="1">
      <c r="A1497" s="309">
        <v>262</v>
      </c>
      <c r="B1497" s="277" t="s">
        <v>2670</v>
      </c>
      <c r="C1497" s="706" t="s">
        <v>5114</v>
      </c>
      <c r="D1497" s="418" t="str">
        <f t="shared" si="22"/>
        <v>UBND Xã Bình Lợi</v>
      </c>
      <c r="E1497" s="505" t="s">
        <v>2669</v>
      </c>
      <c r="F1497" s="505" t="s">
        <v>25</v>
      </c>
      <c r="G1497" s="415">
        <v>3020</v>
      </c>
      <c r="H1497" s="370"/>
    </row>
    <row r="1498" spans="1:8" s="673" customFormat="1">
      <c r="A1498" s="309">
        <v>263</v>
      </c>
      <c r="B1498" s="277" t="s">
        <v>2671</v>
      </c>
      <c r="C1498" s="706" t="s">
        <v>5114</v>
      </c>
      <c r="D1498" s="418" t="str">
        <f t="shared" si="22"/>
        <v>UBND Xã Bình Lợi</v>
      </c>
      <c r="E1498" s="505" t="s">
        <v>2669</v>
      </c>
      <c r="F1498" s="505" t="s">
        <v>25</v>
      </c>
      <c r="G1498" s="415">
        <v>1475</v>
      </c>
      <c r="H1498" s="370"/>
    </row>
    <row r="1499" spans="1:8" s="673" customFormat="1">
      <c r="A1499" s="309">
        <v>264</v>
      </c>
      <c r="B1499" s="277" t="s">
        <v>1047</v>
      </c>
      <c r="C1499" s="706" t="s">
        <v>5114</v>
      </c>
      <c r="D1499" s="418" t="str">
        <f t="shared" si="22"/>
        <v>UBND Xã Bình Lợi</v>
      </c>
      <c r="E1499" s="505" t="s">
        <v>2669</v>
      </c>
      <c r="F1499" s="505" t="s">
        <v>25</v>
      </c>
      <c r="G1499" s="415">
        <v>1477</v>
      </c>
      <c r="H1499" s="370"/>
    </row>
    <row r="1500" spans="1:8" s="673" customFormat="1">
      <c r="A1500" s="309">
        <v>265</v>
      </c>
      <c r="B1500" s="277" t="s">
        <v>2672</v>
      </c>
      <c r="C1500" s="706" t="s">
        <v>5114</v>
      </c>
      <c r="D1500" s="418" t="str">
        <f t="shared" si="22"/>
        <v>UBND Xã Bình Lợi</v>
      </c>
      <c r="E1500" s="505" t="s">
        <v>2669</v>
      </c>
      <c r="F1500" s="505" t="s">
        <v>25</v>
      </c>
      <c r="G1500" s="415">
        <v>1480</v>
      </c>
      <c r="H1500" s="370"/>
    </row>
    <row r="1501" spans="1:8" s="673" customFormat="1">
      <c r="A1501" s="309">
        <v>266</v>
      </c>
      <c r="B1501" s="277" t="s">
        <v>2673</v>
      </c>
      <c r="C1501" s="706" t="s">
        <v>5114</v>
      </c>
      <c r="D1501" s="418" t="str">
        <f t="shared" si="22"/>
        <v>UBND Xã Bình Lợi</v>
      </c>
      <c r="E1501" s="505" t="s">
        <v>2669</v>
      </c>
      <c r="F1501" s="505" t="s">
        <v>25</v>
      </c>
      <c r="G1501" s="415">
        <v>1472</v>
      </c>
      <c r="H1501" s="370"/>
    </row>
    <row r="1502" spans="1:8" s="673" customFormat="1">
      <c r="A1502" s="309">
        <v>267</v>
      </c>
      <c r="B1502" s="277" t="s">
        <v>23</v>
      </c>
      <c r="C1502" s="706" t="s">
        <v>5114</v>
      </c>
      <c r="D1502" s="418" t="str">
        <f t="shared" si="22"/>
        <v>UBND Xã Bình Lợi</v>
      </c>
      <c r="E1502" s="505" t="s">
        <v>2669</v>
      </c>
      <c r="F1502" s="505" t="s">
        <v>25</v>
      </c>
      <c r="G1502" s="415">
        <v>1477</v>
      </c>
      <c r="H1502" s="370"/>
    </row>
    <row r="1503" spans="1:8" s="673" customFormat="1">
      <c r="A1503" s="309">
        <v>268</v>
      </c>
      <c r="B1503" s="277" t="s">
        <v>2674</v>
      </c>
      <c r="C1503" s="706" t="s">
        <v>5114</v>
      </c>
      <c r="D1503" s="418" t="str">
        <f t="shared" si="22"/>
        <v>UBND Xã Bình Lợi</v>
      </c>
      <c r="E1503" s="505" t="s">
        <v>2669</v>
      </c>
      <c r="F1503" s="505" t="s">
        <v>25</v>
      </c>
      <c r="G1503" s="415">
        <v>1450</v>
      </c>
      <c r="H1503" s="370"/>
    </row>
    <row r="1504" spans="1:8" s="673" customFormat="1">
      <c r="A1504" s="309">
        <v>269</v>
      </c>
      <c r="B1504" s="277" t="s">
        <v>2675</v>
      </c>
      <c r="C1504" s="706" t="s">
        <v>5114</v>
      </c>
      <c r="D1504" s="418" t="str">
        <f t="shared" si="22"/>
        <v>UBND Xã Bình Lợi</v>
      </c>
      <c r="E1504" s="505" t="s">
        <v>2669</v>
      </c>
      <c r="F1504" s="505" t="s">
        <v>25</v>
      </c>
      <c r="G1504" s="415">
        <v>1483</v>
      </c>
      <c r="H1504" s="370"/>
    </row>
    <row r="1505" spans="1:8" s="673" customFormat="1">
      <c r="A1505" s="309">
        <v>270</v>
      </c>
      <c r="B1505" s="277" t="s">
        <v>2676</v>
      </c>
      <c r="C1505" s="706" t="s">
        <v>5114</v>
      </c>
      <c r="D1505" s="418" t="str">
        <f t="shared" si="22"/>
        <v>UBND Xã Bình Lợi</v>
      </c>
      <c r="E1505" s="505" t="s">
        <v>2669</v>
      </c>
      <c r="F1505" s="505" t="s">
        <v>25</v>
      </c>
      <c r="G1505" s="415">
        <v>1207</v>
      </c>
      <c r="H1505" s="370"/>
    </row>
    <row r="1506" spans="1:8" s="673" customFormat="1">
      <c r="A1506" s="309">
        <v>271</v>
      </c>
      <c r="B1506" s="277" t="s">
        <v>2677</v>
      </c>
      <c r="C1506" s="706" t="s">
        <v>5114</v>
      </c>
      <c r="D1506" s="418" t="str">
        <f t="shared" si="22"/>
        <v>UBND Xã Bình Lợi</v>
      </c>
      <c r="E1506" s="505" t="s">
        <v>2669</v>
      </c>
      <c r="F1506" s="505" t="s">
        <v>25</v>
      </c>
      <c r="G1506" s="415">
        <v>1859</v>
      </c>
      <c r="H1506" s="370"/>
    </row>
    <row r="1507" spans="1:8" s="673" customFormat="1">
      <c r="A1507" s="309">
        <v>272</v>
      </c>
      <c r="B1507" s="277" t="s">
        <v>2678</v>
      </c>
      <c r="C1507" s="706" t="s">
        <v>5114</v>
      </c>
      <c r="D1507" s="418" t="str">
        <f t="shared" si="22"/>
        <v>UBND Xã Bình Lợi</v>
      </c>
      <c r="E1507" s="505" t="s">
        <v>2669</v>
      </c>
      <c r="F1507" s="505" t="s">
        <v>407</v>
      </c>
      <c r="G1507" s="415">
        <v>402</v>
      </c>
      <c r="H1507" s="370"/>
    </row>
    <row r="1508" spans="1:8" s="673" customFormat="1">
      <c r="A1508" s="309">
        <v>273</v>
      </c>
      <c r="B1508" s="277" t="s">
        <v>2679</v>
      </c>
      <c r="C1508" s="706" t="s">
        <v>5114</v>
      </c>
      <c r="D1508" s="418" t="str">
        <f t="shared" si="22"/>
        <v>UBND Xã Bình Lợi</v>
      </c>
      <c r="E1508" s="505" t="s">
        <v>2669</v>
      </c>
      <c r="F1508" s="505" t="s">
        <v>25</v>
      </c>
      <c r="G1508" s="415">
        <v>1051</v>
      </c>
      <c r="H1508" s="370"/>
    </row>
    <row r="1509" spans="1:8" s="673" customFormat="1">
      <c r="A1509" s="309">
        <v>274</v>
      </c>
      <c r="B1509" s="277" t="s">
        <v>2680</v>
      </c>
      <c r="C1509" s="706" t="s">
        <v>5114</v>
      </c>
      <c r="D1509" s="418" t="str">
        <f t="shared" si="22"/>
        <v>UBND Xã Bình Lợi</v>
      </c>
      <c r="E1509" s="505" t="s">
        <v>2669</v>
      </c>
      <c r="F1509" s="505" t="s">
        <v>1465</v>
      </c>
      <c r="G1509" s="415">
        <v>995</v>
      </c>
      <c r="H1509" s="370"/>
    </row>
    <row r="1510" spans="1:8" s="673" customFormat="1">
      <c r="A1510" s="309">
        <v>275</v>
      </c>
      <c r="B1510" s="277" t="s">
        <v>2681</v>
      </c>
      <c r="C1510" s="706" t="s">
        <v>5114</v>
      </c>
      <c r="D1510" s="418" t="str">
        <f t="shared" si="22"/>
        <v>UBND Xã Bình Lợi</v>
      </c>
      <c r="E1510" s="505" t="s">
        <v>2669</v>
      </c>
      <c r="F1510" s="505" t="s">
        <v>2652</v>
      </c>
      <c r="G1510" s="415">
        <v>1292</v>
      </c>
      <c r="H1510" s="370"/>
    </row>
    <row r="1511" spans="1:8" s="673" customFormat="1">
      <c r="A1511" s="309">
        <v>276</v>
      </c>
      <c r="B1511" s="277" t="s">
        <v>5021</v>
      </c>
      <c r="C1511" s="706" t="s">
        <v>5114</v>
      </c>
      <c r="D1511" s="418" t="str">
        <f t="shared" si="22"/>
        <v>UBND Xã Bình Lợi</v>
      </c>
      <c r="E1511" s="505" t="s">
        <v>2669</v>
      </c>
      <c r="F1511" s="505" t="s">
        <v>407</v>
      </c>
      <c r="G1511" s="415">
        <v>800</v>
      </c>
      <c r="H1511" s="370" t="s">
        <v>207</v>
      </c>
    </row>
    <row r="1512" spans="1:8" s="673" customFormat="1">
      <c r="A1512" s="309">
        <v>277</v>
      </c>
      <c r="B1512" s="277" t="s">
        <v>5022</v>
      </c>
      <c r="C1512" s="706" t="s">
        <v>5114</v>
      </c>
      <c r="D1512" s="418" t="str">
        <f t="shared" si="22"/>
        <v>UBND Xã Bình Lợi</v>
      </c>
      <c r="E1512" s="505" t="s">
        <v>2669</v>
      </c>
      <c r="F1512" s="505" t="s">
        <v>2652</v>
      </c>
      <c r="G1512" s="415">
        <v>1000</v>
      </c>
      <c r="H1512" s="370" t="s">
        <v>164</v>
      </c>
    </row>
    <row r="1513" spans="1:8" s="673" customFormat="1">
      <c r="A1513" s="309">
        <v>278</v>
      </c>
      <c r="B1513" s="277" t="s">
        <v>5023</v>
      </c>
      <c r="C1513" s="706" t="s">
        <v>5114</v>
      </c>
      <c r="D1513" s="418" t="str">
        <f t="shared" si="22"/>
        <v>UBND Xã Bình Lợi</v>
      </c>
      <c r="E1513" s="505" t="s">
        <v>2669</v>
      </c>
      <c r="F1513" s="505" t="s">
        <v>2652</v>
      </c>
      <c r="G1513" s="415">
        <v>1000</v>
      </c>
      <c r="H1513" s="370" t="s">
        <v>964</v>
      </c>
    </row>
    <row r="1514" spans="1:8" s="673" customFormat="1">
      <c r="A1514" s="309">
        <v>279</v>
      </c>
      <c r="B1514" s="277" t="s">
        <v>5024</v>
      </c>
      <c r="C1514" s="706" t="s">
        <v>5114</v>
      </c>
      <c r="D1514" s="418" t="str">
        <f t="shared" si="22"/>
        <v>UBND Xã Bình Lợi</v>
      </c>
      <c r="E1514" s="505" t="s">
        <v>2669</v>
      </c>
      <c r="F1514" s="505" t="s">
        <v>25</v>
      </c>
      <c r="G1514" s="415">
        <v>1100</v>
      </c>
      <c r="H1514" s="370" t="s">
        <v>5025</v>
      </c>
    </row>
    <row r="1515" spans="1:8" s="673" customFormat="1">
      <c r="A1515" s="309">
        <v>280</v>
      </c>
      <c r="B1515" s="277" t="s">
        <v>2699</v>
      </c>
      <c r="C1515" s="706" t="s">
        <v>5114</v>
      </c>
      <c r="D1515" s="418" t="str">
        <f t="shared" si="22"/>
        <v>UBND Xã Bình Lợi</v>
      </c>
      <c r="E1515" s="505" t="s">
        <v>2700</v>
      </c>
      <c r="F1515" s="505" t="s">
        <v>407</v>
      </c>
      <c r="G1515" s="415">
        <v>1589</v>
      </c>
      <c r="H1515" s="370"/>
    </row>
    <row r="1516" spans="1:8" s="673" customFormat="1">
      <c r="A1516" s="309">
        <v>281</v>
      </c>
      <c r="B1516" s="277" t="s">
        <v>595</v>
      </c>
      <c r="C1516" s="706" t="s">
        <v>5114</v>
      </c>
      <c r="D1516" s="418" t="str">
        <f t="shared" si="22"/>
        <v>UBND Xã Bình Lợi</v>
      </c>
      <c r="E1516" s="505" t="s">
        <v>23</v>
      </c>
      <c r="F1516" s="505" t="s">
        <v>2701</v>
      </c>
      <c r="G1516" s="415">
        <v>1584</v>
      </c>
      <c r="H1516" s="370"/>
    </row>
    <row r="1517" spans="1:8" s="673" customFormat="1">
      <c r="A1517" s="309">
        <v>282</v>
      </c>
      <c r="B1517" s="277" t="s">
        <v>2702</v>
      </c>
      <c r="C1517" s="706" t="s">
        <v>5114</v>
      </c>
      <c r="D1517" s="418" t="str">
        <f t="shared" si="22"/>
        <v>UBND Xã Bình Lợi</v>
      </c>
      <c r="E1517" s="505" t="s">
        <v>23</v>
      </c>
      <c r="F1517" s="505" t="s">
        <v>2701</v>
      </c>
      <c r="G1517" s="415">
        <v>2613</v>
      </c>
      <c r="H1517" s="370"/>
    </row>
    <row r="1518" spans="1:8" s="673" customFormat="1">
      <c r="A1518" s="309">
        <v>283</v>
      </c>
      <c r="B1518" s="277" t="s">
        <v>4956</v>
      </c>
      <c r="C1518" s="706" t="s">
        <v>5066</v>
      </c>
      <c r="D1518" s="418" t="str">
        <f t="shared" si="22"/>
        <v>UBND Xã Bình Mỹ</v>
      </c>
      <c r="E1518" s="505" t="s">
        <v>433</v>
      </c>
      <c r="F1518" s="505" t="s">
        <v>407</v>
      </c>
      <c r="G1518" s="415">
        <v>850</v>
      </c>
      <c r="H1518" s="370"/>
    </row>
    <row r="1519" spans="1:8" s="673" customFormat="1">
      <c r="A1519" s="309">
        <v>284</v>
      </c>
      <c r="B1519" s="277" t="s">
        <v>548</v>
      </c>
      <c r="C1519" s="706" t="s">
        <v>5066</v>
      </c>
      <c r="D1519" s="418" t="str">
        <f t="shared" si="22"/>
        <v>UBND Xã Bình Mỹ</v>
      </c>
      <c r="E1519" s="505" t="s">
        <v>433</v>
      </c>
      <c r="F1519" s="505" t="s">
        <v>407</v>
      </c>
      <c r="G1519" s="415">
        <v>1254</v>
      </c>
      <c r="H1519" s="370"/>
    </row>
    <row r="1520" spans="1:8" s="673" customFormat="1">
      <c r="A1520" s="309">
        <v>285</v>
      </c>
      <c r="B1520" s="277" t="s">
        <v>549</v>
      </c>
      <c r="C1520" s="706" t="s">
        <v>5066</v>
      </c>
      <c r="D1520" s="418" t="str">
        <f t="shared" si="22"/>
        <v>UBND Xã Bình Mỹ</v>
      </c>
      <c r="E1520" s="505" t="s">
        <v>433</v>
      </c>
      <c r="F1520" s="505" t="s">
        <v>407</v>
      </c>
      <c r="G1520" s="415">
        <v>1358</v>
      </c>
      <c r="H1520" s="370"/>
    </row>
    <row r="1521" spans="1:8" s="673" customFormat="1">
      <c r="A1521" s="309">
        <v>286</v>
      </c>
      <c r="B1521" s="277" t="s">
        <v>3815</v>
      </c>
      <c r="C1521" s="706" t="s">
        <v>5066</v>
      </c>
      <c r="D1521" s="418" t="str">
        <f t="shared" si="22"/>
        <v>UBND Xã Bình Mỹ</v>
      </c>
      <c r="E1521" s="505" t="s">
        <v>433</v>
      </c>
      <c r="F1521" s="505" t="s">
        <v>407</v>
      </c>
      <c r="G1521" s="415">
        <v>1298</v>
      </c>
      <c r="H1521" s="370"/>
    </row>
    <row r="1522" spans="1:8" s="673" customFormat="1">
      <c r="A1522" s="309">
        <v>287</v>
      </c>
      <c r="B1522" s="277" t="s">
        <v>3816</v>
      </c>
      <c r="C1522" s="706" t="s">
        <v>5066</v>
      </c>
      <c r="D1522" s="418" t="str">
        <f t="shared" si="22"/>
        <v>UBND Xã Bình Mỹ</v>
      </c>
      <c r="E1522" s="505" t="s">
        <v>433</v>
      </c>
      <c r="F1522" s="505" t="s">
        <v>407</v>
      </c>
      <c r="G1522" s="415">
        <v>1468</v>
      </c>
      <c r="H1522" s="370"/>
    </row>
    <row r="1523" spans="1:8" s="673" customFormat="1">
      <c r="A1523" s="309">
        <v>288</v>
      </c>
      <c r="B1523" s="277" t="s">
        <v>3817</v>
      </c>
      <c r="C1523" s="706" t="s">
        <v>5066</v>
      </c>
      <c r="D1523" s="418" t="str">
        <f t="shared" si="22"/>
        <v>UBND Xã Bình Mỹ</v>
      </c>
      <c r="E1523" s="505" t="s">
        <v>433</v>
      </c>
      <c r="F1523" s="505" t="s">
        <v>407</v>
      </c>
      <c r="G1523" s="415">
        <v>1024</v>
      </c>
      <c r="H1523" s="370"/>
    </row>
    <row r="1524" spans="1:8" s="673" customFormat="1">
      <c r="A1524" s="309">
        <v>289</v>
      </c>
      <c r="B1524" s="277" t="s">
        <v>3818</v>
      </c>
      <c r="C1524" s="706" t="s">
        <v>5066</v>
      </c>
      <c r="D1524" s="418" t="str">
        <f t="shared" si="22"/>
        <v>UBND Xã Bình Mỹ</v>
      </c>
      <c r="E1524" s="505" t="s">
        <v>433</v>
      </c>
      <c r="F1524" s="505" t="s">
        <v>407</v>
      </c>
      <c r="G1524" s="415">
        <v>2045</v>
      </c>
      <c r="H1524" s="370"/>
    </row>
    <row r="1525" spans="1:8" s="673" customFormat="1">
      <c r="A1525" s="309">
        <v>290</v>
      </c>
      <c r="B1525" s="277" t="s">
        <v>3819</v>
      </c>
      <c r="C1525" s="706" t="s">
        <v>5066</v>
      </c>
      <c r="D1525" s="418" t="str">
        <f t="shared" si="22"/>
        <v>UBND Xã Bình Mỹ</v>
      </c>
      <c r="E1525" s="505" t="s">
        <v>433</v>
      </c>
      <c r="F1525" s="505" t="s">
        <v>407</v>
      </c>
      <c r="G1525" s="415">
        <v>2642</v>
      </c>
      <c r="H1525" s="370"/>
    </row>
    <row r="1526" spans="1:8" s="673" customFormat="1">
      <c r="A1526" s="309">
        <v>291</v>
      </c>
      <c r="B1526" s="277" t="s">
        <v>3820</v>
      </c>
      <c r="C1526" s="706" t="s">
        <v>5066</v>
      </c>
      <c r="D1526" s="418" t="str">
        <f t="shared" si="22"/>
        <v>UBND Xã Bình Mỹ</v>
      </c>
      <c r="E1526" s="505" t="s">
        <v>433</v>
      </c>
      <c r="F1526" s="505" t="s">
        <v>407</v>
      </c>
      <c r="G1526" s="415">
        <v>1354</v>
      </c>
      <c r="H1526" s="370"/>
    </row>
    <row r="1527" spans="1:8" s="673" customFormat="1">
      <c r="A1527" s="309">
        <v>292</v>
      </c>
      <c r="B1527" s="277" t="s">
        <v>3821</v>
      </c>
      <c r="C1527" s="706" t="s">
        <v>5066</v>
      </c>
      <c r="D1527" s="418" t="str">
        <f t="shared" si="22"/>
        <v>UBND Xã Bình Mỹ</v>
      </c>
      <c r="E1527" s="505" t="s">
        <v>433</v>
      </c>
      <c r="F1527" s="505" t="s">
        <v>407</v>
      </c>
      <c r="G1527" s="415">
        <v>1254</v>
      </c>
      <c r="H1527" s="370"/>
    </row>
    <row r="1528" spans="1:8" s="673" customFormat="1">
      <c r="A1528" s="309">
        <v>293</v>
      </c>
      <c r="B1528" s="277" t="s">
        <v>3822</v>
      </c>
      <c r="C1528" s="706" t="s">
        <v>5066</v>
      </c>
      <c r="D1528" s="418" t="str">
        <f t="shared" si="22"/>
        <v>UBND Xã Bình Mỹ</v>
      </c>
      <c r="E1528" s="505" t="s">
        <v>433</v>
      </c>
      <c r="F1528" s="505" t="s">
        <v>407</v>
      </c>
      <c r="G1528" s="415">
        <v>2014</v>
      </c>
      <c r="H1528" s="370"/>
    </row>
    <row r="1529" spans="1:8" s="673" customFormat="1">
      <c r="A1529" s="309">
        <v>294</v>
      </c>
      <c r="B1529" s="277" t="s">
        <v>3823</v>
      </c>
      <c r="C1529" s="706" t="s">
        <v>5066</v>
      </c>
      <c r="D1529" s="418" t="str">
        <f t="shared" si="22"/>
        <v>UBND Xã Bình Mỹ</v>
      </c>
      <c r="E1529" s="505" t="s">
        <v>433</v>
      </c>
      <c r="F1529" s="505" t="s">
        <v>407</v>
      </c>
      <c r="G1529" s="415">
        <v>2354</v>
      </c>
      <c r="H1529" s="370"/>
    </row>
    <row r="1530" spans="1:8" s="673" customFormat="1">
      <c r="A1530" s="309">
        <v>295</v>
      </c>
      <c r="B1530" s="277" t="s">
        <v>3824</v>
      </c>
      <c r="C1530" s="706" t="s">
        <v>5066</v>
      </c>
      <c r="D1530" s="418" t="str">
        <f t="shared" si="22"/>
        <v>UBND Xã Bình Mỹ</v>
      </c>
      <c r="E1530" s="505" t="s">
        <v>433</v>
      </c>
      <c r="F1530" s="505" t="s">
        <v>407</v>
      </c>
      <c r="G1530" s="415">
        <v>2564</v>
      </c>
      <c r="H1530" s="370"/>
    </row>
    <row r="1531" spans="1:8" s="673" customFormat="1">
      <c r="A1531" s="309">
        <v>296</v>
      </c>
      <c r="B1531" s="277" t="s">
        <v>3825</v>
      </c>
      <c r="C1531" s="706" t="s">
        <v>5066</v>
      </c>
      <c r="D1531" s="418" t="str">
        <f t="shared" si="22"/>
        <v>UBND Xã Bình Mỹ</v>
      </c>
      <c r="E1531" s="505" t="s">
        <v>433</v>
      </c>
      <c r="F1531" s="505" t="s">
        <v>407</v>
      </c>
      <c r="G1531" s="415">
        <v>1257</v>
      </c>
      <c r="H1531" s="370"/>
    </row>
    <row r="1532" spans="1:8" s="673" customFormat="1">
      <c r="A1532" s="309">
        <v>297</v>
      </c>
      <c r="B1532" s="277" t="s">
        <v>3826</v>
      </c>
      <c r="C1532" s="706" t="s">
        <v>5066</v>
      </c>
      <c r="D1532" s="418" t="str">
        <f t="shared" si="22"/>
        <v>UBND Xã Bình Mỹ</v>
      </c>
      <c r="E1532" s="505" t="s">
        <v>433</v>
      </c>
      <c r="F1532" s="505" t="s">
        <v>407</v>
      </c>
      <c r="G1532" s="415">
        <v>3254</v>
      </c>
      <c r="H1532" s="370"/>
    </row>
    <row r="1533" spans="1:8" s="673" customFormat="1">
      <c r="A1533" s="309">
        <v>298</v>
      </c>
      <c r="B1533" s="277" t="s">
        <v>3827</v>
      </c>
      <c r="C1533" s="706" t="s">
        <v>5066</v>
      </c>
      <c r="D1533" s="418" t="str">
        <f t="shared" si="22"/>
        <v>UBND Xã Bình Mỹ</v>
      </c>
      <c r="E1533" s="505" t="s">
        <v>433</v>
      </c>
      <c r="F1533" s="505" t="s">
        <v>407</v>
      </c>
      <c r="G1533" s="415">
        <v>3256</v>
      </c>
      <c r="H1533" s="370"/>
    </row>
    <row r="1534" spans="1:8" s="673" customFormat="1">
      <c r="A1534" s="309">
        <v>299</v>
      </c>
      <c r="B1534" s="277" t="s">
        <v>3828</v>
      </c>
      <c r="C1534" s="706" t="s">
        <v>5066</v>
      </c>
      <c r="D1534" s="418" t="str">
        <f t="shared" si="22"/>
        <v>UBND Xã Bình Mỹ</v>
      </c>
      <c r="E1534" s="505" t="s">
        <v>433</v>
      </c>
      <c r="F1534" s="505" t="s">
        <v>407</v>
      </c>
      <c r="G1534" s="415">
        <v>2145</v>
      </c>
      <c r="H1534" s="370"/>
    </row>
    <row r="1535" spans="1:8" s="673" customFormat="1">
      <c r="A1535" s="309">
        <v>300</v>
      </c>
      <c r="B1535" s="277" t="s">
        <v>3829</v>
      </c>
      <c r="C1535" s="706" t="s">
        <v>5066</v>
      </c>
      <c r="D1535" s="418" t="str">
        <f t="shared" ref="D1535:D1598" si="23">"UBND "&amp;C1535</f>
        <v>UBND Xã Bình Mỹ</v>
      </c>
      <c r="E1535" s="505" t="s">
        <v>433</v>
      </c>
      <c r="F1535" s="505" t="s">
        <v>407</v>
      </c>
      <c r="G1535" s="415">
        <v>1205</v>
      </c>
      <c r="H1535" s="370"/>
    </row>
    <row r="1536" spans="1:8" s="673" customFormat="1">
      <c r="A1536" s="309">
        <v>301</v>
      </c>
      <c r="B1536" s="277" t="s">
        <v>3830</v>
      </c>
      <c r="C1536" s="706" t="s">
        <v>5066</v>
      </c>
      <c r="D1536" s="418" t="str">
        <f t="shared" si="23"/>
        <v>UBND Xã Bình Mỹ</v>
      </c>
      <c r="E1536" s="505" t="s">
        <v>433</v>
      </c>
      <c r="F1536" s="505" t="s">
        <v>407</v>
      </c>
      <c r="G1536" s="415">
        <v>1254</v>
      </c>
      <c r="H1536" s="370"/>
    </row>
    <row r="1537" spans="1:8" s="673" customFormat="1">
      <c r="A1537" s="309">
        <v>302</v>
      </c>
      <c r="B1537" s="277" t="s">
        <v>3831</v>
      </c>
      <c r="C1537" s="706" t="s">
        <v>5066</v>
      </c>
      <c r="D1537" s="418" t="str">
        <f t="shared" si="23"/>
        <v>UBND Xã Bình Mỹ</v>
      </c>
      <c r="E1537" s="505" t="s">
        <v>433</v>
      </c>
      <c r="F1537" s="505" t="s">
        <v>407</v>
      </c>
      <c r="G1537" s="415">
        <v>2356</v>
      </c>
      <c r="H1537" s="370"/>
    </row>
    <row r="1538" spans="1:8" s="673" customFormat="1">
      <c r="A1538" s="309">
        <v>303</v>
      </c>
      <c r="B1538" s="277" t="s">
        <v>3832</v>
      </c>
      <c r="C1538" s="706" t="s">
        <v>5066</v>
      </c>
      <c r="D1538" s="418" t="str">
        <f t="shared" si="23"/>
        <v>UBND Xã Bình Mỹ</v>
      </c>
      <c r="E1538" s="505" t="s">
        <v>433</v>
      </c>
      <c r="F1538" s="505" t="s">
        <v>407</v>
      </c>
      <c r="G1538" s="415">
        <v>4210</v>
      </c>
      <c r="H1538" s="370"/>
    </row>
    <row r="1539" spans="1:8" s="673" customFormat="1">
      <c r="A1539" s="309">
        <v>304</v>
      </c>
      <c r="B1539" s="277" t="s">
        <v>497</v>
      </c>
      <c r="C1539" s="706" t="s">
        <v>5066</v>
      </c>
      <c r="D1539" s="418" t="str">
        <f t="shared" si="23"/>
        <v>UBND Xã Bình Mỹ</v>
      </c>
      <c r="E1539" s="505" t="s">
        <v>433</v>
      </c>
      <c r="F1539" s="505" t="s">
        <v>407</v>
      </c>
      <c r="G1539" s="415">
        <v>1254</v>
      </c>
      <c r="H1539" s="370"/>
    </row>
    <row r="1540" spans="1:8" s="673" customFormat="1">
      <c r="A1540" s="309">
        <v>305</v>
      </c>
      <c r="B1540" s="277" t="s">
        <v>3833</v>
      </c>
      <c r="C1540" s="706" t="s">
        <v>5066</v>
      </c>
      <c r="D1540" s="418" t="str">
        <f t="shared" si="23"/>
        <v>UBND Xã Bình Mỹ</v>
      </c>
      <c r="E1540" s="505" t="s">
        <v>433</v>
      </c>
      <c r="F1540" s="505" t="s">
        <v>407</v>
      </c>
      <c r="G1540" s="415">
        <v>1234</v>
      </c>
      <c r="H1540" s="370"/>
    </row>
    <row r="1541" spans="1:8" s="673" customFormat="1">
      <c r="A1541" s="309">
        <v>306</v>
      </c>
      <c r="B1541" s="277" t="s">
        <v>498</v>
      </c>
      <c r="C1541" s="706" t="s">
        <v>5066</v>
      </c>
      <c r="D1541" s="418" t="str">
        <f t="shared" si="23"/>
        <v>UBND Xã Bình Mỹ</v>
      </c>
      <c r="E1541" s="505" t="s">
        <v>433</v>
      </c>
      <c r="F1541" s="505" t="s">
        <v>407</v>
      </c>
      <c r="G1541" s="415">
        <v>1257</v>
      </c>
      <c r="H1541" s="370"/>
    </row>
    <row r="1542" spans="1:8" s="673" customFormat="1">
      <c r="A1542" s="309">
        <v>307</v>
      </c>
      <c r="B1542" s="277" t="s">
        <v>499</v>
      </c>
      <c r="C1542" s="706" t="s">
        <v>5066</v>
      </c>
      <c r="D1542" s="418" t="str">
        <f t="shared" si="23"/>
        <v>UBND Xã Bình Mỹ</v>
      </c>
      <c r="E1542" s="505" t="s">
        <v>433</v>
      </c>
      <c r="F1542" s="505" t="s">
        <v>407</v>
      </c>
      <c r="G1542" s="415">
        <v>1654</v>
      </c>
      <c r="H1542" s="370"/>
    </row>
    <row r="1543" spans="1:8" s="673" customFormat="1">
      <c r="A1543" s="309">
        <v>308</v>
      </c>
      <c r="B1543" s="277" t="s">
        <v>500</v>
      </c>
      <c r="C1543" s="706" t="s">
        <v>5066</v>
      </c>
      <c r="D1543" s="418" t="str">
        <f t="shared" si="23"/>
        <v>UBND Xã Bình Mỹ</v>
      </c>
      <c r="E1543" s="505" t="s">
        <v>433</v>
      </c>
      <c r="F1543" s="505" t="s">
        <v>407</v>
      </c>
      <c r="G1543" s="415">
        <v>1254</v>
      </c>
      <c r="H1543" s="370"/>
    </row>
    <row r="1544" spans="1:8" s="673" customFormat="1">
      <c r="A1544" s="309">
        <v>309</v>
      </c>
      <c r="B1544" s="277" t="s">
        <v>501</v>
      </c>
      <c r="C1544" s="706" t="s">
        <v>5066</v>
      </c>
      <c r="D1544" s="418" t="str">
        <f t="shared" si="23"/>
        <v>UBND Xã Bình Mỹ</v>
      </c>
      <c r="E1544" s="505" t="s">
        <v>433</v>
      </c>
      <c r="F1544" s="505" t="s">
        <v>407</v>
      </c>
      <c r="G1544" s="415">
        <v>1234</v>
      </c>
      <c r="H1544" s="370"/>
    </row>
    <row r="1545" spans="1:8" s="673" customFormat="1">
      <c r="A1545" s="309">
        <v>310</v>
      </c>
      <c r="B1545" s="277" t="s">
        <v>3834</v>
      </c>
      <c r="C1545" s="706" t="s">
        <v>5066</v>
      </c>
      <c r="D1545" s="418" t="str">
        <f t="shared" si="23"/>
        <v>UBND Xã Bình Mỹ</v>
      </c>
      <c r="E1545" s="505" t="s">
        <v>433</v>
      </c>
      <c r="F1545" s="505" t="s">
        <v>407</v>
      </c>
      <c r="G1545" s="415">
        <v>2314</v>
      </c>
      <c r="H1545" s="370"/>
    </row>
    <row r="1546" spans="1:8" s="673" customFormat="1">
      <c r="A1546" s="309">
        <v>311</v>
      </c>
      <c r="B1546" s="277" t="s">
        <v>502</v>
      </c>
      <c r="C1546" s="706" t="s">
        <v>5066</v>
      </c>
      <c r="D1546" s="418" t="str">
        <f t="shared" si="23"/>
        <v>UBND Xã Bình Mỹ</v>
      </c>
      <c r="E1546" s="505" t="s">
        <v>433</v>
      </c>
      <c r="F1546" s="505" t="s">
        <v>407</v>
      </c>
      <c r="G1546" s="415">
        <v>1254</v>
      </c>
      <c r="H1546" s="370"/>
    </row>
    <row r="1547" spans="1:8" s="673" customFormat="1">
      <c r="A1547" s="309">
        <v>312</v>
      </c>
      <c r="B1547" s="277" t="s">
        <v>503</v>
      </c>
      <c r="C1547" s="706" t="s">
        <v>5066</v>
      </c>
      <c r="D1547" s="418" t="str">
        <f t="shared" si="23"/>
        <v>UBND Xã Bình Mỹ</v>
      </c>
      <c r="E1547" s="505" t="s">
        <v>433</v>
      </c>
      <c r="F1547" s="505" t="s">
        <v>407</v>
      </c>
      <c r="G1547" s="415">
        <v>1235</v>
      </c>
      <c r="H1547" s="370"/>
    </row>
    <row r="1548" spans="1:8" s="673" customFormat="1">
      <c r="A1548" s="309">
        <v>313</v>
      </c>
      <c r="B1548" s="277" t="s">
        <v>3835</v>
      </c>
      <c r="C1548" s="706" t="s">
        <v>5066</v>
      </c>
      <c r="D1548" s="418" t="str">
        <f t="shared" si="23"/>
        <v>UBND Xã Bình Mỹ</v>
      </c>
      <c r="E1548" s="505" t="s">
        <v>433</v>
      </c>
      <c r="F1548" s="505" t="s">
        <v>407</v>
      </c>
      <c r="G1548" s="415">
        <v>2541</v>
      </c>
      <c r="H1548" s="370"/>
    </row>
    <row r="1549" spans="1:8" s="673" customFormat="1">
      <c r="A1549" s="309">
        <v>314</v>
      </c>
      <c r="B1549" s="277" t="s">
        <v>3836</v>
      </c>
      <c r="C1549" s="706" t="s">
        <v>5066</v>
      </c>
      <c r="D1549" s="418" t="str">
        <f t="shared" si="23"/>
        <v>UBND Xã Bình Mỹ</v>
      </c>
      <c r="E1549" s="505" t="s">
        <v>433</v>
      </c>
      <c r="F1549" s="505" t="s">
        <v>407</v>
      </c>
      <c r="G1549" s="415">
        <v>2354</v>
      </c>
      <c r="H1549" s="370"/>
    </row>
    <row r="1550" spans="1:8" s="673" customFormat="1">
      <c r="A1550" s="309">
        <v>315</v>
      </c>
      <c r="B1550" s="277" t="s">
        <v>3837</v>
      </c>
      <c r="C1550" s="706" t="s">
        <v>5066</v>
      </c>
      <c r="D1550" s="418" t="str">
        <f t="shared" si="23"/>
        <v>UBND Xã Bình Mỹ</v>
      </c>
      <c r="E1550" s="505" t="s">
        <v>433</v>
      </c>
      <c r="F1550" s="505" t="s">
        <v>407</v>
      </c>
      <c r="G1550" s="415">
        <v>1245</v>
      </c>
      <c r="H1550" s="370"/>
    </row>
    <row r="1551" spans="1:8" s="673" customFormat="1">
      <c r="A1551" s="309">
        <v>316</v>
      </c>
      <c r="B1551" s="277" t="s">
        <v>3838</v>
      </c>
      <c r="C1551" s="706" t="s">
        <v>5066</v>
      </c>
      <c r="D1551" s="418" t="str">
        <f t="shared" si="23"/>
        <v>UBND Xã Bình Mỹ</v>
      </c>
      <c r="E1551" s="505" t="s">
        <v>433</v>
      </c>
      <c r="F1551" s="505" t="s">
        <v>407</v>
      </c>
      <c r="G1551" s="415">
        <v>2145</v>
      </c>
      <c r="H1551" s="370"/>
    </row>
    <row r="1552" spans="1:8" s="673" customFormat="1">
      <c r="A1552" s="309">
        <v>317</v>
      </c>
      <c r="B1552" s="277" t="s">
        <v>3839</v>
      </c>
      <c r="C1552" s="706" t="s">
        <v>5066</v>
      </c>
      <c r="D1552" s="418" t="str">
        <f t="shared" si="23"/>
        <v>UBND Xã Bình Mỹ</v>
      </c>
      <c r="E1552" s="505" t="s">
        <v>433</v>
      </c>
      <c r="F1552" s="505" t="s">
        <v>407</v>
      </c>
      <c r="G1552" s="415">
        <v>2314</v>
      </c>
      <c r="H1552" s="370"/>
    </row>
    <row r="1553" spans="1:8" s="673" customFormat="1">
      <c r="A1553" s="309">
        <v>318</v>
      </c>
      <c r="B1553" s="277" t="s">
        <v>3840</v>
      </c>
      <c r="C1553" s="706" t="s">
        <v>5066</v>
      </c>
      <c r="D1553" s="418" t="str">
        <f t="shared" si="23"/>
        <v>UBND Xã Bình Mỹ</v>
      </c>
      <c r="E1553" s="505" t="s">
        <v>433</v>
      </c>
      <c r="F1553" s="505" t="s">
        <v>407</v>
      </c>
      <c r="G1553" s="415">
        <v>2154</v>
      </c>
      <c r="H1553" s="370"/>
    </row>
    <row r="1554" spans="1:8" s="673" customFormat="1">
      <c r="A1554" s="309">
        <v>319</v>
      </c>
      <c r="B1554" s="277" t="s">
        <v>3841</v>
      </c>
      <c r="C1554" s="706" t="s">
        <v>5066</v>
      </c>
      <c r="D1554" s="418" t="str">
        <f t="shared" si="23"/>
        <v>UBND Xã Bình Mỹ</v>
      </c>
      <c r="E1554" s="505" t="s">
        <v>433</v>
      </c>
      <c r="F1554" s="505" t="s">
        <v>407</v>
      </c>
      <c r="G1554" s="415">
        <v>1982</v>
      </c>
      <c r="H1554" s="370"/>
    </row>
    <row r="1555" spans="1:8" s="673" customFormat="1">
      <c r="A1555" s="309">
        <v>320</v>
      </c>
      <c r="B1555" s="277" t="s">
        <v>3842</v>
      </c>
      <c r="C1555" s="706" t="s">
        <v>5066</v>
      </c>
      <c r="D1555" s="418" t="str">
        <f t="shared" si="23"/>
        <v>UBND Xã Bình Mỹ</v>
      </c>
      <c r="E1555" s="505" t="s">
        <v>433</v>
      </c>
      <c r="F1555" s="505" t="s">
        <v>407</v>
      </c>
      <c r="G1555" s="415">
        <v>1765</v>
      </c>
      <c r="H1555" s="370"/>
    </row>
    <row r="1556" spans="1:8" s="673" customFormat="1">
      <c r="A1556" s="309">
        <v>321</v>
      </c>
      <c r="B1556" s="277" t="s">
        <v>3843</v>
      </c>
      <c r="C1556" s="706" t="s">
        <v>5066</v>
      </c>
      <c r="D1556" s="418" t="str">
        <f t="shared" si="23"/>
        <v>UBND Xã Bình Mỹ</v>
      </c>
      <c r="E1556" s="505" t="s">
        <v>433</v>
      </c>
      <c r="F1556" s="505" t="s">
        <v>407</v>
      </c>
      <c r="G1556" s="415">
        <v>1258</v>
      </c>
      <c r="H1556" s="370"/>
    </row>
    <row r="1557" spans="1:8" s="673" customFormat="1">
      <c r="A1557" s="309">
        <v>322</v>
      </c>
      <c r="B1557" s="277" t="s">
        <v>3844</v>
      </c>
      <c r="C1557" s="706" t="s">
        <v>5066</v>
      </c>
      <c r="D1557" s="418" t="str">
        <f t="shared" si="23"/>
        <v>UBND Xã Bình Mỹ</v>
      </c>
      <c r="E1557" s="505" t="s">
        <v>433</v>
      </c>
      <c r="F1557" s="505" t="s">
        <v>407</v>
      </c>
      <c r="G1557" s="415">
        <v>1468</v>
      </c>
      <c r="H1557" s="370"/>
    </row>
    <row r="1558" spans="1:8" s="673" customFormat="1">
      <c r="A1558" s="309">
        <v>323</v>
      </c>
      <c r="B1558" s="277" t="s">
        <v>3845</v>
      </c>
      <c r="C1558" s="706" t="s">
        <v>5066</v>
      </c>
      <c r="D1558" s="418" t="str">
        <f t="shared" si="23"/>
        <v>UBND Xã Bình Mỹ</v>
      </c>
      <c r="E1558" s="505" t="s">
        <v>433</v>
      </c>
      <c r="F1558" s="505" t="s">
        <v>407</v>
      </c>
      <c r="G1558" s="415">
        <v>1756</v>
      </c>
      <c r="H1558" s="370"/>
    </row>
    <row r="1559" spans="1:8" s="673" customFormat="1">
      <c r="A1559" s="309">
        <v>324</v>
      </c>
      <c r="B1559" s="277" t="s">
        <v>3846</v>
      </c>
      <c r="C1559" s="706" t="s">
        <v>5066</v>
      </c>
      <c r="D1559" s="418" t="str">
        <f t="shared" si="23"/>
        <v>UBND Xã Bình Mỹ</v>
      </c>
      <c r="E1559" s="505" t="s">
        <v>433</v>
      </c>
      <c r="F1559" s="505" t="s">
        <v>407</v>
      </c>
      <c r="G1559" s="415">
        <v>1345</v>
      </c>
      <c r="H1559" s="370"/>
    </row>
    <row r="1560" spans="1:8" s="673" customFormat="1">
      <c r="A1560" s="309">
        <v>325</v>
      </c>
      <c r="B1560" s="277" t="s">
        <v>505</v>
      </c>
      <c r="C1560" s="706" t="s">
        <v>5066</v>
      </c>
      <c r="D1560" s="418" t="str">
        <f t="shared" si="23"/>
        <v>UBND Xã Bình Mỹ</v>
      </c>
      <c r="E1560" s="505" t="s">
        <v>433</v>
      </c>
      <c r="F1560" s="505" t="s">
        <v>407</v>
      </c>
      <c r="G1560" s="415">
        <v>1354</v>
      </c>
      <c r="H1560" s="370"/>
    </row>
    <row r="1561" spans="1:8" s="673" customFormat="1">
      <c r="A1561" s="309">
        <v>326</v>
      </c>
      <c r="B1561" s="277" t="s">
        <v>506</v>
      </c>
      <c r="C1561" s="706" t="s">
        <v>5066</v>
      </c>
      <c r="D1561" s="418" t="str">
        <f t="shared" si="23"/>
        <v>UBND Xã Bình Mỹ</v>
      </c>
      <c r="E1561" s="505" t="s">
        <v>433</v>
      </c>
      <c r="F1561" s="505" t="s">
        <v>407</v>
      </c>
      <c r="G1561" s="415">
        <v>1872</v>
      </c>
      <c r="H1561" s="370"/>
    </row>
    <row r="1562" spans="1:8" s="673" customFormat="1">
      <c r="A1562" s="309">
        <v>327</v>
      </c>
      <c r="B1562" s="277" t="s">
        <v>507</v>
      </c>
      <c r="C1562" s="706" t="s">
        <v>5066</v>
      </c>
      <c r="D1562" s="418" t="str">
        <f t="shared" si="23"/>
        <v>UBND Xã Bình Mỹ</v>
      </c>
      <c r="E1562" s="505" t="s">
        <v>433</v>
      </c>
      <c r="F1562" s="505" t="s">
        <v>407</v>
      </c>
      <c r="G1562" s="415">
        <v>1354</v>
      </c>
      <c r="H1562" s="370"/>
    </row>
    <row r="1563" spans="1:8" s="673" customFormat="1">
      <c r="A1563" s="309">
        <v>328</v>
      </c>
      <c r="B1563" s="277" t="s">
        <v>547</v>
      </c>
      <c r="C1563" s="706" t="s">
        <v>5066</v>
      </c>
      <c r="D1563" s="418" t="str">
        <f t="shared" si="23"/>
        <v>UBND Xã Bình Mỹ</v>
      </c>
      <c r="E1563" s="505" t="s">
        <v>433</v>
      </c>
      <c r="F1563" s="505" t="s">
        <v>407</v>
      </c>
      <c r="G1563" s="415">
        <v>1024</v>
      </c>
      <c r="H1563" s="370"/>
    </row>
    <row r="1564" spans="1:8" s="673" customFormat="1">
      <c r="A1564" s="309">
        <v>329</v>
      </c>
      <c r="B1564" s="277" t="s">
        <v>3847</v>
      </c>
      <c r="C1564" s="706" t="s">
        <v>5066</v>
      </c>
      <c r="D1564" s="418" t="str">
        <f t="shared" si="23"/>
        <v>UBND Xã Bình Mỹ</v>
      </c>
      <c r="E1564" s="505" t="s">
        <v>433</v>
      </c>
      <c r="F1564" s="505" t="s">
        <v>407</v>
      </c>
      <c r="G1564" s="415">
        <v>1541</v>
      </c>
      <c r="H1564" s="370"/>
    </row>
    <row r="1565" spans="1:8" s="673" customFormat="1">
      <c r="A1565" s="309">
        <v>330</v>
      </c>
      <c r="B1565" s="277" t="s">
        <v>3848</v>
      </c>
      <c r="C1565" s="706" t="s">
        <v>5066</v>
      </c>
      <c r="D1565" s="418" t="str">
        <f t="shared" si="23"/>
        <v>UBND Xã Bình Mỹ</v>
      </c>
      <c r="E1565" s="505" t="s">
        <v>1115</v>
      </c>
      <c r="F1565" s="505" t="s">
        <v>407</v>
      </c>
      <c r="G1565" s="415">
        <v>1204</v>
      </c>
      <c r="H1565" s="370"/>
    </row>
    <row r="1566" spans="1:8" s="673" customFormat="1">
      <c r="A1566" s="309">
        <v>331</v>
      </c>
      <c r="B1566" s="277" t="s">
        <v>3849</v>
      </c>
      <c r="C1566" s="706" t="s">
        <v>5066</v>
      </c>
      <c r="D1566" s="418" t="str">
        <f t="shared" si="23"/>
        <v>UBND Xã Bình Mỹ</v>
      </c>
      <c r="E1566" s="505" t="s">
        <v>1115</v>
      </c>
      <c r="F1566" s="505" t="s">
        <v>407</v>
      </c>
      <c r="G1566" s="415">
        <v>1023</v>
      </c>
      <c r="H1566" s="370"/>
    </row>
    <row r="1567" spans="1:8" s="673" customFormat="1">
      <c r="A1567" s="309">
        <v>332</v>
      </c>
      <c r="B1567" s="277" t="s">
        <v>3850</v>
      </c>
      <c r="C1567" s="706" t="s">
        <v>5066</v>
      </c>
      <c r="D1567" s="418" t="str">
        <f t="shared" si="23"/>
        <v>UBND Xã Bình Mỹ</v>
      </c>
      <c r="E1567" s="505" t="s">
        <v>1115</v>
      </c>
      <c r="F1567" s="505" t="s">
        <v>407</v>
      </c>
      <c r="G1567" s="415">
        <v>1025</v>
      </c>
      <c r="H1567" s="370"/>
    </row>
    <row r="1568" spans="1:8" s="673" customFormat="1">
      <c r="A1568" s="309">
        <v>333</v>
      </c>
      <c r="B1568" s="277" t="s">
        <v>3851</v>
      </c>
      <c r="C1568" s="706" t="s">
        <v>5066</v>
      </c>
      <c r="D1568" s="418" t="str">
        <f t="shared" si="23"/>
        <v>UBND Xã Bình Mỹ</v>
      </c>
      <c r="E1568" s="505" t="s">
        <v>1115</v>
      </c>
      <c r="F1568" s="505" t="s">
        <v>407</v>
      </c>
      <c r="G1568" s="415">
        <v>1087</v>
      </c>
      <c r="H1568" s="370"/>
    </row>
    <row r="1569" spans="1:8" s="673" customFormat="1">
      <c r="A1569" s="309">
        <v>334</v>
      </c>
      <c r="B1569" s="277" t="s">
        <v>3852</v>
      </c>
      <c r="C1569" s="706" t="s">
        <v>5066</v>
      </c>
      <c r="D1569" s="418" t="str">
        <f t="shared" si="23"/>
        <v>UBND Xã Bình Mỹ</v>
      </c>
      <c r="E1569" s="505" t="s">
        <v>1115</v>
      </c>
      <c r="F1569" s="505" t="s">
        <v>407</v>
      </c>
      <c r="G1569" s="415">
        <v>1098</v>
      </c>
      <c r="H1569" s="370"/>
    </row>
    <row r="1570" spans="1:8" s="673" customFormat="1">
      <c r="A1570" s="309">
        <v>335</v>
      </c>
      <c r="B1570" s="277" t="s">
        <v>3853</v>
      </c>
      <c r="C1570" s="706" t="s">
        <v>5066</v>
      </c>
      <c r="D1570" s="418" t="str">
        <f t="shared" si="23"/>
        <v>UBND Xã Bình Mỹ</v>
      </c>
      <c r="E1570" s="505" t="s">
        <v>1115</v>
      </c>
      <c r="F1570" s="505" t="s">
        <v>407</v>
      </c>
      <c r="G1570" s="415">
        <v>1037</v>
      </c>
      <c r="H1570" s="370"/>
    </row>
    <row r="1571" spans="1:8" s="673" customFormat="1">
      <c r="A1571" s="309">
        <v>336</v>
      </c>
      <c r="B1571" s="277" t="s">
        <v>3854</v>
      </c>
      <c r="C1571" s="706" t="s">
        <v>5066</v>
      </c>
      <c r="D1571" s="418" t="str">
        <f t="shared" si="23"/>
        <v>UBND Xã Bình Mỹ</v>
      </c>
      <c r="E1571" s="505" t="s">
        <v>1115</v>
      </c>
      <c r="F1571" s="505" t="s">
        <v>407</v>
      </c>
      <c r="G1571" s="415">
        <v>2014</v>
      </c>
      <c r="H1571" s="370"/>
    </row>
    <row r="1572" spans="1:8" s="673" customFormat="1">
      <c r="A1572" s="309">
        <v>337</v>
      </c>
      <c r="B1572" s="277" t="s">
        <v>3855</v>
      </c>
      <c r="C1572" s="706" t="s">
        <v>5066</v>
      </c>
      <c r="D1572" s="418" t="str">
        <f t="shared" si="23"/>
        <v>UBND Xã Bình Mỹ</v>
      </c>
      <c r="E1572" s="505" t="s">
        <v>1115</v>
      </c>
      <c r="F1572" s="505" t="s">
        <v>407</v>
      </c>
      <c r="G1572" s="415">
        <v>2031</v>
      </c>
      <c r="H1572" s="370"/>
    </row>
    <row r="1573" spans="1:8" s="673" customFormat="1">
      <c r="A1573" s="309">
        <v>338</v>
      </c>
      <c r="B1573" s="277" t="s">
        <v>3856</v>
      </c>
      <c r="C1573" s="706" t="s">
        <v>5066</v>
      </c>
      <c r="D1573" s="418" t="str">
        <f t="shared" si="23"/>
        <v>UBND Xã Bình Mỹ</v>
      </c>
      <c r="E1573" s="505" t="s">
        <v>1115</v>
      </c>
      <c r="F1573" s="505" t="s">
        <v>407</v>
      </c>
      <c r="G1573" s="415">
        <v>1456</v>
      </c>
      <c r="H1573" s="370"/>
    </row>
    <row r="1574" spans="1:8" s="673" customFormat="1">
      <c r="A1574" s="309">
        <v>339</v>
      </c>
      <c r="B1574" s="277" t="s">
        <v>3857</v>
      </c>
      <c r="C1574" s="706" t="s">
        <v>5066</v>
      </c>
      <c r="D1574" s="418" t="str">
        <f t="shared" si="23"/>
        <v>UBND Xã Bình Mỹ</v>
      </c>
      <c r="E1574" s="505" t="s">
        <v>1115</v>
      </c>
      <c r="F1574" s="505" t="s">
        <v>407</v>
      </c>
      <c r="G1574" s="415">
        <v>1453</v>
      </c>
      <c r="H1574" s="370"/>
    </row>
    <row r="1575" spans="1:8" s="673" customFormat="1">
      <c r="A1575" s="309">
        <v>340</v>
      </c>
      <c r="B1575" s="277" t="s">
        <v>3858</v>
      </c>
      <c r="C1575" s="706" t="s">
        <v>5066</v>
      </c>
      <c r="D1575" s="418" t="str">
        <f t="shared" si="23"/>
        <v>UBND Xã Bình Mỹ</v>
      </c>
      <c r="E1575" s="505" t="s">
        <v>1115</v>
      </c>
      <c r="F1575" s="505" t="s">
        <v>407</v>
      </c>
      <c r="G1575" s="415">
        <v>1098</v>
      </c>
      <c r="H1575" s="370"/>
    </row>
    <row r="1576" spans="1:8" s="673" customFormat="1">
      <c r="A1576" s="309">
        <v>341</v>
      </c>
      <c r="B1576" s="277" t="s">
        <v>3859</v>
      </c>
      <c r="C1576" s="706" t="s">
        <v>5066</v>
      </c>
      <c r="D1576" s="418" t="str">
        <f t="shared" si="23"/>
        <v>UBND Xã Bình Mỹ</v>
      </c>
      <c r="E1576" s="505" t="s">
        <v>1115</v>
      </c>
      <c r="F1576" s="505" t="s">
        <v>407</v>
      </c>
      <c r="G1576" s="415">
        <v>1531</v>
      </c>
      <c r="H1576" s="370"/>
    </row>
    <row r="1577" spans="1:8" s="673" customFormat="1">
      <c r="A1577" s="309">
        <v>342</v>
      </c>
      <c r="B1577" s="277" t="s">
        <v>3860</v>
      </c>
      <c r="C1577" s="706" t="s">
        <v>5066</v>
      </c>
      <c r="D1577" s="418" t="str">
        <f t="shared" si="23"/>
        <v>UBND Xã Bình Mỹ</v>
      </c>
      <c r="E1577" s="505" t="s">
        <v>1115</v>
      </c>
      <c r="F1577" s="505" t="s">
        <v>407</v>
      </c>
      <c r="G1577" s="415">
        <v>1542</v>
      </c>
      <c r="H1577" s="370"/>
    </row>
    <row r="1578" spans="1:8" s="673" customFormat="1">
      <c r="A1578" s="309">
        <v>343</v>
      </c>
      <c r="B1578" s="277" t="s">
        <v>3861</v>
      </c>
      <c r="C1578" s="706" t="s">
        <v>5066</v>
      </c>
      <c r="D1578" s="418" t="str">
        <f t="shared" si="23"/>
        <v>UBND Xã Bình Mỹ</v>
      </c>
      <c r="E1578" s="505" t="s">
        <v>1115</v>
      </c>
      <c r="F1578" s="505" t="s">
        <v>407</v>
      </c>
      <c r="G1578" s="415">
        <v>1087</v>
      </c>
      <c r="H1578" s="370"/>
    </row>
    <row r="1579" spans="1:8" s="673" customFormat="1">
      <c r="A1579" s="309">
        <v>344</v>
      </c>
      <c r="B1579" s="277" t="s">
        <v>3862</v>
      </c>
      <c r="C1579" s="706" t="s">
        <v>5066</v>
      </c>
      <c r="D1579" s="418" t="str">
        <f t="shared" si="23"/>
        <v>UBND Xã Bình Mỹ</v>
      </c>
      <c r="E1579" s="505" t="s">
        <v>1115</v>
      </c>
      <c r="F1579" s="505" t="s">
        <v>407</v>
      </c>
      <c r="G1579" s="415">
        <v>1098</v>
      </c>
      <c r="H1579" s="370"/>
    </row>
    <row r="1580" spans="1:8" s="673" customFormat="1">
      <c r="A1580" s="309">
        <v>345</v>
      </c>
      <c r="B1580" s="277" t="s">
        <v>3863</v>
      </c>
      <c r="C1580" s="706" t="s">
        <v>5066</v>
      </c>
      <c r="D1580" s="418" t="str">
        <f t="shared" si="23"/>
        <v>UBND Xã Bình Mỹ</v>
      </c>
      <c r="E1580" s="505" t="s">
        <v>1115</v>
      </c>
      <c r="F1580" s="505" t="s">
        <v>407</v>
      </c>
      <c r="G1580" s="415">
        <v>1078</v>
      </c>
      <c r="H1580" s="370"/>
    </row>
    <row r="1581" spans="1:8" s="673" customFormat="1">
      <c r="A1581" s="309">
        <v>346</v>
      </c>
      <c r="B1581" s="277" t="s">
        <v>3864</v>
      </c>
      <c r="C1581" s="706" t="s">
        <v>5066</v>
      </c>
      <c r="D1581" s="418" t="str">
        <f t="shared" si="23"/>
        <v>UBND Xã Bình Mỹ</v>
      </c>
      <c r="E1581" s="505" t="s">
        <v>1115</v>
      </c>
      <c r="F1581" s="505" t="s">
        <v>407</v>
      </c>
      <c r="G1581" s="415">
        <v>1879</v>
      </c>
      <c r="H1581" s="370"/>
    </row>
    <row r="1582" spans="1:8" s="673" customFormat="1">
      <c r="A1582" s="309">
        <v>347</v>
      </c>
      <c r="B1582" s="277" t="s">
        <v>3865</v>
      </c>
      <c r="C1582" s="706" t="s">
        <v>5066</v>
      </c>
      <c r="D1582" s="418" t="str">
        <f t="shared" si="23"/>
        <v>UBND Xã Bình Mỹ</v>
      </c>
      <c r="E1582" s="505" t="s">
        <v>1115</v>
      </c>
      <c r="F1582" s="505" t="s">
        <v>407</v>
      </c>
      <c r="G1582" s="415">
        <v>1235</v>
      </c>
      <c r="H1582" s="370"/>
    </row>
    <row r="1583" spans="1:8" s="673" customFormat="1">
      <c r="A1583" s="309">
        <v>348</v>
      </c>
      <c r="B1583" s="277" t="s">
        <v>3866</v>
      </c>
      <c r="C1583" s="706" t="s">
        <v>5066</v>
      </c>
      <c r="D1583" s="418" t="str">
        <f t="shared" si="23"/>
        <v>UBND Xã Bình Mỹ</v>
      </c>
      <c r="E1583" s="505" t="s">
        <v>1115</v>
      </c>
      <c r="F1583" s="505" t="s">
        <v>407</v>
      </c>
      <c r="G1583" s="415">
        <v>1547</v>
      </c>
      <c r="H1583" s="370"/>
    </row>
    <row r="1584" spans="1:8" s="673" customFormat="1">
      <c r="A1584" s="309">
        <v>349</v>
      </c>
      <c r="B1584" s="277" t="s">
        <v>3867</v>
      </c>
      <c r="C1584" s="706" t="s">
        <v>5066</v>
      </c>
      <c r="D1584" s="418" t="str">
        <f t="shared" si="23"/>
        <v>UBND Xã Bình Mỹ</v>
      </c>
      <c r="E1584" s="505" t="s">
        <v>1115</v>
      </c>
      <c r="F1584" s="505" t="s">
        <v>407</v>
      </c>
      <c r="G1584" s="415">
        <v>1456</v>
      </c>
      <c r="H1584" s="370"/>
    </row>
    <row r="1585" spans="1:8" s="673" customFormat="1">
      <c r="A1585" s="309">
        <v>350</v>
      </c>
      <c r="B1585" s="277" t="s">
        <v>3868</v>
      </c>
      <c r="C1585" s="706" t="s">
        <v>5066</v>
      </c>
      <c r="D1585" s="418" t="str">
        <f t="shared" si="23"/>
        <v>UBND Xã Bình Mỹ</v>
      </c>
      <c r="E1585" s="505" t="s">
        <v>1115</v>
      </c>
      <c r="F1585" s="505" t="s">
        <v>407</v>
      </c>
      <c r="G1585" s="415">
        <v>1546</v>
      </c>
      <c r="H1585" s="370"/>
    </row>
    <row r="1586" spans="1:8" s="673" customFormat="1">
      <c r="A1586" s="309">
        <v>351</v>
      </c>
      <c r="B1586" s="277" t="s">
        <v>3869</v>
      </c>
      <c r="C1586" s="706" t="s">
        <v>5066</v>
      </c>
      <c r="D1586" s="418" t="str">
        <f t="shared" si="23"/>
        <v>UBND Xã Bình Mỹ</v>
      </c>
      <c r="E1586" s="505" t="s">
        <v>1115</v>
      </c>
      <c r="F1586" s="505" t="s">
        <v>407</v>
      </c>
      <c r="G1586" s="415">
        <v>1897</v>
      </c>
      <c r="H1586" s="370"/>
    </row>
    <row r="1587" spans="1:8" s="673" customFormat="1">
      <c r="A1587" s="309">
        <v>352</v>
      </c>
      <c r="B1587" s="277" t="s">
        <v>3870</v>
      </c>
      <c r="C1587" s="706" t="s">
        <v>5066</v>
      </c>
      <c r="D1587" s="418" t="str">
        <f t="shared" si="23"/>
        <v>UBND Xã Bình Mỹ</v>
      </c>
      <c r="E1587" s="505" t="s">
        <v>1115</v>
      </c>
      <c r="F1587" s="505" t="s">
        <v>407</v>
      </c>
      <c r="G1587" s="415">
        <v>1025</v>
      </c>
      <c r="H1587" s="370"/>
    </row>
    <row r="1588" spans="1:8" s="673" customFormat="1">
      <c r="A1588" s="309">
        <v>353</v>
      </c>
      <c r="B1588" s="277" t="s">
        <v>3871</v>
      </c>
      <c r="C1588" s="706" t="s">
        <v>5066</v>
      </c>
      <c r="D1588" s="418" t="str">
        <f t="shared" si="23"/>
        <v>UBND Xã Bình Mỹ</v>
      </c>
      <c r="E1588" s="505" t="s">
        <v>1115</v>
      </c>
      <c r="F1588" s="505" t="s">
        <v>407</v>
      </c>
      <c r="G1588" s="415">
        <v>1540</v>
      </c>
      <c r="H1588" s="370"/>
    </row>
    <row r="1589" spans="1:8" s="673" customFormat="1">
      <c r="A1589" s="309">
        <v>354</v>
      </c>
      <c r="B1589" s="277" t="s">
        <v>2764</v>
      </c>
      <c r="C1589" s="706" t="s">
        <v>5066</v>
      </c>
      <c r="D1589" s="418" t="str">
        <f t="shared" si="23"/>
        <v>UBND Xã Bình Mỹ</v>
      </c>
      <c r="E1589" s="505" t="s">
        <v>5035</v>
      </c>
      <c r="F1589" s="505" t="s">
        <v>407</v>
      </c>
      <c r="G1589" s="415">
        <v>1567</v>
      </c>
      <c r="H1589" s="370"/>
    </row>
    <row r="1590" spans="1:8" s="673" customFormat="1">
      <c r="A1590" s="309">
        <v>355</v>
      </c>
      <c r="B1590" s="277" t="s">
        <v>2766</v>
      </c>
      <c r="C1590" s="706" t="s">
        <v>5066</v>
      </c>
      <c r="D1590" s="418" t="str">
        <f t="shared" si="23"/>
        <v>UBND Xã Bình Mỹ</v>
      </c>
      <c r="E1590" s="505" t="s">
        <v>5035</v>
      </c>
      <c r="F1590" s="505" t="s">
        <v>407</v>
      </c>
      <c r="G1590" s="415">
        <v>1642</v>
      </c>
      <c r="H1590" s="370"/>
    </row>
    <row r="1591" spans="1:8" s="673" customFormat="1">
      <c r="A1591" s="309">
        <v>356</v>
      </c>
      <c r="B1591" s="277" t="s">
        <v>2903</v>
      </c>
      <c r="C1591" s="706" t="s">
        <v>5066</v>
      </c>
      <c r="D1591" s="418" t="str">
        <f t="shared" si="23"/>
        <v>UBND Xã Bình Mỹ</v>
      </c>
      <c r="E1591" s="505" t="s">
        <v>2904</v>
      </c>
      <c r="F1591" s="505" t="s">
        <v>2905</v>
      </c>
      <c r="G1591" s="415">
        <v>500</v>
      </c>
      <c r="H1591" s="370"/>
    </row>
    <row r="1592" spans="1:8" s="673" customFormat="1">
      <c r="A1592" s="309">
        <v>357</v>
      </c>
      <c r="B1592" s="277" t="s">
        <v>2914</v>
      </c>
      <c r="C1592" s="706" t="s">
        <v>5066</v>
      </c>
      <c r="D1592" s="418" t="str">
        <f t="shared" si="23"/>
        <v>UBND Xã Bình Mỹ</v>
      </c>
      <c r="E1592" s="505" t="s">
        <v>2911</v>
      </c>
      <c r="F1592" s="505" t="s">
        <v>433</v>
      </c>
      <c r="G1592" s="415">
        <v>800</v>
      </c>
      <c r="H1592" s="370"/>
    </row>
    <row r="1593" spans="1:8" s="673" customFormat="1">
      <c r="A1593" s="309">
        <v>358</v>
      </c>
      <c r="B1593" s="277" t="s">
        <v>2918</v>
      </c>
      <c r="C1593" s="706" t="s">
        <v>5066</v>
      </c>
      <c r="D1593" s="418" t="str">
        <f t="shared" si="23"/>
        <v>UBND Xã Bình Mỹ</v>
      </c>
      <c r="E1593" s="505" t="s">
        <v>433</v>
      </c>
      <c r="F1593" s="505" t="s">
        <v>2919</v>
      </c>
      <c r="G1593" s="415">
        <v>550</v>
      </c>
      <c r="H1593" s="370"/>
    </row>
    <row r="1594" spans="1:8" s="673" customFormat="1">
      <c r="A1594" s="309">
        <v>359</v>
      </c>
      <c r="B1594" s="277" t="s">
        <v>2920</v>
      </c>
      <c r="C1594" s="706" t="s">
        <v>5066</v>
      </c>
      <c r="D1594" s="418" t="str">
        <f t="shared" si="23"/>
        <v>UBND Xã Bình Mỹ</v>
      </c>
      <c r="E1594" s="505" t="s">
        <v>433</v>
      </c>
      <c r="F1594" s="505" t="s">
        <v>2921</v>
      </c>
      <c r="G1594" s="415">
        <v>300</v>
      </c>
      <c r="H1594" s="370"/>
    </row>
    <row r="1595" spans="1:8" s="673" customFormat="1">
      <c r="A1595" s="309">
        <v>360</v>
      </c>
      <c r="B1595" s="277" t="s">
        <v>2922</v>
      </c>
      <c r="C1595" s="706" t="s">
        <v>5066</v>
      </c>
      <c r="D1595" s="418" t="str">
        <f t="shared" si="23"/>
        <v>UBND Xã Bình Mỹ</v>
      </c>
      <c r="E1595" s="505" t="s">
        <v>433</v>
      </c>
      <c r="F1595" s="505" t="s">
        <v>2923</v>
      </c>
      <c r="G1595" s="415">
        <v>200</v>
      </c>
      <c r="H1595" s="370"/>
    </row>
    <row r="1596" spans="1:8" s="673" customFormat="1">
      <c r="A1596" s="309">
        <v>361</v>
      </c>
      <c r="B1596" s="277" t="s">
        <v>2924</v>
      </c>
      <c r="C1596" s="706" t="s">
        <v>5066</v>
      </c>
      <c r="D1596" s="418" t="str">
        <f t="shared" si="23"/>
        <v>UBND Xã Bình Mỹ</v>
      </c>
      <c r="E1596" s="505" t="s">
        <v>433</v>
      </c>
      <c r="F1596" s="505" t="s">
        <v>2919</v>
      </c>
      <c r="G1596" s="415">
        <v>350</v>
      </c>
      <c r="H1596" s="370"/>
    </row>
    <row r="1597" spans="1:8" s="673" customFormat="1">
      <c r="A1597" s="309">
        <v>362</v>
      </c>
      <c r="B1597" s="277" t="s">
        <v>2925</v>
      </c>
      <c r="C1597" s="706" t="s">
        <v>5066</v>
      </c>
      <c r="D1597" s="418" t="str">
        <f t="shared" si="23"/>
        <v>UBND Xã Bình Mỹ</v>
      </c>
      <c r="E1597" s="505" t="s">
        <v>433</v>
      </c>
      <c r="F1597" s="505" t="s">
        <v>2926</v>
      </c>
      <c r="G1597" s="415">
        <v>250</v>
      </c>
      <c r="H1597" s="370"/>
    </row>
    <row r="1598" spans="1:8" s="673" customFormat="1">
      <c r="A1598" s="309">
        <v>363</v>
      </c>
      <c r="B1598" s="277" t="s">
        <v>2927</v>
      </c>
      <c r="C1598" s="706" t="s">
        <v>5066</v>
      </c>
      <c r="D1598" s="418" t="str">
        <f t="shared" si="23"/>
        <v>UBND Xã Bình Mỹ</v>
      </c>
      <c r="E1598" s="505" t="s">
        <v>433</v>
      </c>
      <c r="F1598" s="505" t="s">
        <v>2928</v>
      </c>
      <c r="G1598" s="415">
        <v>1500</v>
      </c>
      <c r="H1598" s="370"/>
    </row>
    <row r="1599" spans="1:8" s="673" customFormat="1">
      <c r="A1599" s="309">
        <v>364</v>
      </c>
      <c r="B1599" s="277" t="s">
        <v>2929</v>
      </c>
      <c r="C1599" s="706" t="s">
        <v>5066</v>
      </c>
      <c r="D1599" s="418" t="str">
        <f t="shared" ref="D1599:D1662" si="24">"UBND "&amp;C1599</f>
        <v>UBND Xã Bình Mỹ</v>
      </c>
      <c r="E1599" s="505" t="s">
        <v>433</v>
      </c>
      <c r="F1599" s="505" t="s">
        <v>2930</v>
      </c>
      <c r="G1599" s="415">
        <v>320</v>
      </c>
      <c r="H1599" s="370"/>
    </row>
    <row r="1600" spans="1:8" s="673" customFormat="1">
      <c r="A1600" s="309">
        <v>365</v>
      </c>
      <c r="B1600" s="277" t="s">
        <v>2931</v>
      </c>
      <c r="C1600" s="706" t="s">
        <v>5066</v>
      </c>
      <c r="D1600" s="418" t="str">
        <f t="shared" si="24"/>
        <v>UBND Xã Bình Mỹ</v>
      </c>
      <c r="E1600" s="505" t="s">
        <v>2866</v>
      </c>
      <c r="F1600" s="505" t="s">
        <v>2932</v>
      </c>
      <c r="G1600" s="415">
        <v>900</v>
      </c>
      <c r="H1600" s="370"/>
    </row>
    <row r="1601" spans="1:8" s="673" customFormat="1">
      <c r="A1601" s="309">
        <v>366</v>
      </c>
      <c r="B1601" s="277" t="s">
        <v>2933</v>
      </c>
      <c r="C1601" s="706" t="s">
        <v>5066</v>
      </c>
      <c r="D1601" s="418" t="str">
        <f t="shared" si="24"/>
        <v>UBND Xã Bình Mỹ</v>
      </c>
      <c r="E1601" s="505" t="s">
        <v>2917</v>
      </c>
      <c r="F1601" s="505" t="s">
        <v>2934</v>
      </c>
      <c r="G1601" s="415">
        <v>650</v>
      </c>
      <c r="H1601" s="370"/>
    </row>
    <row r="1602" spans="1:8" s="673" customFormat="1">
      <c r="A1602" s="309">
        <v>367</v>
      </c>
      <c r="B1602" s="277" t="s">
        <v>2938</v>
      </c>
      <c r="C1602" s="706" t="s">
        <v>5066</v>
      </c>
      <c r="D1602" s="418" t="str">
        <f t="shared" si="24"/>
        <v>UBND Xã Bình Mỹ</v>
      </c>
      <c r="E1602" s="505" t="s">
        <v>433</v>
      </c>
      <c r="F1602" s="505" t="s">
        <v>2939</v>
      </c>
      <c r="G1602" s="415">
        <v>300</v>
      </c>
      <c r="H1602" s="370"/>
    </row>
    <row r="1603" spans="1:8" s="673" customFormat="1">
      <c r="A1603" s="309">
        <v>368</v>
      </c>
      <c r="B1603" s="277" t="s">
        <v>2940</v>
      </c>
      <c r="C1603" s="706" t="s">
        <v>5066</v>
      </c>
      <c r="D1603" s="418" t="str">
        <f t="shared" si="24"/>
        <v>UBND Xã Bình Mỹ</v>
      </c>
      <c r="E1603" s="505" t="s">
        <v>433</v>
      </c>
      <c r="F1603" s="505" t="s">
        <v>2941</v>
      </c>
      <c r="G1603" s="415">
        <v>700</v>
      </c>
      <c r="H1603" s="370"/>
    </row>
    <row r="1604" spans="1:8" s="673" customFormat="1">
      <c r="A1604" s="309">
        <v>369</v>
      </c>
      <c r="B1604" s="277" t="s">
        <v>925</v>
      </c>
      <c r="C1604" s="706" t="s">
        <v>5066</v>
      </c>
      <c r="D1604" s="418" t="str">
        <f t="shared" si="24"/>
        <v>UBND Xã Bình Mỹ</v>
      </c>
      <c r="E1604" s="505" t="s">
        <v>433</v>
      </c>
      <c r="F1604" s="505" t="s">
        <v>2942</v>
      </c>
      <c r="G1604" s="415">
        <v>550</v>
      </c>
      <c r="H1604" s="370"/>
    </row>
    <row r="1605" spans="1:8" s="673" customFormat="1">
      <c r="A1605" s="309">
        <v>370</v>
      </c>
      <c r="B1605" s="277" t="s">
        <v>640</v>
      </c>
      <c r="C1605" s="706" t="s">
        <v>5066</v>
      </c>
      <c r="D1605" s="418" t="str">
        <f t="shared" si="24"/>
        <v>UBND Xã Bình Mỹ</v>
      </c>
      <c r="E1605" s="505" t="s">
        <v>433</v>
      </c>
      <c r="F1605" s="505" t="s">
        <v>2943</v>
      </c>
      <c r="G1605" s="415">
        <v>3650</v>
      </c>
      <c r="H1605" s="370"/>
    </row>
    <row r="1606" spans="1:8" s="673" customFormat="1">
      <c r="A1606" s="309">
        <v>371</v>
      </c>
      <c r="B1606" s="277" t="s">
        <v>2944</v>
      </c>
      <c r="C1606" s="706" t="s">
        <v>5066</v>
      </c>
      <c r="D1606" s="418" t="str">
        <f t="shared" si="24"/>
        <v>UBND Xã Bình Mỹ</v>
      </c>
      <c r="E1606" s="505" t="s">
        <v>640</v>
      </c>
      <c r="F1606" s="505" t="s">
        <v>2866</v>
      </c>
      <c r="G1606" s="415">
        <v>1050</v>
      </c>
      <c r="H1606" s="370"/>
    </row>
    <row r="1607" spans="1:8" s="673" customFormat="1">
      <c r="A1607" s="309">
        <v>372</v>
      </c>
      <c r="B1607" s="277" t="s">
        <v>2946</v>
      </c>
      <c r="C1607" s="706" t="s">
        <v>5066</v>
      </c>
      <c r="D1607" s="418" t="str">
        <f t="shared" si="24"/>
        <v>UBND Xã Bình Mỹ</v>
      </c>
      <c r="E1607" s="505" t="s">
        <v>433</v>
      </c>
      <c r="F1607" s="505" t="s">
        <v>2947</v>
      </c>
      <c r="G1607" s="415">
        <v>800</v>
      </c>
      <c r="H1607" s="370"/>
    </row>
    <row r="1608" spans="1:8" s="673" customFormat="1">
      <c r="A1608" s="309">
        <v>373</v>
      </c>
      <c r="B1608" s="277" t="s">
        <v>2948</v>
      </c>
      <c r="C1608" s="706" t="s">
        <v>5066</v>
      </c>
      <c r="D1608" s="418" t="str">
        <f t="shared" si="24"/>
        <v>UBND Xã Bình Mỹ</v>
      </c>
      <c r="E1608" s="505" t="s">
        <v>433</v>
      </c>
      <c r="F1608" s="505" t="s">
        <v>2949</v>
      </c>
      <c r="G1608" s="415">
        <v>700</v>
      </c>
      <c r="H1608" s="370"/>
    </row>
    <row r="1609" spans="1:8" s="673" customFormat="1">
      <c r="A1609" s="309">
        <v>374</v>
      </c>
      <c r="B1609" s="277" t="s">
        <v>2950</v>
      </c>
      <c r="C1609" s="706" t="s">
        <v>5066</v>
      </c>
      <c r="D1609" s="418" t="str">
        <f t="shared" si="24"/>
        <v>UBND Xã Bình Mỹ</v>
      </c>
      <c r="E1609" s="505" t="s">
        <v>433</v>
      </c>
      <c r="F1609" s="505" t="s">
        <v>2951</v>
      </c>
      <c r="G1609" s="415">
        <v>2700</v>
      </c>
      <c r="H1609" s="370"/>
    </row>
    <row r="1610" spans="1:8" s="673" customFormat="1">
      <c r="A1610" s="309">
        <v>375</v>
      </c>
      <c r="B1610" s="277" t="s">
        <v>5040</v>
      </c>
      <c r="C1610" s="706" t="s">
        <v>5066</v>
      </c>
      <c r="D1610" s="418" t="str">
        <f t="shared" si="24"/>
        <v>UBND Xã Bình Mỹ</v>
      </c>
      <c r="E1610" s="505" t="s">
        <v>2950</v>
      </c>
      <c r="F1610" s="505" t="s">
        <v>2953</v>
      </c>
      <c r="G1610" s="415">
        <v>850</v>
      </c>
      <c r="H1610" s="370"/>
    </row>
    <row r="1611" spans="1:8" s="673" customFormat="1">
      <c r="A1611" s="309">
        <v>376</v>
      </c>
      <c r="B1611" s="277" t="s">
        <v>2954</v>
      </c>
      <c r="C1611" s="706" t="s">
        <v>5066</v>
      </c>
      <c r="D1611" s="418" t="str">
        <f t="shared" si="24"/>
        <v>UBND Xã Bình Mỹ</v>
      </c>
      <c r="E1611" s="505" t="s">
        <v>2950</v>
      </c>
      <c r="F1611" s="505" t="s">
        <v>2955</v>
      </c>
      <c r="G1611" s="415">
        <v>850</v>
      </c>
      <c r="H1611" s="370"/>
    </row>
    <row r="1612" spans="1:8" s="673" customFormat="1">
      <c r="A1612" s="309">
        <v>377</v>
      </c>
      <c r="B1612" s="277" t="s">
        <v>2958</v>
      </c>
      <c r="C1612" s="706" t="s">
        <v>5066</v>
      </c>
      <c r="D1612" s="418" t="str">
        <f t="shared" si="24"/>
        <v>UBND Xã Bình Mỹ</v>
      </c>
      <c r="E1612" s="505" t="s">
        <v>433</v>
      </c>
      <c r="F1612" s="505" t="s">
        <v>2957</v>
      </c>
      <c r="G1612" s="415">
        <v>620</v>
      </c>
      <c r="H1612" s="370"/>
    </row>
    <row r="1613" spans="1:8" s="673" customFormat="1">
      <c r="A1613" s="309">
        <v>378</v>
      </c>
      <c r="B1613" s="277" t="s">
        <v>878</v>
      </c>
      <c r="C1613" s="706" t="s">
        <v>5066</v>
      </c>
      <c r="D1613" s="418" t="str">
        <f t="shared" si="24"/>
        <v>UBND Xã Bình Mỹ</v>
      </c>
      <c r="E1613" s="505" t="s">
        <v>2961</v>
      </c>
      <c r="F1613" s="505" t="s">
        <v>433</v>
      </c>
      <c r="G1613" s="415">
        <v>1400</v>
      </c>
      <c r="H1613" s="370"/>
    </row>
    <row r="1614" spans="1:8" s="673" customFormat="1">
      <c r="A1614" s="309">
        <v>379</v>
      </c>
      <c r="B1614" s="277" t="s">
        <v>2962</v>
      </c>
      <c r="C1614" s="706" t="s">
        <v>5066</v>
      </c>
      <c r="D1614" s="418" t="str">
        <f t="shared" si="24"/>
        <v>UBND Xã Bình Mỹ</v>
      </c>
      <c r="E1614" s="505" t="s">
        <v>2963</v>
      </c>
      <c r="F1614" s="505" t="s">
        <v>433</v>
      </c>
      <c r="G1614" s="415">
        <v>200</v>
      </c>
      <c r="H1614" s="370"/>
    </row>
    <row r="1615" spans="1:8" s="673" customFormat="1">
      <c r="A1615" s="309">
        <v>380</v>
      </c>
      <c r="B1615" s="277" t="s">
        <v>5041</v>
      </c>
      <c r="C1615" s="706" t="s">
        <v>5066</v>
      </c>
      <c r="D1615" s="418" t="str">
        <f t="shared" si="24"/>
        <v>UBND Xã Bình Mỹ</v>
      </c>
      <c r="E1615" s="505" t="s">
        <v>2965</v>
      </c>
      <c r="F1615" s="505" t="s">
        <v>433</v>
      </c>
      <c r="G1615" s="415">
        <v>350</v>
      </c>
      <c r="H1615" s="370"/>
    </row>
    <row r="1616" spans="1:8" s="673" customFormat="1">
      <c r="A1616" s="309">
        <v>381</v>
      </c>
      <c r="B1616" s="277" t="s">
        <v>2966</v>
      </c>
      <c r="C1616" s="706" t="s">
        <v>5066</v>
      </c>
      <c r="D1616" s="418" t="str">
        <f t="shared" si="24"/>
        <v>UBND Xã Bình Mỹ</v>
      </c>
      <c r="E1616" s="505" t="s">
        <v>2967</v>
      </c>
      <c r="F1616" s="505" t="s">
        <v>433</v>
      </c>
      <c r="G1616" s="415">
        <v>400</v>
      </c>
      <c r="H1616" s="370"/>
    </row>
    <row r="1617" spans="1:8" s="673" customFormat="1">
      <c r="A1617" s="309">
        <v>382</v>
      </c>
      <c r="B1617" s="277" t="s">
        <v>2968</v>
      </c>
      <c r="C1617" s="706" t="s">
        <v>5066</v>
      </c>
      <c r="D1617" s="418" t="str">
        <f t="shared" si="24"/>
        <v>UBND Xã Bình Mỹ</v>
      </c>
      <c r="E1617" s="505" t="s">
        <v>2969</v>
      </c>
      <c r="F1617" s="505" t="s">
        <v>433</v>
      </c>
      <c r="G1617" s="415">
        <v>250</v>
      </c>
      <c r="H1617" s="370"/>
    </row>
    <row r="1618" spans="1:8" s="673" customFormat="1">
      <c r="A1618" s="309">
        <v>383</v>
      </c>
      <c r="B1618" s="277" t="s">
        <v>2970</v>
      </c>
      <c r="C1618" s="706" t="s">
        <v>5066</v>
      </c>
      <c r="D1618" s="418" t="str">
        <f t="shared" si="24"/>
        <v>UBND Xã Bình Mỹ</v>
      </c>
      <c r="E1618" s="505" t="s">
        <v>433</v>
      </c>
      <c r="F1618" s="505" t="s">
        <v>2219</v>
      </c>
      <c r="G1618" s="415">
        <v>500</v>
      </c>
      <c r="H1618" s="370"/>
    </row>
    <row r="1619" spans="1:8" s="673" customFormat="1">
      <c r="A1619" s="309">
        <v>384</v>
      </c>
      <c r="B1619" s="277" t="s">
        <v>2420</v>
      </c>
      <c r="C1619" s="706" t="s">
        <v>5066</v>
      </c>
      <c r="D1619" s="418" t="str">
        <f t="shared" si="24"/>
        <v>UBND Xã Bình Mỹ</v>
      </c>
      <c r="E1619" s="505" t="s">
        <v>433</v>
      </c>
      <c r="F1619" s="505" t="s">
        <v>2219</v>
      </c>
      <c r="G1619" s="415">
        <v>400</v>
      </c>
      <c r="H1619" s="370"/>
    </row>
    <row r="1620" spans="1:8" s="673" customFormat="1">
      <c r="A1620" s="309">
        <v>385</v>
      </c>
      <c r="B1620" s="277" t="s">
        <v>2972</v>
      </c>
      <c r="C1620" s="706" t="s">
        <v>5066</v>
      </c>
      <c r="D1620" s="418" t="str">
        <f t="shared" si="24"/>
        <v>UBND Xã Bình Mỹ</v>
      </c>
      <c r="E1620" s="505" t="s">
        <v>433</v>
      </c>
      <c r="F1620" s="505" t="s">
        <v>2973</v>
      </c>
      <c r="G1620" s="415">
        <v>400</v>
      </c>
      <c r="H1620" s="370"/>
    </row>
    <row r="1621" spans="1:8" s="673" customFormat="1">
      <c r="A1621" s="309">
        <v>386</v>
      </c>
      <c r="B1621" s="277" t="s">
        <v>5042</v>
      </c>
      <c r="C1621" s="706" t="s">
        <v>5066</v>
      </c>
      <c r="D1621" s="418" t="str">
        <f t="shared" si="24"/>
        <v>UBND Xã Bình Mỹ</v>
      </c>
      <c r="E1621" s="505" t="s">
        <v>433</v>
      </c>
      <c r="F1621" s="505" t="s">
        <v>2973</v>
      </c>
      <c r="G1621" s="415">
        <v>400</v>
      </c>
      <c r="H1621" s="370"/>
    </row>
    <row r="1622" spans="1:8" s="673" customFormat="1">
      <c r="A1622" s="309">
        <v>387</v>
      </c>
      <c r="B1622" s="277" t="s">
        <v>2975</v>
      </c>
      <c r="C1622" s="706" t="s">
        <v>5066</v>
      </c>
      <c r="D1622" s="418" t="str">
        <f t="shared" si="24"/>
        <v>UBND Xã Bình Mỹ</v>
      </c>
      <c r="E1622" s="505" t="s">
        <v>433</v>
      </c>
      <c r="F1622" s="505" t="s">
        <v>2973</v>
      </c>
      <c r="G1622" s="415">
        <v>800</v>
      </c>
      <c r="H1622" s="370"/>
    </row>
    <row r="1623" spans="1:8" s="673" customFormat="1">
      <c r="A1623" s="309">
        <v>388</v>
      </c>
      <c r="B1623" s="277" t="s">
        <v>5043</v>
      </c>
      <c r="C1623" s="706" t="s">
        <v>5066</v>
      </c>
      <c r="D1623" s="418" t="str">
        <f t="shared" si="24"/>
        <v>UBND Xã Bình Mỹ</v>
      </c>
      <c r="E1623" s="505" t="s">
        <v>433</v>
      </c>
      <c r="F1623" s="505" t="s">
        <v>2977</v>
      </c>
      <c r="G1623" s="415">
        <v>350</v>
      </c>
      <c r="H1623" s="370"/>
    </row>
    <row r="1624" spans="1:8" s="673" customFormat="1">
      <c r="A1624" s="309">
        <v>389</v>
      </c>
      <c r="B1624" s="277" t="s">
        <v>5044</v>
      </c>
      <c r="C1624" s="706" t="s">
        <v>5066</v>
      </c>
      <c r="D1624" s="418" t="str">
        <f t="shared" si="24"/>
        <v>UBND Xã Bình Mỹ</v>
      </c>
      <c r="E1624" s="505" t="s">
        <v>433</v>
      </c>
      <c r="F1624" s="505" t="s">
        <v>2806</v>
      </c>
      <c r="G1624" s="415">
        <v>350</v>
      </c>
      <c r="H1624" s="370"/>
    </row>
    <row r="1625" spans="1:8" s="673" customFormat="1">
      <c r="A1625" s="309">
        <v>390</v>
      </c>
      <c r="B1625" s="277" t="s">
        <v>2980</v>
      </c>
      <c r="C1625" s="706" t="s">
        <v>5066</v>
      </c>
      <c r="D1625" s="418" t="str">
        <f t="shared" si="24"/>
        <v>UBND Xã Bình Mỹ</v>
      </c>
      <c r="E1625" s="505" t="s">
        <v>433</v>
      </c>
      <c r="F1625" s="505" t="s">
        <v>2806</v>
      </c>
      <c r="G1625" s="415">
        <v>250</v>
      </c>
      <c r="H1625" s="370"/>
    </row>
    <row r="1626" spans="1:8" s="673" customFormat="1">
      <c r="A1626" s="309">
        <v>391</v>
      </c>
      <c r="B1626" s="277" t="s">
        <v>2981</v>
      </c>
      <c r="C1626" s="706" t="s">
        <v>5066</v>
      </c>
      <c r="D1626" s="418" t="str">
        <f t="shared" si="24"/>
        <v>UBND Xã Bình Mỹ</v>
      </c>
      <c r="E1626" s="505" t="s">
        <v>433</v>
      </c>
      <c r="F1626" s="505" t="s">
        <v>2806</v>
      </c>
      <c r="G1626" s="415">
        <v>350</v>
      </c>
      <c r="H1626" s="370"/>
    </row>
    <row r="1627" spans="1:8" s="673" customFormat="1">
      <c r="A1627" s="309">
        <v>392</v>
      </c>
      <c r="B1627" s="277" t="s">
        <v>2971</v>
      </c>
      <c r="C1627" s="706" t="s">
        <v>5066</v>
      </c>
      <c r="D1627" s="418" t="str">
        <f t="shared" si="24"/>
        <v>UBND Xã Bình Mỹ</v>
      </c>
      <c r="E1627" s="505" t="s">
        <v>433</v>
      </c>
      <c r="F1627" s="505" t="s">
        <v>2806</v>
      </c>
      <c r="G1627" s="415">
        <v>900</v>
      </c>
      <c r="H1627" s="370"/>
    </row>
    <row r="1628" spans="1:8" s="673" customFormat="1">
      <c r="A1628" s="309">
        <v>393</v>
      </c>
      <c r="B1628" s="277" t="s">
        <v>2991</v>
      </c>
      <c r="C1628" s="706" t="s">
        <v>5066</v>
      </c>
      <c r="D1628" s="418" t="str">
        <f t="shared" si="24"/>
        <v>UBND Xã Bình Mỹ</v>
      </c>
      <c r="E1628" s="505" t="s">
        <v>433</v>
      </c>
      <c r="F1628" s="505" t="s">
        <v>2806</v>
      </c>
      <c r="G1628" s="415">
        <v>300</v>
      </c>
      <c r="H1628" s="370"/>
    </row>
    <row r="1629" spans="1:8" s="673" customFormat="1">
      <c r="A1629" s="309">
        <v>394</v>
      </c>
      <c r="B1629" s="277" t="s">
        <v>5046</v>
      </c>
      <c r="C1629" s="706" t="s">
        <v>5066</v>
      </c>
      <c r="D1629" s="418" t="str">
        <f t="shared" si="24"/>
        <v>UBND Xã Bình Mỹ</v>
      </c>
      <c r="E1629" s="505" t="s">
        <v>433</v>
      </c>
      <c r="F1629" s="505" t="s">
        <v>2806</v>
      </c>
      <c r="G1629" s="415">
        <v>550</v>
      </c>
      <c r="H1629" s="370"/>
    </row>
    <row r="1630" spans="1:8" s="673" customFormat="1">
      <c r="A1630" s="309">
        <v>395</v>
      </c>
      <c r="B1630" s="277" t="s">
        <v>3010</v>
      </c>
      <c r="C1630" s="706" t="s">
        <v>5066</v>
      </c>
      <c r="D1630" s="418" t="str">
        <f t="shared" si="24"/>
        <v>UBND Xã Bình Mỹ</v>
      </c>
      <c r="E1630" s="505" t="s">
        <v>2453</v>
      </c>
      <c r="F1630" s="505" t="s">
        <v>2806</v>
      </c>
      <c r="G1630" s="415">
        <v>847</v>
      </c>
      <c r="H1630" s="370"/>
    </row>
    <row r="1631" spans="1:8" s="673" customFormat="1">
      <c r="A1631" s="309">
        <v>396</v>
      </c>
      <c r="B1631" s="277" t="s">
        <v>2983</v>
      </c>
      <c r="C1631" s="706" t="s">
        <v>5066</v>
      </c>
      <c r="D1631" s="418" t="str">
        <f t="shared" si="24"/>
        <v>UBND Xã Bình Mỹ</v>
      </c>
      <c r="E1631" s="505" t="s">
        <v>2453</v>
      </c>
      <c r="F1631" s="505" t="s">
        <v>2806</v>
      </c>
      <c r="G1631" s="415">
        <v>800</v>
      </c>
      <c r="H1631" s="370"/>
    </row>
    <row r="1632" spans="1:8" s="673" customFormat="1">
      <c r="A1632" s="309">
        <v>397</v>
      </c>
      <c r="B1632" s="277" t="s">
        <v>3011</v>
      </c>
      <c r="C1632" s="706" t="s">
        <v>5066</v>
      </c>
      <c r="D1632" s="418" t="str">
        <f t="shared" si="24"/>
        <v>UBND Xã Bình Mỹ</v>
      </c>
      <c r="E1632" s="505" t="s">
        <v>2453</v>
      </c>
      <c r="F1632" s="505" t="s">
        <v>2806</v>
      </c>
      <c r="G1632" s="415">
        <v>500</v>
      </c>
      <c r="H1632" s="370"/>
    </row>
    <row r="1633" spans="1:8" s="673" customFormat="1">
      <c r="A1633" s="309">
        <v>398</v>
      </c>
      <c r="B1633" s="277" t="s">
        <v>3012</v>
      </c>
      <c r="C1633" s="706" t="s">
        <v>5066</v>
      </c>
      <c r="D1633" s="418" t="str">
        <f t="shared" si="24"/>
        <v>UBND Xã Bình Mỹ</v>
      </c>
      <c r="E1633" s="505" t="s">
        <v>2453</v>
      </c>
      <c r="F1633" s="505" t="s">
        <v>3013</v>
      </c>
      <c r="G1633" s="415">
        <v>2800</v>
      </c>
      <c r="H1633" s="370"/>
    </row>
    <row r="1634" spans="1:8" s="673" customFormat="1">
      <c r="A1634" s="309">
        <v>399</v>
      </c>
      <c r="B1634" s="277" t="s">
        <v>3014</v>
      </c>
      <c r="C1634" s="706" t="s">
        <v>5066</v>
      </c>
      <c r="D1634" s="418" t="str">
        <f t="shared" si="24"/>
        <v>UBND Xã Bình Mỹ</v>
      </c>
      <c r="E1634" s="505" t="s">
        <v>2453</v>
      </c>
      <c r="F1634" s="505" t="s">
        <v>2806</v>
      </c>
      <c r="G1634" s="415">
        <v>300</v>
      </c>
      <c r="H1634" s="370"/>
    </row>
    <row r="1635" spans="1:8" s="673" customFormat="1">
      <c r="A1635" s="309">
        <v>400</v>
      </c>
      <c r="B1635" s="277" t="s">
        <v>3017</v>
      </c>
      <c r="C1635" s="706" t="s">
        <v>5066</v>
      </c>
      <c r="D1635" s="418" t="str">
        <f t="shared" si="24"/>
        <v>UBND Xã Bình Mỹ</v>
      </c>
      <c r="E1635" s="505" t="s">
        <v>2453</v>
      </c>
      <c r="F1635" s="505" t="s">
        <v>2806</v>
      </c>
      <c r="G1635" s="415">
        <v>1100</v>
      </c>
      <c r="H1635" s="370"/>
    </row>
    <row r="1636" spans="1:8" s="673" customFormat="1">
      <c r="A1636" s="309">
        <v>401</v>
      </c>
      <c r="B1636" s="277" t="s">
        <v>3018</v>
      </c>
      <c r="C1636" s="706" t="s">
        <v>5066</v>
      </c>
      <c r="D1636" s="418" t="str">
        <f t="shared" si="24"/>
        <v>UBND Xã Bình Mỹ</v>
      </c>
      <c r="E1636" s="505" t="s">
        <v>2453</v>
      </c>
      <c r="F1636" s="505" t="s">
        <v>2806</v>
      </c>
      <c r="G1636" s="415">
        <v>500</v>
      </c>
      <c r="H1636" s="370"/>
    </row>
    <row r="1637" spans="1:8" s="673" customFormat="1">
      <c r="A1637" s="309">
        <v>402</v>
      </c>
      <c r="B1637" s="277" t="s">
        <v>3020</v>
      </c>
      <c r="C1637" s="706" t="s">
        <v>5066</v>
      </c>
      <c r="D1637" s="418" t="str">
        <f t="shared" si="24"/>
        <v>UBND Xã Bình Mỹ</v>
      </c>
      <c r="E1637" s="505" t="s">
        <v>2453</v>
      </c>
      <c r="F1637" s="505" t="s">
        <v>2806</v>
      </c>
      <c r="G1637" s="415">
        <v>500</v>
      </c>
      <c r="H1637" s="370"/>
    </row>
    <row r="1638" spans="1:8" s="673" customFormat="1">
      <c r="A1638" s="309">
        <v>403</v>
      </c>
      <c r="B1638" s="277" t="s">
        <v>3023</v>
      </c>
      <c r="C1638" s="706" t="s">
        <v>5066</v>
      </c>
      <c r="D1638" s="418" t="str">
        <f t="shared" si="24"/>
        <v>UBND Xã Bình Mỹ</v>
      </c>
      <c r="E1638" s="505" t="s">
        <v>606</v>
      </c>
      <c r="F1638" s="505" t="s">
        <v>2993</v>
      </c>
      <c r="G1638" s="415">
        <v>1300</v>
      </c>
      <c r="H1638" s="370"/>
    </row>
    <row r="1639" spans="1:8" s="673" customFormat="1">
      <c r="A1639" s="309">
        <v>404</v>
      </c>
      <c r="B1639" s="277" t="s">
        <v>3024</v>
      </c>
      <c r="C1639" s="706" t="s">
        <v>5066</v>
      </c>
      <c r="D1639" s="418" t="str">
        <f t="shared" si="24"/>
        <v>UBND Xã Bình Mỹ</v>
      </c>
      <c r="E1639" s="505" t="s">
        <v>2453</v>
      </c>
      <c r="F1639" s="505" t="s">
        <v>2993</v>
      </c>
      <c r="G1639" s="415">
        <v>500</v>
      </c>
      <c r="H1639" s="370"/>
    </row>
    <row r="1640" spans="1:8" s="673" customFormat="1">
      <c r="A1640" s="309">
        <v>405</v>
      </c>
      <c r="B1640" s="277" t="s">
        <v>3025</v>
      </c>
      <c r="C1640" s="706" t="s">
        <v>5066</v>
      </c>
      <c r="D1640" s="418" t="str">
        <f t="shared" si="24"/>
        <v>UBND Xã Bình Mỹ</v>
      </c>
      <c r="E1640" s="505" t="s">
        <v>3026</v>
      </c>
      <c r="F1640" s="505" t="s">
        <v>2768</v>
      </c>
      <c r="G1640" s="415">
        <v>2400</v>
      </c>
      <c r="H1640" s="370"/>
    </row>
    <row r="1641" spans="1:8" s="673" customFormat="1">
      <c r="A1641" s="309">
        <v>406</v>
      </c>
      <c r="B1641" s="277" t="s">
        <v>3027</v>
      </c>
      <c r="C1641" s="706" t="s">
        <v>5066</v>
      </c>
      <c r="D1641" s="418" t="str">
        <f t="shared" si="24"/>
        <v>UBND Xã Bình Mỹ</v>
      </c>
      <c r="E1641" s="505" t="s">
        <v>3028</v>
      </c>
      <c r="F1641" s="505" t="s">
        <v>3025</v>
      </c>
      <c r="G1641" s="415">
        <v>1400</v>
      </c>
      <c r="H1641" s="370"/>
    </row>
    <row r="1642" spans="1:8" s="673" customFormat="1">
      <c r="A1642" s="309">
        <v>407</v>
      </c>
      <c r="B1642" s="277" t="s">
        <v>3029</v>
      </c>
      <c r="C1642" s="706" t="s">
        <v>5066</v>
      </c>
      <c r="D1642" s="418" t="str">
        <f t="shared" si="24"/>
        <v>UBND Xã Bình Mỹ</v>
      </c>
      <c r="E1642" s="505" t="s">
        <v>3030</v>
      </c>
      <c r="F1642" s="505" t="s">
        <v>3031</v>
      </c>
      <c r="G1642" s="415">
        <v>1650</v>
      </c>
      <c r="H1642" s="370"/>
    </row>
    <row r="1643" spans="1:8" s="673" customFormat="1">
      <c r="A1643" s="309">
        <v>408</v>
      </c>
      <c r="B1643" s="277" t="s">
        <v>3033</v>
      </c>
      <c r="C1643" s="706" t="s">
        <v>5066</v>
      </c>
      <c r="D1643" s="418" t="str">
        <f t="shared" si="24"/>
        <v>UBND Xã Bình Mỹ</v>
      </c>
      <c r="E1643" s="505" t="s">
        <v>2219</v>
      </c>
      <c r="F1643" s="505" t="s">
        <v>2993</v>
      </c>
      <c r="G1643" s="415">
        <v>1000</v>
      </c>
      <c r="H1643" s="370"/>
    </row>
    <row r="1644" spans="1:8" s="673" customFormat="1">
      <c r="A1644" s="309">
        <v>409</v>
      </c>
      <c r="B1644" s="277" t="s">
        <v>3034</v>
      </c>
      <c r="C1644" s="706" t="s">
        <v>5066</v>
      </c>
      <c r="D1644" s="418" t="str">
        <f t="shared" si="24"/>
        <v>UBND Xã Bình Mỹ</v>
      </c>
      <c r="E1644" s="505" t="s">
        <v>2219</v>
      </c>
      <c r="F1644" s="505" t="s">
        <v>2993</v>
      </c>
      <c r="G1644" s="415">
        <v>1400</v>
      </c>
      <c r="H1644" s="370"/>
    </row>
    <row r="1645" spans="1:8" s="673" customFormat="1">
      <c r="A1645" s="309">
        <v>410</v>
      </c>
      <c r="B1645" s="277" t="s">
        <v>3035</v>
      </c>
      <c r="C1645" s="706" t="s">
        <v>5066</v>
      </c>
      <c r="D1645" s="418" t="str">
        <f t="shared" si="24"/>
        <v>UBND Xã Bình Mỹ</v>
      </c>
      <c r="E1645" s="505" t="s">
        <v>2762</v>
      </c>
      <c r="F1645" s="505" t="s">
        <v>2806</v>
      </c>
      <c r="G1645" s="415">
        <v>550</v>
      </c>
      <c r="H1645" s="370"/>
    </row>
    <row r="1646" spans="1:8" s="673" customFormat="1">
      <c r="A1646" s="309">
        <v>411</v>
      </c>
      <c r="B1646" s="277" t="s">
        <v>2762</v>
      </c>
      <c r="C1646" s="706" t="s">
        <v>5066</v>
      </c>
      <c r="D1646" s="418" t="str">
        <f t="shared" si="24"/>
        <v>UBND Xã Bình Mỹ</v>
      </c>
      <c r="E1646" s="505" t="s">
        <v>2986</v>
      </c>
      <c r="F1646" s="505" t="s">
        <v>3026</v>
      </c>
      <c r="G1646" s="415">
        <v>300</v>
      </c>
      <c r="H1646" s="370"/>
    </row>
    <row r="1647" spans="1:8" s="673" customFormat="1">
      <c r="A1647" s="309">
        <v>412</v>
      </c>
      <c r="B1647" s="277" t="s">
        <v>3036</v>
      </c>
      <c r="C1647" s="706" t="s">
        <v>5066</v>
      </c>
      <c r="D1647" s="418" t="str">
        <f t="shared" si="24"/>
        <v>UBND Xã Bình Mỹ</v>
      </c>
      <c r="E1647" s="505" t="s">
        <v>2986</v>
      </c>
      <c r="F1647" s="505" t="s">
        <v>2806</v>
      </c>
      <c r="G1647" s="415">
        <v>350</v>
      </c>
      <c r="H1647" s="370"/>
    </row>
    <row r="1648" spans="1:8" s="673" customFormat="1">
      <c r="A1648" s="309">
        <v>413</v>
      </c>
      <c r="B1648" s="277" t="s">
        <v>3037</v>
      </c>
      <c r="C1648" s="706" t="s">
        <v>5066</v>
      </c>
      <c r="D1648" s="418" t="str">
        <f t="shared" si="24"/>
        <v>UBND Xã Bình Mỹ</v>
      </c>
      <c r="E1648" s="505" t="s">
        <v>2986</v>
      </c>
      <c r="F1648" s="505" t="s">
        <v>2806</v>
      </c>
      <c r="G1648" s="415">
        <v>400</v>
      </c>
      <c r="H1648" s="370"/>
    </row>
    <row r="1649" spans="1:8" s="673" customFormat="1">
      <c r="A1649" s="309">
        <v>414</v>
      </c>
      <c r="B1649" s="277" t="s">
        <v>3038</v>
      </c>
      <c r="C1649" s="706" t="s">
        <v>5066</v>
      </c>
      <c r="D1649" s="418" t="str">
        <f t="shared" si="24"/>
        <v>UBND Xã Bình Mỹ</v>
      </c>
      <c r="E1649" s="505" t="s">
        <v>2986</v>
      </c>
      <c r="F1649" s="505" t="s">
        <v>2806</v>
      </c>
      <c r="G1649" s="415">
        <v>450</v>
      </c>
      <c r="H1649" s="370"/>
    </row>
    <row r="1650" spans="1:8" s="673" customFormat="1">
      <c r="A1650" s="309">
        <v>415</v>
      </c>
      <c r="B1650" s="277" t="s">
        <v>5047</v>
      </c>
      <c r="C1650" s="706" t="s">
        <v>5066</v>
      </c>
      <c r="D1650" s="418" t="str">
        <f t="shared" si="24"/>
        <v>UBND Xã Bình Mỹ</v>
      </c>
      <c r="E1650" s="505" t="s">
        <v>2986</v>
      </c>
      <c r="F1650" s="505" t="s">
        <v>2806</v>
      </c>
      <c r="G1650" s="415">
        <v>300</v>
      </c>
      <c r="H1650" s="370"/>
    </row>
    <row r="1651" spans="1:8" s="673" customFormat="1">
      <c r="A1651" s="309">
        <v>416</v>
      </c>
      <c r="B1651" s="277" t="s">
        <v>3040</v>
      </c>
      <c r="C1651" s="706" t="s">
        <v>5066</v>
      </c>
      <c r="D1651" s="418" t="str">
        <f t="shared" si="24"/>
        <v>UBND Xã Bình Mỹ</v>
      </c>
      <c r="E1651" s="505" t="s">
        <v>2341</v>
      </c>
      <c r="F1651" s="505" t="s">
        <v>3027</v>
      </c>
      <c r="G1651" s="415">
        <v>900</v>
      </c>
      <c r="H1651" s="370"/>
    </row>
    <row r="1652" spans="1:8" s="673" customFormat="1">
      <c r="A1652" s="309">
        <v>417</v>
      </c>
      <c r="B1652" s="277" t="s">
        <v>5048</v>
      </c>
      <c r="C1652" s="706" t="s">
        <v>5066</v>
      </c>
      <c r="D1652" s="418" t="str">
        <f t="shared" si="24"/>
        <v>UBND Xã Bình Mỹ</v>
      </c>
      <c r="E1652" s="505" t="s">
        <v>2986</v>
      </c>
      <c r="F1652" s="505" t="s">
        <v>2455</v>
      </c>
      <c r="G1652" s="415">
        <v>350</v>
      </c>
      <c r="H1652" s="370"/>
    </row>
    <row r="1653" spans="1:8" s="673" customFormat="1">
      <c r="A1653" s="309">
        <v>418</v>
      </c>
      <c r="B1653" s="277" t="s">
        <v>5049</v>
      </c>
      <c r="C1653" s="706" t="s">
        <v>5066</v>
      </c>
      <c r="D1653" s="418" t="str">
        <f t="shared" si="24"/>
        <v>UBND Xã Bình Mỹ</v>
      </c>
      <c r="E1653" s="505" t="s">
        <v>2454</v>
      </c>
      <c r="F1653" s="505" t="s">
        <v>2344</v>
      </c>
      <c r="G1653" s="415">
        <v>1000</v>
      </c>
      <c r="H1653" s="370"/>
    </row>
    <row r="1654" spans="1:8" s="673" customFormat="1">
      <c r="A1654" s="309">
        <v>419</v>
      </c>
      <c r="B1654" s="277" t="s">
        <v>3043</v>
      </c>
      <c r="C1654" s="706" t="s">
        <v>5066</v>
      </c>
      <c r="D1654" s="418" t="str">
        <f t="shared" si="24"/>
        <v>UBND Xã Bình Mỹ</v>
      </c>
      <c r="E1654" s="505" t="s">
        <v>2454</v>
      </c>
      <c r="F1654" s="505" t="s">
        <v>2344</v>
      </c>
      <c r="G1654" s="415">
        <v>900</v>
      </c>
      <c r="H1654" s="370"/>
    </row>
    <row r="1655" spans="1:8" s="673" customFormat="1">
      <c r="A1655" s="309">
        <v>420</v>
      </c>
      <c r="B1655" s="277" t="s">
        <v>3044</v>
      </c>
      <c r="C1655" s="706" t="s">
        <v>5066</v>
      </c>
      <c r="D1655" s="418" t="str">
        <f t="shared" si="24"/>
        <v>UBND Xã Bình Mỹ</v>
      </c>
      <c r="E1655" s="505" t="s">
        <v>2344</v>
      </c>
      <c r="F1655" s="505" t="s">
        <v>2993</v>
      </c>
      <c r="G1655" s="415">
        <v>800</v>
      </c>
      <c r="H1655" s="370"/>
    </row>
    <row r="1656" spans="1:8" s="673" customFormat="1">
      <c r="A1656" s="309">
        <v>421</v>
      </c>
      <c r="B1656" s="277" t="s">
        <v>5050</v>
      </c>
      <c r="C1656" s="706" t="s">
        <v>5066</v>
      </c>
      <c r="D1656" s="418" t="str">
        <f t="shared" si="24"/>
        <v>UBND Xã Bình Mỹ</v>
      </c>
      <c r="E1656" s="505" t="s">
        <v>2454</v>
      </c>
      <c r="F1656" s="505" t="s">
        <v>2993</v>
      </c>
      <c r="G1656" s="415">
        <v>700</v>
      </c>
      <c r="H1656" s="370"/>
    </row>
    <row r="1657" spans="1:8" s="673" customFormat="1">
      <c r="A1657" s="309">
        <v>422</v>
      </c>
      <c r="B1657" s="277" t="s">
        <v>3046</v>
      </c>
      <c r="C1657" s="706" t="s">
        <v>5066</v>
      </c>
      <c r="D1657" s="418" t="str">
        <f t="shared" si="24"/>
        <v>UBND Xã Bình Mỹ</v>
      </c>
      <c r="E1657" s="505" t="s">
        <v>2986</v>
      </c>
      <c r="F1657" s="505" t="s">
        <v>2985</v>
      </c>
      <c r="G1657" s="415">
        <v>1000</v>
      </c>
      <c r="H1657" s="370"/>
    </row>
    <row r="1658" spans="1:8" s="673" customFormat="1">
      <c r="A1658" s="309">
        <v>423</v>
      </c>
      <c r="B1658" s="277" t="s">
        <v>3047</v>
      </c>
      <c r="C1658" s="706" t="s">
        <v>5066</v>
      </c>
      <c r="D1658" s="418" t="str">
        <f t="shared" si="24"/>
        <v>UBND Xã Bình Mỹ</v>
      </c>
      <c r="E1658" s="505" t="s">
        <v>3048</v>
      </c>
      <c r="F1658" s="505" t="s">
        <v>3049</v>
      </c>
      <c r="G1658" s="415">
        <v>1300</v>
      </c>
      <c r="H1658" s="370"/>
    </row>
    <row r="1659" spans="1:8" s="673" customFormat="1">
      <c r="A1659" s="309">
        <v>424</v>
      </c>
      <c r="B1659" s="277" t="s">
        <v>3050</v>
      </c>
      <c r="C1659" s="706" t="s">
        <v>5066</v>
      </c>
      <c r="D1659" s="418" t="str">
        <f t="shared" si="24"/>
        <v>UBND Xã Bình Mỹ</v>
      </c>
      <c r="E1659" s="505" t="s">
        <v>3048</v>
      </c>
      <c r="F1659" s="505" t="s">
        <v>3051</v>
      </c>
      <c r="G1659" s="415">
        <v>500</v>
      </c>
      <c r="H1659" s="370"/>
    </row>
    <row r="1660" spans="1:8" s="673" customFormat="1">
      <c r="A1660" s="309">
        <v>425</v>
      </c>
      <c r="B1660" s="277" t="s">
        <v>3052</v>
      </c>
      <c r="C1660" s="706" t="s">
        <v>5066</v>
      </c>
      <c r="D1660" s="418" t="str">
        <f t="shared" si="24"/>
        <v>UBND Xã Bình Mỹ</v>
      </c>
      <c r="E1660" s="505" t="s">
        <v>3053</v>
      </c>
      <c r="F1660" s="505" t="s">
        <v>3054</v>
      </c>
      <c r="G1660" s="415">
        <v>550</v>
      </c>
      <c r="H1660" s="370"/>
    </row>
    <row r="1661" spans="1:8" s="673" customFormat="1">
      <c r="A1661" s="309">
        <v>426</v>
      </c>
      <c r="B1661" s="277" t="s">
        <v>3055</v>
      </c>
      <c r="C1661" s="706" t="s">
        <v>5066</v>
      </c>
      <c r="D1661" s="418" t="str">
        <f t="shared" si="24"/>
        <v>UBND Xã Bình Mỹ</v>
      </c>
      <c r="E1661" s="505" t="s">
        <v>3053</v>
      </c>
      <c r="F1661" s="505" t="s">
        <v>3056</v>
      </c>
      <c r="G1661" s="415">
        <v>700</v>
      </c>
      <c r="H1661" s="370"/>
    </row>
    <row r="1662" spans="1:8" s="673" customFormat="1">
      <c r="A1662" s="309">
        <v>427</v>
      </c>
      <c r="B1662" s="277" t="s">
        <v>5051</v>
      </c>
      <c r="C1662" s="706" t="s">
        <v>5066</v>
      </c>
      <c r="D1662" s="418" t="str">
        <f t="shared" si="24"/>
        <v>UBND Xã Bình Mỹ</v>
      </c>
      <c r="E1662" s="505" t="s">
        <v>2987</v>
      </c>
      <c r="F1662" s="505" t="s">
        <v>2992</v>
      </c>
      <c r="G1662" s="415">
        <v>1600</v>
      </c>
      <c r="H1662" s="370"/>
    </row>
    <row r="1663" spans="1:8" s="673" customFormat="1">
      <c r="A1663" s="309">
        <v>428</v>
      </c>
      <c r="B1663" s="277" t="s">
        <v>3058</v>
      </c>
      <c r="C1663" s="706" t="s">
        <v>5066</v>
      </c>
      <c r="D1663" s="418" t="str">
        <f t="shared" ref="D1663:D1726" si="25">"UBND "&amp;C1663</f>
        <v>UBND Xã Bình Mỹ</v>
      </c>
      <c r="E1663" s="505" t="s">
        <v>3016</v>
      </c>
      <c r="F1663" s="505" t="s">
        <v>2806</v>
      </c>
      <c r="G1663" s="415">
        <v>700</v>
      </c>
      <c r="H1663" s="370"/>
    </row>
    <row r="1664" spans="1:8" s="673" customFormat="1">
      <c r="A1664" s="309">
        <v>429</v>
      </c>
      <c r="B1664" s="277" t="s">
        <v>3077</v>
      </c>
      <c r="C1664" s="706" t="s">
        <v>5066</v>
      </c>
      <c r="D1664" s="418" t="str">
        <f t="shared" si="25"/>
        <v>UBND Xã Bình Mỹ</v>
      </c>
      <c r="E1664" s="505" t="s">
        <v>3078</v>
      </c>
      <c r="F1664" s="505" t="s">
        <v>2341</v>
      </c>
      <c r="G1664" s="415">
        <v>1760</v>
      </c>
      <c r="H1664" s="370"/>
    </row>
    <row r="1665" spans="1:8" s="673" customFormat="1">
      <c r="A1665" s="309">
        <v>430</v>
      </c>
      <c r="B1665" s="277" t="s">
        <v>3091</v>
      </c>
      <c r="C1665" s="706" t="s">
        <v>5066</v>
      </c>
      <c r="D1665" s="418" t="str">
        <f t="shared" si="25"/>
        <v>UBND Xã Bình Mỹ</v>
      </c>
      <c r="E1665" s="505" t="s">
        <v>3089</v>
      </c>
      <c r="F1665" s="505" t="s">
        <v>3092</v>
      </c>
      <c r="G1665" s="415">
        <v>100</v>
      </c>
      <c r="H1665" s="370"/>
    </row>
    <row r="1666" spans="1:8" s="673" customFormat="1">
      <c r="A1666" s="309">
        <v>431</v>
      </c>
      <c r="B1666" s="277" t="s">
        <v>876</v>
      </c>
      <c r="C1666" s="706" t="s">
        <v>5122</v>
      </c>
      <c r="D1666" s="418" t="str">
        <f t="shared" si="25"/>
        <v>UBND Xã Cần Giờ</v>
      </c>
      <c r="E1666" s="505" t="s">
        <v>875</v>
      </c>
      <c r="F1666" s="505" t="s">
        <v>407</v>
      </c>
      <c r="G1666" s="415">
        <v>710</v>
      </c>
      <c r="H1666" s="370"/>
    </row>
    <row r="1667" spans="1:8" s="673" customFormat="1">
      <c r="A1667" s="309">
        <v>432</v>
      </c>
      <c r="B1667" s="277" t="s">
        <v>874</v>
      </c>
      <c r="C1667" s="706" t="s">
        <v>5122</v>
      </c>
      <c r="D1667" s="418" t="str">
        <f t="shared" si="25"/>
        <v>UBND Xã Cần Giờ</v>
      </c>
      <c r="E1667" s="505" t="s">
        <v>865</v>
      </c>
      <c r="F1667" s="505" t="s">
        <v>407</v>
      </c>
      <c r="G1667" s="415">
        <v>1340</v>
      </c>
      <c r="H1667" s="370"/>
    </row>
    <row r="1668" spans="1:8" s="673" customFormat="1">
      <c r="A1668" s="309">
        <v>433</v>
      </c>
      <c r="B1668" s="277" t="s">
        <v>873</v>
      </c>
      <c r="C1668" s="706" t="s">
        <v>5122</v>
      </c>
      <c r="D1668" s="418" t="str">
        <f t="shared" si="25"/>
        <v>UBND Xã Cần Giờ</v>
      </c>
      <c r="E1668" s="505" t="s">
        <v>865</v>
      </c>
      <c r="F1668" s="505" t="s">
        <v>407</v>
      </c>
      <c r="G1668" s="415">
        <v>740</v>
      </c>
      <c r="H1668" s="370"/>
    </row>
    <row r="1669" spans="1:8" s="673" customFormat="1">
      <c r="A1669" s="309">
        <v>434</v>
      </c>
      <c r="B1669" s="277" t="s">
        <v>858</v>
      </c>
      <c r="C1669" s="706" t="s">
        <v>5122</v>
      </c>
      <c r="D1669" s="418" t="str">
        <f t="shared" si="25"/>
        <v>UBND Xã Cần Giờ</v>
      </c>
      <c r="E1669" s="505" t="s">
        <v>865</v>
      </c>
      <c r="F1669" s="505" t="s">
        <v>838</v>
      </c>
      <c r="G1669" s="415">
        <v>2000</v>
      </c>
      <c r="H1669" s="370"/>
    </row>
    <row r="1670" spans="1:8" s="673" customFormat="1">
      <c r="A1670" s="309">
        <v>435</v>
      </c>
      <c r="B1670" s="277" t="s">
        <v>848</v>
      </c>
      <c r="C1670" s="706" t="s">
        <v>5122</v>
      </c>
      <c r="D1670" s="418" t="str">
        <f t="shared" si="25"/>
        <v>UBND Xã Cần Giờ</v>
      </c>
      <c r="E1670" s="505" t="s">
        <v>843</v>
      </c>
      <c r="F1670" s="505" t="s">
        <v>407</v>
      </c>
      <c r="G1670" s="415">
        <v>380</v>
      </c>
      <c r="H1670" s="370"/>
    </row>
    <row r="1671" spans="1:8" s="673" customFormat="1">
      <c r="A1671" s="309">
        <v>436</v>
      </c>
      <c r="B1671" s="277" t="s">
        <v>871</v>
      </c>
      <c r="C1671" s="706" t="s">
        <v>5122</v>
      </c>
      <c r="D1671" s="418" t="str">
        <f t="shared" si="25"/>
        <v>UBND Xã Cần Giờ</v>
      </c>
      <c r="E1671" s="505" t="s">
        <v>727</v>
      </c>
      <c r="F1671" s="505" t="s">
        <v>407</v>
      </c>
      <c r="G1671" s="415">
        <v>1850</v>
      </c>
      <c r="H1671" s="370"/>
    </row>
    <row r="1672" spans="1:8" s="673" customFormat="1">
      <c r="A1672" s="309">
        <v>437</v>
      </c>
      <c r="B1672" s="277" t="s">
        <v>3133</v>
      </c>
      <c r="C1672" s="706" t="s">
        <v>5122</v>
      </c>
      <c r="D1672" s="418" t="str">
        <f t="shared" si="25"/>
        <v>UBND Xã Cần Giờ</v>
      </c>
      <c r="E1672" s="505" t="s">
        <v>3134</v>
      </c>
      <c r="F1672" s="505" t="s">
        <v>2806</v>
      </c>
      <c r="G1672" s="415">
        <v>1690</v>
      </c>
      <c r="H1672" s="370"/>
    </row>
    <row r="1673" spans="1:8" s="673" customFormat="1">
      <c r="A1673" s="309">
        <v>438</v>
      </c>
      <c r="B1673" s="277" t="s">
        <v>3135</v>
      </c>
      <c r="C1673" s="706" t="s">
        <v>5122</v>
      </c>
      <c r="D1673" s="418" t="str">
        <f t="shared" si="25"/>
        <v>UBND Xã Cần Giờ</v>
      </c>
      <c r="E1673" s="505" t="s">
        <v>3134</v>
      </c>
      <c r="F1673" s="505" t="s">
        <v>407</v>
      </c>
      <c r="G1673" s="415">
        <v>2020</v>
      </c>
      <c r="H1673" s="370"/>
    </row>
    <row r="1674" spans="1:8" s="673" customFormat="1">
      <c r="A1674" s="309">
        <v>439</v>
      </c>
      <c r="B1674" s="277" t="s">
        <v>867</v>
      </c>
      <c r="C1674" s="706" t="s">
        <v>5122</v>
      </c>
      <c r="D1674" s="418" t="str">
        <f t="shared" si="25"/>
        <v>UBND Xã Cần Giờ</v>
      </c>
      <c r="E1674" s="505" t="s">
        <v>3134</v>
      </c>
      <c r="F1674" s="505" t="s">
        <v>2806</v>
      </c>
      <c r="G1674" s="415">
        <v>636</v>
      </c>
      <c r="H1674" s="370"/>
    </row>
    <row r="1675" spans="1:8" s="673" customFormat="1">
      <c r="A1675" s="309">
        <v>440</v>
      </c>
      <c r="B1675" s="277" t="s">
        <v>3136</v>
      </c>
      <c r="C1675" s="706" t="s">
        <v>5122</v>
      </c>
      <c r="D1675" s="418" t="str">
        <f t="shared" si="25"/>
        <v>UBND Xã Cần Giờ</v>
      </c>
      <c r="E1675" s="505" t="s">
        <v>865</v>
      </c>
      <c r="F1675" s="505" t="s">
        <v>407</v>
      </c>
      <c r="G1675" s="415">
        <v>990</v>
      </c>
      <c r="H1675" s="370"/>
    </row>
    <row r="1676" spans="1:8" s="673" customFormat="1">
      <c r="A1676" s="309">
        <v>441</v>
      </c>
      <c r="B1676" s="277" t="s">
        <v>864</v>
      </c>
      <c r="C1676" s="706" t="s">
        <v>5122</v>
      </c>
      <c r="D1676" s="418" t="str">
        <f t="shared" si="25"/>
        <v>UBND Xã Cần Giờ</v>
      </c>
      <c r="E1676" s="505" t="s">
        <v>717</v>
      </c>
      <c r="F1676" s="505" t="s">
        <v>407</v>
      </c>
      <c r="G1676" s="415">
        <v>1520</v>
      </c>
      <c r="H1676" s="370"/>
    </row>
    <row r="1677" spans="1:8" s="673" customFormat="1">
      <c r="A1677" s="309">
        <v>442</v>
      </c>
      <c r="B1677" s="277" t="s">
        <v>863</v>
      </c>
      <c r="C1677" s="706" t="s">
        <v>5122</v>
      </c>
      <c r="D1677" s="418" t="str">
        <f t="shared" si="25"/>
        <v>UBND Xã Cần Giờ</v>
      </c>
      <c r="E1677" s="505" t="s">
        <v>856</v>
      </c>
      <c r="F1677" s="505" t="s">
        <v>862</v>
      </c>
      <c r="G1677" s="415">
        <v>1463</v>
      </c>
      <c r="H1677" s="370"/>
    </row>
    <row r="1678" spans="1:8" s="673" customFormat="1">
      <c r="A1678" s="309">
        <v>443</v>
      </c>
      <c r="B1678" s="277" t="s">
        <v>861</v>
      </c>
      <c r="C1678" s="706" t="s">
        <v>5122</v>
      </c>
      <c r="D1678" s="418" t="str">
        <f t="shared" si="25"/>
        <v>UBND Xã Cần Giờ</v>
      </c>
      <c r="E1678" s="505" t="s">
        <v>3137</v>
      </c>
      <c r="F1678" s="505" t="s">
        <v>407</v>
      </c>
      <c r="G1678" s="415">
        <v>1630</v>
      </c>
      <c r="H1678" s="370"/>
    </row>
    <row r="1679" spans="1:8" s="673" customFormat="1">
      <c r="A1679" s="309">
        <v>444</v>
      </c>
      <c r="B1679" s="277" t="s">
        <v>3138</v>
      </c>
      <c r="C1679" s="706" t="s">
        <v>5122</v>
      </c>
      <c r="D1679" s="418" t="str">
        <f t="shared" si="25"/>
        <v>UBND Xã Cần Giờ</v>
      </c>
      <c r="E1679" s="505" t="s">
        <v>843</v>
      </c>
      <c r="F1679" s="505" t="s">
        <v>407</v>
      </c>
      <c r="G1679" s="415">
        <v>1630</v>
      </c>
      <c r="H1679" s="370"/>
    </row>
    <row r="1680" spans="1:8" s="673" customFormat="1">
      <c r="A1680" s="309">
        <v>445</v>
      </c>
      <c r="B1680" s="277" t="s">
        <v>859</v>
      </c>
      <c r="C1680" s="706" t="s">
        <v>5122</v>
      </c>
      <c r="D1680" s="418" t="str">
        <f t="shared" si="25"/>
        <v>UBND Xã Cần Giờ</v>
      </c>
      <c r="E1680" s="505" t="s">
        <v>856</v>
      </c>
      <c r="F1680" s="505" t="s">
        <v>407</v>
      </c>
      <c r="G1680" s="415">
        <v>2260</v>
      </c>
      <c r="H1680" s="370"/>
    </row>
    <row r="1681" spans="1:8" s="673" customFormat="1">
      <c r="A1681" s="309">
        <v>446</v>
      </c>
      <c r="B1681" s="277" t="s">
        <v>831</v>
      </c>
      <c r="C1681" s="706" t="s">
        <v>5122</v>
      </c>
      <c r="D1681" s="418" t="str">
        <f t="shared" si="25"/>
        <v>UBND Xã Cần Giờ</v>
      </c>
      <c r="E1681" s="505" t="s">
        <v>858</v>
      </c>
      <c r="F1681" s="505" t="s">
        <v>838</v>
      </c>
      <c r="G1681" s="415">
        <v>1340</v>
      </c>
      <c r="H1681" s="370"/>
    </row>
    <row r="1682" spans="1:8" s="673" customFormat="1">
      <c r="A1682" s="309">
        <v>447</v>
      </c>
      <c r="B1682" s="277" t="s">
        <v>857</v>
      </c>
      <c r="C1682" s="706" t="s">
        <v>5122</v>
      </c>
      <c r="D1682" s="418" t="str">
        <f t="shared" si="25"/>
        <v>UBND Xã Cần Giờ</v>
      </c>
      <c r="E1682" s="505" t="s">
        <v>856</v>
      </c>
      <c r="F1682" s="505" t="s">
        <v>407</v>
      </c>
      <c r="G1682" s="415">
        <v>600</v>
      </c>
      <c r="H1682" s="370"/>
    </row>
    <row r="1683" spans="1:8" s="673" customFormat="1">
      <c r="A1683" s="309">
        <v>448</v>
      </c>
      <c r="B1683" s="277" t="s">
        <v>855</v>
      </c>
      <c r="C1683" s="706" t="s">
        <v>5122</v>
      </c>
      <c r="D1683" s="418" t="str">
        <f t="shared" si="25"/>
        <v>UBND Xã Cần Giờ</v>
      </c>
      <c r="E1683" s="505" t="s">
        <v>854</v>
      </c>
      <c r="F1683" s="505" t="s">
        <v>841</v>
      </c>
      <c r="G1683" s="415">
        <v>3800</v>
      </c>
      <c r="H1683" s="370"/>
    </row>
    <row r="1684" spans="1:8" s="673" customFormat="1">
      <c r="A1684" s="309">
        <v>449</v>
      </c>
      <c r="B1684" s="277" t="s">
        <v>851</v>
      </c>
      <c r="C1684" s="706" t="s">
        <v>5122</v>
      </c>
      <c r="D1684" s="418" t="str">
        <f t="shared" si="25"/>
        <v>UBND Xã Cần Giờ</v>
      </c>
      <c r="E1684" s="505" t="s">
        <v>850</v>
      </c>
      <c r="F1684" s="505" t="s">
        <v>844</v>
      </c>
      <c r="G1684" s="415">
        <v>4010</v>
      </c>
      <c r="H1684" s="370"/>
    </row>
    <row r="1685" spans="1:8" s="673" customFormat="1">
      <c r="A1685" s="309">
        <v>450</v>
      </c>
      <c r="B1685" s="277" t="s">
        <v>849</v>
      </c>
      <c r="C1685" s="706" t="s">
        <v>5122</v>
      </c>
      <c r="D1685" s="418" t="str">
        <f t="shared" si="25"/>
        <v>UBND Xã Cần Giờ</v>
      </c>
      <c r="E1685" s="505" t="s">
        <v>843</v>
      </c>
      <c r="F1685" s="505" t="s">
        <v>407</v>
      </c>
      <c r="G1685" s="415">
        <v>1030</v>
      </c>
      <c r="H1685" s="370"/>
    </row>
    <row r="1686" spans="1:8" s="673" customFormat="1">
      <c r="A1686" s="309">
        <v>451</v>
      </c>
      <c r="B1686" s="277" t="s">
        <v>847</v>
      </c>
      <c r="C1686" s="706" t="s">
        <v>5122</v>
      </c>
      <c r="D1686" s="418" t="str">
        <f t="shared" si="25"/>
        <v>UBND Xã Cần Giờ</v>
      </c>
      <c r="E1686" s="505" t="s">
        <v>853</v>
      </c>
      <c r="F1686" s="505" t="s">
        <v>846</v>
      </c>
      <c r="G1686" s="415">
        <v>2420</v>
      </c>
      <c r="H1686" s="370"/>
    </row>
    <row r="1687" spans="1:8" s="673" customFormat="1">
      <c r="A1687" s="309">
        <v>452</v>
      </c>
      <c r="B1687" s="277" t="s">
        <v>845</v>
      </c>
      <c r="C1687" s="706" t="s">
        <v>5122</v>
      </c>
      <c r="D1687" s="418" t="str">
        <f t="shared" si="25"/>
        <v>UBND Xã Cần Giờ</v>
      </c>
      <c r="E1687" s="505" t="s">
        <v>3137</v>
      </c>
      <c r="F1687" s="505" t="s">
        <v>843</v>
      </c>
      <c r="G1687" s="415">
        <v>880</v>
      </c>
      <c r="H1687" s="370"/>
    </row>
    <row r="1688" spans="1:8" s="673" customFormat="1">
      <c r="A1688" s="309">
        <v>453</v>
      </c>
      <c r="B1688" s="277" t="s">
        <v>842</v>
      </c>
      <c r="C1688" s="706" t="s">
        <v>5122</v>
      </c>
      <c r="D1688" s="418" t="str">
        <f t="shared" si="25"/>
        <v>UBND Xã Cần Giờ</v>
      </c>
      <c r="E1688" s="505" t="s">
        <v>853</v>
      </c>
      <c r="F1688" s="505" t="s">
        <v>739</v>
      </c>
      <c r="G1688" s="415">
        <v>3700</v>
      </c>
      <c r="H1688" s="370"/>
    </row>
    <row r="1689" spans="1:8" s="673" customFormat="1">
      <c r="A1689" s="309">
        <v>454</v>
      </c>
      <c r="B1689" s="277" t="s">
        <v>833</v>
      </c>
      <c r="C1689" s="706" t="s">
        <v>5122</v>
      </c>
      <c r="D1689" s="418" t="str">
        <f t="shared" si="25"/>
        <v>UBND Xã Cần Giờ</v>
      </c>
      <c r="E1689" s="505" t="s">
        <v>757</v>
      </c>
      <c r="F1689" s="505" t="s">
        <v>407</v>
      </c>
      <c r="G1689" s="415">
        <v>2480</v>
      </c>
      <c r="H1689" s="370"/>
    </row>
    <row r="1690" spans="1:8" s="673" customFormat="1">
      <c r="A1690" s="309">
        <v>455</v>
      </c>
      <c r="B1690" s="277" t="s">
        <v>839</v>
      </c>
      <c r="C1690" s="706" t="s">
        <v>5122</v>
      </c>
      <c r="D1690" s="418" t="str">
        <f t="shared" si="25"/>
        <v>UBND Xã Cần Giờ</v>
      </c>
      <c r="E1690" s="505" t="s">
        <v>806</v>
      </c>
      <c r="F1690" s="505" t="s">
        <v>838</v>
      </c>
      <c r="G1690" s="415">
        <v>3560</v>
      </c>
      <c r="H1690" s="370"/>
    </row>
    <row r="1691" spans="1:8" s="673" customFormat="1">
      <c r="A1691" s="309">
        <v>456</v>
      </c>
      <c r="B1691" s="277" t="s">
        <v>3139</v>
      </c>
      <c r="C1691" s="706" t="s">
        <v>5122</v>
      </c>
      <c r="D1691" s="418" t="str">
        <f t="shared" si="25"/>
        <v>UBND Xã Cần Giờ</v>
      </c>
      <c r="E1691" s="505" t="s">
        <v>806</v>
      </c>
      <c r="F1691" s="505" t="s">
        <v>407</v>
      </c>
      <c r="G1691" s="415">
        <v>1510</v>
      </c>
      <c r="H1691" s="370"/>
    </row>
    <row r="1692" spans="1:8" s="673" customFormat="1">
      <c r="A1692" s="309">
        <v>457</v>
      </c>
      <c r="B1692" s="277" t="s">
        <v>723</v>
      </c>
      <c r="C1692" s="706" t="s">
        <v>5122</v>
      </c>
      <c r="D1692" s="418" t="str">
        <f t="shared" si="25"/>
        <v>UBND Xã Cần Giờ</v>
      </c>
      <c r="E1692" s="505" t="s">
        <v>757</v>
      </c>
      <c r="F1692" s="505" t="s">
        <v>407</v>
      </c>
      <c r="G1692" s="415">
        <v>2140</v>
      </c>
      <c r="H1692" s="370"/>
    </row>
    <row r="1693" spans="1:8" s="673" customFormat="1">
      <c r="A1693" s="309">
        <v>458</v>
      </c>
      <c r="B1693" s="277" t="s">
        <v>835</v>
      </c>
      <c r="C1693" s="706" t="s">
        <v>5122</v>
      </c>
      <c r="D1693" s="418" t="str">
        <f t="shared" si="25"/>
        <v>UBND Xã Cần Giờ</v>
      </c>
      <c r="E1693" s="505" t="s">
        <v>757</v>
      </c>
      <c r="F1693" s="505" t="s">
        <v>407</v>
      </c>
      <c r="G1693" s="415">
        <v>1600</v>
      </c>
      <c r="H1693" s="370"/>
    </row>
    <row r="1694" spans="1:8" s="673" customFormat="1">
      <c r="A1694" s="309">
        <v>459</v>
      </c>
      <c r="B1694" s="277" t="s">
        <v>834</v>
      </c>
      <c r="C1694" s="706" t="s">
        <v>5122</v>
      </c>
      <c r="D1694" s="418" t="str">
        <f t="shared" si="25"/>
        <v>UBND Xã Cần Giờ</v>
      </c>
      <c r="E1694" s="505" t="s">
        <v>757</v>
      </c>
      <c r="F1694" s="505" t="s">
        <v>833</v>
      </c>
      <c r="G1694" s="415">
        <v>982</v>
      </c>
      <c r="H1694" s="370"/>
    </row>
    <row r="1695" spans="1:8" s="673" customFormat="1">
      <c r="A1695" s="309">
        <v>460</v>
      </c>
      <c r="B1695" s="277" t="s">
        <v>3140</v>
      </c>
      <c r="C1695" s="706" t="s">
        <v>5122</v>
      </c>
      <c r="D1695" s="418" t="str">
        <f t="shared" si="25"/>
        <v>UBND Xã Cần Giờ</v>
      </c>
      <c r="E1695" s="505" t="s">
        <v>757</v>
      </c>
      <c r="F1695" s="505" t="s">
        <v>831</v>
      </c>
      <c r="G1695" s="415">
        <v>2300</v>
      </c>
      <c r="H1695" s="370"/>
    </row>
    <row r="1696" spans="1:8" s="673" customFormat="1">
      <c r="A1696" s="309">
        <v>461</v>
      </c>
      <c r="B1696" s="277" t="s">
        <v>3141</v>
      </c>
      <c r="C1696" s="706" t="s">
        <v>5122</v>
      </c>
      <c r="D1696" s="418" t="str">
        <f t="shared" si="25"/>
        <v>UBND Xã Cần Giờ</v>
      </c>
      <c r="E1696" s="505" t="s">
        <v>757</v>
      </c>
      <c r="F1696" s="505" t="s">
        <v>407</v>
      </c>
      <c r="G1696" s="415">
        <v>2240</v>
      </c>
      <c r="H1696" s="370"/>
    </row>
    <row r="1697" spans="1:8" s="673" customFormat="1">
      <c r="A1697" s="309">
        <v>462</v>
      </c>
      <c r="B1697" s="277" t="s">
        <v>829</v>
      </c>
      <c r="C1697" s="706" t="s">
        <v>5122</v>
      </c>
      <c r="D1697" s="418" t="str">
        <f t="shared" si="25"/>
        <v>UBND Xã Cần Giờ</v>
      </c>
      <c r="E1697" s="505" t="s">
        <v>828</v>
      </c>
      <c r="F1697" s="505" t="s">
        <v>407</v>
      </c>
      <c r="G1697" s="415">
        <v>1410</v>
      </c>
      <c r="H1697" s="370"/>
    </row>
    <row r="1698" spans="1:8" s="673" customFormat="1">
      <c r="A1698" s="309">
        <v>463</v>
      </c>
      <c r="B1698" s="277" t="s">
        <v>743</v>
      </c>
      <c r="C1698" s="706" t="s">
        <v>5122</v>
      </c>
      <c r="D1698" s="418" t="str">
        <f t="shared" si="25"/>
        <v>UBND Xã Cần Giờ</v>
      </c>
      <c r="E1698" s="505" t="s">
        <v>739</v>
      </c>
      <c r="F1698" s="505" t="s">
        <v>826</v>
      </c>
      <c r="G1698" s="415">
        <v>3260</v>
      </c>
      <c r="H1698" s="370"/>
    </row>
    <row r="1699" spans="1:8" s="673" customFormat="1">
      <c r="A1699" s="309">
        <v>464</v>
      </c>
      <c r="B1699" s="277" t="s">
        <v>730</v>
      </c>
      <c r="C1699" s="706" t="s">
        <v>5122</v>
      </c>
      <c r="D1699" s="418" t="str">
        <f t="shared" si="25"/>
        <v>UBND Xã Cần Giờ</v>
      </c>
      <c r="E1699" s="505" t="s">
        <v>717</v>
      </c>
      <c r="F1699" s="505" t="s">
        <v>407</v>
      </c>
      <c r="G1699" s="415">
        <v>1800</v>
      </c>
      <c r="H1699" s="370"/>
    </row>
    <row r="1700" spans="1:8" s="673" customFormat="1">
      <c r="A1700" s="309">
        <v>465</v>
      </c>
      <c r="B1700" s="277" t="s">
        <v>728</v>
      </c>
      <c r="C1700" s="706" t="s">
        <v>5122</v>
      </c>
      <c r="D1700" s="418" t="str">
        <f t="shared" si="25"/>
        <v>UBND Xã Cần Giờ</v>
      </c>
      <c r="E1700" s="505" t="s">
        <v>727</v>
      </c>
      <c r="F1700" s="505" t="s">
        <v>407</v>
      </c>
      <c r="G1700" s="415">
        <v>2170</v>
      </c>
      <c r="H1700" s="370"/>
    </row>
    <row r="1701" spans="1:8" s="673" customFormat="1">
      <c r="A1701" s="309">
        <v>466</v>
      </c>
      <c r="B1701" s="277" t="s">
        <v>388</v>
      </c>
      <c r="C1701" s="706" t="s">
        <v>5122</v>
      </c>
      <c r="D1701" s="418" t="str">
        <f t="shared" si="25"/>
        <v>UBND Xã Cần Giờ</v>
      </c>
      <c r="E1701" s="505" t="s">
        <v>3158</v>
      </c>
      <c r="F1701" s="505" t="s">
        <v>407</v>
      </c>
      <c r="G1701" s="415">
        <v>2100</v>
      </c>
      <c r="H1701" s="370"/>
    </row>
    <row r="1702" spans="1:8" s="673" customFormat="1">
      <c r="A1702" s="309">
        <v>467</v>
      </c>
      <c r="B1702" s="277" t="s">
        <v>724</v>
      </c>
      <c r="C1702" s="706" t="s">
        <v>5122</v>
      </c>
      <c r="D1702" s="418" t="str">
        <f t="shared" si="25"/>
        <v>UBND Xã Cần Giờ</v>
      </c>
      <c r="E1702" s="505" t="s">
        <v>3158</v>
      </c>
      <c r="F1702" s="505" t="s">
        <v>723</v>
      </c>
      <c r="G1702" s="415">
        <v>1210</v>
      </c>
      <c r="H1702" s="370"/>
    </row>
    <row r="1703" spans="1:8" s="673" customFormat="1">
      <c r="A1703" s="309">
        <v>468</v>
      </c>
      <c r="B1703" s="277" t="s">
        <v>3163</v>
      </c>
      <c r="C1703" s="706" t="s">
        <v>5122</v>
      </c>
      <c r="D1703" s="418" t="str">
        <f t="shared" si="25"/>
        <v>UBND Xã Cần Giờ</v>
      </c>
      <c r="E1703" s="505" t="s">
        <v>3158</v>
      </c>
      <c r="F1703" s="505" t="s">
        <v>848</v>
      </c>
      <c r="G1703" s="415">
        <v>4440</v>
      </c>
      <c r="H1703" s="370"/>
    </row>
    <row r="1704" spans="1:8" s="673" customFormat="1">
      <c r="A1704" s="309">
        <v>469</v>
      </c>
      <c r="B1704" s="277" t="s">
        <v>843</v>
      </c>
      <c r="C1704" s="706" t="s">
        <v>5122</v>
      </c>
      <c r="D1704" s="418" t="str">
        <f t="shared" si="25"/>
        <v>UBND Xã Cần Giờ</v>
      </c>
      <c r="E1704" s="505" t="s">
        <v>3158</v>
      </c>
      <c r="F1704" s="505" t="s">
        <v>848</v>
      </c>
      <c r="G1704" s="415">
        <v>5540</v>
      </c>
      <c r="H1704" s="370"/>
    </row>
    <row r="1705" spans="1:8" s="673" customFormat="1">
      <c r="A1705" s="309">
        <v>470</v>
      </c>
      <c r="B1705" s="277" t="s">
        <v>846</v>
      </c>
      <c r="C1705" s="706" t="s">
        <v>5122</v>
      </c>
      <c r="D1705" s="418" t="str">
        <f t="shared" si="25"/>
        <v>UBND Xã Cần Giờ</v>
      </c>
      <c r="E1705" s="505" t="s">
        <v>806</v>
      </c>
      <c r="F1705" s="505" t="s">
        <v>854</v>
      </c>
      <c r="G1705" s="415">
        <v>8800</v>
      </c>
      <c r="H1705" s="370"/>
    </row>
    <row r="1706" spans="1:8" s="673" customFormat="1">
      <c r="A1706" s="309">
        <v>471</v>
      </c>
      <c r="B1706" s="277" t="s">
        <v>3164</v>
      </c>
      <c r="C1706" s="706" t="s">
        <v>5122</v>
      </c>
      <c r="D1706" s="418" t="str">
        <f t="shared" si="25"/>
        <v>UBND Xã Cần Giờ</v>
      </c>
      <c r="E1706" s="505" t="s">
        <v>739</v>
      </c>
      <c r="F1706" s="505" t="s">
        <v>3165</v>
      </c>
      <c r="G1706" s="415">
        <v>3750</v>
      </c>
      <c r="H1706" s="370"/>
    </row>
    <row r="1707" spans="1:8" s="673" customFormat="1">
      <c r="A1707" s="309">
        <v>472</v>
      </c>
      <c r="B1707" s="277" t="s">
        <v>2745</v>
      </c>
      <c r="C1707" s="706" t="s">
        <v>5118</v>
      </c>
      <c r="D1707" s="418" t="str">
        <f t="shared" si="25"/>
        <v>UBND Xã Củ Chi</v>
      </c>
      <c r="E1707" s="505" t="s">
        <v>2746</v>
      </c>
      <c r="F1707" s="505" t="s">
        <v>2209</v>
      </c>
      <c r="G1707" s="415">
        <v>1561</v>
      </c>
      <c r="H1707" s="370"/>
    </row>
    <row r="1708" spans="1:8" s="673" customFormat="1">
      <c r="A1708" s="309">
        <v>473</v>
      </c>
      <c r="B1708" s="279" t="s">
        <v>2774</v>
      </c>
      <c r="C1708" s="706" t="s">
        <v>5118</v>
      </c>
      <c r="D1708" s="418" t="str">
        <f t="shared" si="25"/>
        <v>UBND Xã Củ Chi</v>
      </c>
      <c r="E1708" s="505" t="s">
        <v>1113</v>
      </c>
      <c r="F1708" s="505" t="s">
        <v>407</v>
      </c>
      <c r="G1708" s="415">
        <v>390</v>
      </c>
      <c r="H1708" s="370"/>
    </row>
    <row r="1709" spans="1:8" s="673" customFormat="1">
      <c r="A1709" s="309">
        <v>474</v>
      </c>
      <c r="B1709" s="281" t="s">
        <v>2807</v>
      </c>
      <c r="C1709" s="706" t="s">
        <v>5118</v>
      </c>
      <c r="D1709" s="418" t="str">
        <f t="shared" si="25"/>
        <v>UBND Xã Củ Chi</v>
      </c>
      <c r="E1709" s="505" t="s">
        <v>2808</v>
      </c>
      <c r="F1709" s="505" t="s">
        <v>2809</v>
      </c>
      <c r="G1709" s="415">
        <v>1100</v>
      </c>
      <c r="H1709" s="370"/>
    </row>
    <row r="1710" spans="1:8" s="673" customFormat="1">
      <c r="A1710" s="309">
        <v>475</v>
      </c>
      <c r="B1710" s="279" t="s">
        <v>2810</v>
      </c>
      <c r="C1710" s="706" t="s">
        <v>5118</v>
      </c>
      <c r="D1710" s="418" t="str">
        <f t="shared" si="25"/>
        <v>UBND Xã Củ Chi</v>
      </c>
      <c r="E1710" s="505" t="s">
        <v>1117</v>
      </c>
      <c r="F1710" s="505" t="s">
        <v>2459</v>
      </c>
      <c r="G1710" s="415">
        <v>1800</v>
      </c>
      <c r="H1710" s="370"/>
    </row>
    <row r="1711" spans="1:8" s="673" customFormat="1">
      <c r="A1711" s="309">
        <v>476</v>
      </c>
      <c r="B1711" s="279" t="s">
        <v>2811</v>
      </c>
      <c r="C1711" s="706" t="s">
        <v>5118</v>
      </c>
      <c r="D1711" s="418" t="str">
        <f t="shared" si="25"/>
        <v>UBND Xã Củ Chi</v>
      </c>
      <c r="E1711" s="505" t="s">
        <v>1113</v>
      </c>
      <c r="F1711" s="505" t="s">
        <v>2459</v>
      </c>
      <c r="G1711" s="415">
        <v>851</v>
      </c>
      <c r="H1711" s="370"/>
    </row>
    <row r="1712" spans="1:8" s="673" customFormat="1">
      <c r="A1712" s="309">
        <v>477</v>
      </c>
      <c r="B1712" s="277" t="s">
        <v>3086</v>
      </c>
      <c r="C1712" s="706" t="s">
        <v>5118</v>
      </c>
      <c r="D1712" s="418" t="str">
        <f t="shared" si="25"/>
        <v>UBND Xã Củ Chi</v>
      </c>
      <c r="E1712" s="505" t="s">
        <v>2458</v>
      </c>
      <c r="F1712" s="505" t="s">
        <v>3087</v>
      </c>
      <c r="G1712" s="415">
        <v>500</v>
      </c>
      <c r="H1712" s="370"/>
    </row>
    <row r="1713" spans="1:8" s="673" customFormat="1">
      <c r="A1713" s="309">
        <v>478</v>
      </c>
      <c r="B1713" s="277" t="s">
        <v>3093</v>
      </c>
      <c r="C1713" s="706" t="s">
        <v>5118</v>
      </c>
      <c r="D1713" s="418" t="str">
        <f t="shared" si="25"/>
        <v>UBND Xã Củ Chi</v>
      </c>
      <c r="E1713" s="505" t="s">
        <v>3089</v>
      </c>
      <c r="F1713" s="505" t="s">
        <v>3085</v>
      </c>
      <c r="G1713" s="415">
        <v>200</v>
      </c>
      <c r="H1713" s="370"/>
    </row>
    <row r="1714" spans="1:8" s="673" customFormat="1">
      <c r="A1714" s="309">
        <v>479</v>
      </c>
      <c r="B1714" s="277" t="s">
        <v>3095</v>
      </c>
      <c r="C1714" s="706" t="s">
        <v>5118</v>
      </c>
      <c r="D1714" s="418" t="str">
        <f t="shared" si="25"/>
        <v>UBND Xã Củ Chi</v>
      </c>
      <c r="E1714" s="505" t="s">
        <v>3089</v>
      </c>
      <c r="F1714" s="505" t="s">
        <v>3085</v>
      </c>
      <c r="G1714" s="415">
        <v>100</v>
      </c>
      <c r="H1714" s="370"/>
    </row>
    <row r="1715" spans="1:8" s="673" customFormat="1">
      <c r="A1715" s="309">
        <v>480</v>
      </c>
      <c r="B1715" s="277" t="s">
        <v>2520</v>
      </c>
      <c r="C1715" s="706" t="s">
        <v>5067</v>
      </c>
      <c r="D1715" s="418" t="str">
        <f t="shared" si="25"/>
        <v>UBND Xã Đông Thạnh</v>
      </c>
      <c r="E1715" s="505" t="s">
        <v>1035</v>
      </c>
      <c r="F1715" s="505" t="s">
        <v>2521</v>
      </c>
      <c r="G1715" s="415">
        <v>1353</v>
      </c>
      <c r="H1715" s="370"/>
    </row>
    <row r="1716" spans="1:8" s="673" customFormat="1">
      <c r="A1716" s="309">
        <v>481</v>
      </c>
      <c r="B1716" s="275" t="s">
        <v>4944</v>
      </c>
      <c r="C1716" s="706" t="s">
        <v>5067</v>
      </c>
      <c r="D1716" s="418" t="str">
        <f t="shared" si="25"/>
        <v>UBND Xã Đông Thạnh</v>
      </c>
      <c r="E1716" s="287" t="s">
        <v>636</v>
      </c>
      <c r="F1716" s="287" t="s">
        <v>544</v>
      </c>
      <c r="G1716" s="415">
        <v>5300</v>
      </c>
      <c r="H1716" s="287" t="s">
        <v>176</v>
      </c>
    </row>
    <row r="1717" spans="1:8" s="673" customFormat="1">
      <c r="A1717" s="309">
        <v>482</v>
      </c>
      <c r="B1717" s="275" t="s">
        <v>4949</v>
      </c>
      <c r="C1717" s="706" t="s">
        <v>5067</v>
      </c>
      <c r="D1717" s="418" t="str">
        <f t="shared" si="25"/>
        <v>UBND Xã Đông Thạnh</v>
      </c>
      <c r="E1717" s="505" t="s">
        <v>2449</v>
      </c>
      <c r="F1717" s="505" t="s">
        <v>407</v>
      </c>
      <c r="G1717" s="415">
        <v>620</v>
      </c>
      <c r="H1717" s="370" t="s">
        <v>4762</v>
      </c>
    </row>
    <row r="1718" spans="1:8" s="673" customFormat="1" ht="33">
      <c r="A1718" s="309">
        <v>483</v>
      </c>
      <c r="B1718" s="275" t="s">
        <v>4952</v>
      </c>
      <c r="C1718" s="706" t="s">
        <v>5067</v>
      </c>
      <c r="D1718" s="418" t="str">
        <f t="shared" si="25"/>
        <v>UBND Xã Đông Thạnh</v>
      </c>
      <c r="E1718" s="287" t="s">
        <v>4953</v>
      </c>
      <c r="F1718" s="287" t="s">
        <v>407</v>
      </c>
      <c r="G1718" s="415">
        <v>300</v>
      </c>
      <c r="H1718" s="287"/>
    </row>
    <row r="1719" spans="1:8" s="673" customFormat="1" ht="33">
      <c r="A1719" s="309">
        <v>484</v>
      </c>
      <c r="B1719" s="275" t="s">
        <v>4954</v>
      </c>
      <c r="C1719" s="706" t="s">
        <v>5067</v>
      </c>
      <c r="D1719" s="418" t="str">
        <f t="shared" si="25"/>
        <v>UBND Xã Đông Thạnh</v>
      </c>
      <c r="E1719" s="287" t="s">
        <v>4953</v>
      </c>
      <c r="F1719" s="287" t="s">
        <v>407</v>
      </c>
      <c r="G1719" s="415">
        <v>300</v>
      </c>
      <c r="H1719" s="287"/>
    </row>
    <row r="1720" spans="1:8" s="673" customFormat="1">
      <c r="A1720" s="309">
        <v>485</v>
      </c>
      <c r="B1720" s="277" t="s">
        <v>3520</v>
      </c>
      <c r="C1720" s="706" t="s">
        <v>5067</v>
      </c>
      <c r="D1720" s="418" t="str">
        <f t="shared" si="25"/>
        <v>UBND Xã Đông Thạnh</v>
      </c>
      <c r="E1720" s="505" t="s">
        <v>433</v>
      </c>
      <c r="F1720" s="505" t="s">
        <v>407</v>
      </c>
      <c r="G1720" s="415">
        <v>66</v>
      </c>
      <c r="H1720" s="370"/>
    </row>
    <row r="1721" spans="1:8" s="673" customFormat="1">
      <c r="A1721" s="309">
        <v>486</v>
      </c>
      <c r="B1721" s="277" t="s">
        <v>2535</v>
      </c>
      <c r="C1721" s="706" t="s">
        <v>5067</v>
      </c>
      <c r="D1721" s="418" t="str">
        <f t="shared" si="25"/>
        <v>UBND Xã Đông Thạnh</v>
      </c>
      <c r="E1721" s="505" t="s">
        <v>433</v>
      </c>
      <c r="F1721" s="505" t="s">
        <v>407</v>
      </c>
      <c r="G1721" s="415">
        <v>334</v>
      </c>
      <c r="H1721" s="370"/>
    </row>
    <row r="1722" spans="1:8" s="673" customFormat="1">
      <c r="A1722" s="309">
        <v>487</v>
      </c>
      <c r="B1722" s="277" t="s">
        <v>2536</v>
      </c>
      <c r="C1722" s="706" t="s">
        <v>5067</v>
      </c>
      <c r="D1722" s="418" t="str">
        <f t="shared" si="25"/>
        <v>UBND Xã Đông Thạnh</v>
      </c>
      <c r="E1722" s="505" t="s">
        <v>2537</v>
      </c>
      <c r="F1722" s="505" t="s">
        <v>407</v>
      </c>
      <c r="G1722" s="415">
        <v>126</v>
      </c>
      <c r="H1722" s="370"/>
    </row>
    <row r="1723" spans="1:8" s="673" customFormat="1">
      <c r="A1723" s="309">
        <v>488</v>
      </c>
      <c r="B1723" s="277" t="s">
        <v>2538</v>
      </c>
      <c r="C1723" s="706" t="s">
        <v>5067</v>
      </c>
      <c r="D1723" s="418" t="str">
        <f t="shared" si="25"/>
        <v>UBND Xã Đông Thạnh</v>
      </c>
      <c r="E1723" s="505" t="s">
        <v>433</v>
      </c>
      <c r="F1723" s="505" t="s">
        <v>407</v>
      </c>
      <c r="G1723" s="415">
        <v>290</v>
      </c>
      <c r="H1723" s="370"/>
    </row>
    <row r="1724" spans="1:8" s="673" customFormat="1">
      <c r="A1724" s="309">
        <v>489</v>
      </c>
      <c r="B1724" s="277" t="s">
        <v>2539</v>
      </c>
      <c r="C1724" s="706" t="s">
        <v>5067</v>
      </c>
      <c r="D1724" s="418" t="str">
        <f t="shared" si="25"/>
        <v>UBND Xã Đông Thạnh</v>
      </c>
      <c r="E1724" s="505" t="s">
        <v>433</v>
      </c>
      <c r="F1724" s="505" t="s">
        <v>407</v>
      </c>
      <c r="G1724" s="415">
        <v>173</v>
      </c>
      <c r="H1724" s="370"/>
    </row>
    <row r="1725" spans="1:8" s="673" customFormat="1">
      <c r="A1725" s="309">
        <v>490</v>
      </c>
      <c r="B1725" s="277" t="s">
        <v>2540</v>
      </c>
      <c r="C1725" s="706" t="s">
        <v>5067</v>
      </c>
      <c r="D1725" s="418" t="str">
        <f t="shared" si="25"/>
        <v>UBND Xã Đông Thạnh</v>
      </c>
      <c r="E1725" s="505" t="s">
        <v>433</v>
      </c>
      <c r="F1725" s="505" t="s">
        <v>407</v>
      </c>
      <c r="G1725" s="415">
        <v>350</v>
      </c>
      <c r="H1725" s="370"/>
    </row>
    <row r="1726" spans="1:8" s="673" customFormat="1">
      <c r="A1726" s="309">
        <v>491</v>
      </c>
      <c r="B1726" s="277" t="s">
        <v>2541</v>
      </c>
      <c r="C1726" s="706" t="s">
        <v>5067</v>
      </c>
      <c r="D1726" s="418" t="str">
        <f t="shared" si="25"/>
        <v>UBND Xã Đông Thạnh</v>
      </c>
      <c r="E1726" s="505" t="s">
        <v>433</v>
      </c>
      <c r="F1726" s="505" t="s">
        <v>407</v>
      </c>
      <c r="G1726" s="415">
        <v>759</v>
      </c>
      <c r="H1726" s="370"/>
    </row>
    <row r="1727" spans="1:8" s="673" customFormat="1">
      <c r="A1727" s="309">
        <v>492</v>
      </c>
      <c r="B1727" s="277" t="s">
        <v>2542</v>
      </c>
      <c r="C1727" s="706" t="s">
        <v>5067</v>
      </c>
      <c r="D1727" s="418" t="str">
        <f t="shared" ref="D1727:D1790" si="26">"UBND "&amp;C1727</f>
        <v>UBND Xã Đông Thạnh</v>
      </c>
      <c r="E1727" s="505" t="s">
        <v>433</v>
      </c>
      <c r="F1727" s="505" t="s">
        <v>407</v>
      </c>
      <c r="G1727" s="415">
        <v>280</v>
      </c>
      <c r="H1727" s="370"/>
    </row>
    <row r="1728" spans="1:8" s="673" customFormat="1">
      <c r="A1728" s="309">
        <v>493</v>
      </c>
      <c r="B1728" s="277" t="s">
        <v>2543</v>
      </c>
      <c r="C1728" s="706" t="s">
        <v>5067</v>
      </c>
      <c r="D1728" s="418" t="str">
        <f t="shared" si="26"/>
        <v>UBND Xã Đông Thạnh</v>
      </c>
      <c r="E1728" s="505" t="s">
        <v>433</v>
      </c>
      <c r="F1728" s="505" t="s">
        <v>407</v>
      </c>
      <c r="G1728" s="415">
        <v>304</v>
      </c>
      <c r="H1728" s="370"/>
    </row>
    <row r="1729" spans="1:8" s="673" customFormat="1">
      <c r="A1729" s="309">
        <v>494</v>
      </c>
      <c r="B1729" s="277" t="s">
        <v>2544</v>
      </c>
      <c r="C1729" s="706" t="s">
        <v>5067</v>
      </c>
      <c r="D1729" s="418" t="str">
        <f t="shared" si="26"/>
        <v>UBND Xã Đông Thạnh</v>
      </c>
      <c r="E1729" s="505" t="s">
        <v>433</v>
      </c>
      <c r="F1729" s="505" t="s">
        <v>407</v>
      </c>
      <c r="G1729" s="415">
        <v>288</v>
      </c>
      <c r="H1729" s="370"/>
    </row>
    <row r="1730" spans="1:8" s="673" customFormat="1">
      <c r="A1730" s="309">
        <v>495</v>
      </c>
      <c r="B1730" s="277" t="s">
        <v>2545</v>
      </c>
      <c r="C1730" s="706" t="s">
        <v>5067</v>
      </c>
      <c r="D1730" s="418" t="str">
        <f t="shared" si="26"/>
        <v>UBND Xã Đông Thạnh</v>
      </c>
      <c r="E1730" s="505" t="s">
        <v>433</v>
      </c>
      <c r="F1730" s="505" t="s">
        <v>407</v>
      </c>
      <c r="G1730" s="415">
        <v>50</v>
      </c>
      <c r="H1730" s="370"/>
    </row>
    <row r="1731" spans="1:8" s="673" customFormat="1">
      <c r="A1731" s="309">
        <v>496</v>
      </c>
      <c r="B1731" s="277" t="s">
        <v>2546</v>
      </c>
      <c r="C1731" s="706" t="s">
        <v>5067</v>
      </c>
      <c r="D1731" s="418" t="str">
        <f t="shared" si="26"/>
        <v>UBND Xã Đông Thạnh</v>
      </c>
      <c r="E1731" s="505" t="s">
        <v>433</v>
      </c>
      <c r="F1731" s="505" t="s">
        <v>407</v>
      </c>
      <c r="G1731" s="415">
        <v>740</v>
      </c>
      <c r="H1731" s="370"/>
    </row>
    <row r="1732" spans="1:8" s="673" customFormat="1">
      <c r="A1732" s="309">
        <v>497</v>
      </c>
      <c r="B1732" s="277" t="s">
        <v>2547</v>
      </c>
      <c r="C1732" s="706" t="s">
        <v>5067</v>
      </c>
      <c r="D1732" s="418" t="str">
        <f t="shared" si="26"/>
        <v>UBND Xã Đông Thạnh</v>
      </c>
      <c r="E1732" s="505" t="s">
        <v>433</v>
      </c>
      <c r="F1732" s="505" t="s">
        <v>407</v>
      </c>
      <c r="G1732" s="415">
        <v>226</v>
      </c>
      <c r="H1732" s="370"/>
    </row>
    <row r="1733" spans="1:8" s="673" customFormat="1">
      <c r="A1733" s="309">
        <v>498</v>
      </c>
      <c r="B1733" s="277" t="s">
        <v>2548</v>
      </c>
      <c r="C1733" s="706" t="s">
        <v>5067</v>
      </c>
      <c r="D1733" s="418" t="str">
        <f t="shared" si="26"/>
        <v>UBND Xã Đông Thạnh</v>
      </c>
      <c r="E1733" s="505" t="s">
        <v>433</v>
      </c>
      <c r="F1733" s="505" t="s">
        <v>407</v>
      </c>
      <c r="G1733" s="415">
        <v>200</v>
      </c>
      <c r="H1733" s="370"/>
    </row>
    <row r="1734" spans="1:8" s="673" customFormat="1">
      <c r="A1734" s="309">
        <v>499</v>
      </c>
      <c r="B1734" s="277" t="s">
        <v>2551</v>
      </c>
      <c r="C1734" s="706" t="s">
        <v>5067</v>
      </c>
      <c r="D1734" s="418" t="str">
        <f t="shared" si="26"/>
        <v>UBND Xã Đông Thạnh</v>
      </c>
      <c r="E1734" s="505" t="s">
        <v>433</v>
      </c>
      <c r="F1734" s="505" t="s">
        <v>407</v>
      </c>
      <c r="G1734" s="415">
        <v>700</v>
      </c>
      <c r="H1734" s="370"/>
    </row>
    <row r="1735" spans="1:8" s="673" customFormat="1">
      <c r="A1735" s="309">
        <v>500</v>
      </c>
      <c r="B1735" s="277" t="s">
        <v>2552</v>
      </c>
      <c r="C1735" s="706" t="s">
        <v>5067</v>
      </c>
      <c r="D1735" s="418" t="str">
        <f t="shared" si="26"/>
        <v>UBND Xã Đông Thạnh</v>
      </c>
      <c r="E1735" s="505" t="s">
        <v>433</v>
      </c>
      <c r="F1735" s="505" t="s">
        <v>407</v>
      </c>
      <c r="G1735" s="415">
        <v>276</v>
      </c>
      <c r="H1735" s="370"/>
    </row>
    <row r="1736" spans="1:8" s="673" customFormat="1">
      <c r="A1736" s="309">
        <v>501</v>
      </c>
      <c r="B1736" s="277" t="s">
        <v>2555</v>
      </c>
      <c r="C1736" s="706" t="s">
        <v>5067</v>
      </c>
      <c r="D1736" s="418" t="str">
        <f t="shared" si="26"/>
        <v>UBND Xã Đông Thạnh</v>
      </c>
      <c r="E1736" s="505" t="s">
        <v>433</v>
      </c>
      <c r="F1736" s="505" t="s">
        <v>407</v>
      </c>
      <c r="G1736" s="415">
        <v>1135</v>
      </c>
      <c r="H1736" s="370"/>
    </row>
    <row r="1737" spans="1:8" s="673" customFormat="1">
      <c r="A1737" s="309">
        <v>502</v>
      </c>
      <c r="B1737" s="277" t="s">
        <v>2556</v>
      </c>
      <c r="C1737" s="706" t="s">
        <v>5067</v>
      </c>
      <c r="D1737" s="418" t="str">
        <f t="shared" si="26"/>
        <v>UBND Xã Đông Thạnh</v>
      </c>
      <c r="E1737" s="505" t="s">
        <v>433</v>
      </c>
      <c r="F1737" s="505" t="s">
        <v>407</v>
      </c>
      <c r="G1737" s="415">
        <v>470</v>
      </c>
      <c r="H1737" s="370"/>
    </row>
    <row r="1738" spans="1:8" s="673" customFormat="1">
      <c r="A1738" s="309">
        <v>503</v>
      </c>
      <c r="B1738" s="277" t="s">
        <v>2557</v>
      </c>
      <c r="C1738" s="706" t="s">
        <v>5067</v>
      </c>
      <c r="D1738" s="418" t="str">
        <f t="shared" si="26"/>
        <v>UBND Xã Đông Thạnh</v>
      </c>
      <c r="E1738" s="505" t="s">
        <v>433</v>
      </c>
      <c r="F1738" s="505" t="s">
        <v>407</v>
      </c>
      <c r="G1738" s="415">
        <v>2300</v>
      </c>
      <c r="H1738" s="370"/>
    </row>
    <row r="1739" spans="1:8" s="673" customFormat="1">
      <c r="A1739" s="309">
        <v>504</v>
      </c>
      <c r="B1739" s="277" t="s">
        <v>2559</v>
      </c>
      <c r="C1739" s="706" t="s">
        <v>5067</v>
      </c>
      <c r="D1739" s="418" t="str">
        <f t="shared" si="26"/>
        <v>UBND Xã Đông Thạnh</v>
      </c>
      <c r="E1739" s="505" t="s">
        <v>433</v>
      </c>
      <c r="F1739" s="505" t="s">
        <v>407</v>
      </c>
      <c r="G1739" s="415">
        <v>551</v>
      </c>
      <c r="H1739" s="370"/>
    </row>
    <row r="1740" spans="1:8" s="673" customFormat="1">
      <c r="A1740" s="309">
        <v>505</v>
      </c>
      <c r="B1740" s="277" t="s">
        <v>2560</v>
      </c>
      <c r="C1740" s="706" t="s">
        <v>5067</v>
      </c>
      <c r="D1740" s="418" t="str">
        <f t="shared" si="26"/>
        <v>UBND Xã Đông Thạnh</v>
      </c>
      <c r="E1740" s="505" t="s">
        <v>433</v>
      </c>
      <c r="F1740" s="505" t="s">
        <v>407</v>
      </c>
      <c r="G1740" s="415">
        <v>258</v>
      </c>
      <c r="H1740" s="370"/>
    </row>
    <row r="1741" spans="1:8" s="673" customFormat="1">
      <c r="A1741" s="309">
        <v>506</v>
      </c>
      <c r="B1741" s="277" t="s">
        <v>2561</v>
      </c>
      <c r="C1741" s="706" t="s">
        <v>5067</v>
      </c>
      <c r="D1741" s="418" t="str">
        <f t="shared" si="26"/>
        <v>UBND Xã Đông Thạnh</v>
      </c>
      <c r="E1741" s="505" t="s">
        <v>433</v>
      </c>
      <c r="F1741" s="505" t="s">
        <v>407</v>
      </c>
      <c r="G1741" s="415">
        <v>486</v>
      </c>
      <c r="H1741" s="370"/>
    </row>
    <row r="1742" spans="1:8" s="673" customFormat="1">
      <c r="A1742" s="309">
        <v>507</v>
      </c>
      <c r="B1742" s="277" t="s">
        <v>2562</v>
      </c>
      <c r="C1742" s="706" t="s">
        <v>5067</v>
      </c>
      <c r="D1742" s="418" t="str">
        <f t="shared" si="26"/>
        <v>UBND Xã Đông Thạnh</v>
      </c>
      <c r="E1742" s="505" t="s">
        <v>433</v>
      </c>
      <c r="F1742" s="505" t="s">
        <v>407</v>
      </c>
      <c r="G1742" s="415">
        <v>539</v>
      </c>
      <c r="H1742" s="370"/>
    </row>
    <row r="1743" spans="1:8" s="673" customFormat="1">
      <c r="A1743" s="309">
        <v>508</v>
      </c>
      <c r="B1743" s="277" t="s">
        <v>2563</v>
      </c>
      <c r="C1743" s="706" t="s">
        <v>5067</v>
      </c>
      <c r="D1743" s="418" t="str">
        <f t="shared" si="26"/>
        <v>UBND Xã Đông Thạnh</v>
      </c>
      <c r="E1743" s="505" t="s">
        <v>433</v>
      </c>
      <c r="F1743" s="505" t="s">
        <v>407</v>
      </c>
      <c r="G1743" s="415">
        <v>280</v>
      </c>
      <c r="H1743" s="370"/>
    </row>
    <row r="1744" spans="1:8" s="673" customFormat="1">
      <c r="A1744" s="309">
        <v>509</v>
      </c>
      <c r="B1744" s="277" t="s">
        <v>2564</v>
      </c>
      <c r="C1744" s="706" t="s">
        <v>5067</v>
      </c>
      <c r="D1744" s="418" t="str">
        <f t="shared" si="26"/>
        <v>UBND Xã Đông Thạnh</v>
      </c>
      <c r="E1744" s="505" t="s">
        <v>433</v>
      </c>
      <c r="F1744" s="505" t="s">
        <v>407</v>
      </c>
      <c r="G1744" s="415">
        <v>70</v>
      </c>
      <c r="H1744" s="370"/>
    </row>
    <row r="1745" spans="1:8" s="673" customFormat="1">
      <c r="A1745" s="309">
        <v>510</v>
      </c>
      <c r="B1745" s="277" t="s">
        <v>2565</v>
      </c>
      <c r="C1745" s="706" t="s">
        <v>5067</v>
      </c>
      <c r="D1745" s="418" t="str">
        <f t="shared" si="26"/>
        <v>UBND Xã Đông Thạnh</v>
      </c>
      <c r="E1745" s="505" t="s">
        <v>433</v>
      </c>
      <c r="F1745" s="505" t="s">
        <v>407</v>
      </c>
      <c r="G1745" s="415">
        <v>580</v>
      </c>
      <c r="H1745" s="370"/>
    </row>
    <row r="1746" spans="1:8" s="673" customFormat="1">
      <c r="A1746" s="309">
        <v>511</v>
      </c>
      <c r="B1746" s="277" t="s">
        <v>2566</v>
      </c>
      <c r="C1746" s="706" t="s">
        <v>5067</v>
      </c>
      <c r="D1746" s="418" t="str">
        <f t="shared" si="26"/>
        <v>UBND Xã Đông Thạnh</v>
      </c>
      <c r="E1746" s="505" t="s">
        <v>433</v>
      </c>
      <c r="F1746" s="505" t="s">
        <v>407</v>
      </c>
      <c r="G1746" s="415">
        <v>96</v>
      </c>
      <c r="H1746" s="370"/>
    </row>
    <row r="1747" spans="1:8" s="673" customFormat="1">
      <c r="A1747" s="309">
        <v>512</v>
      </c>
      <c r="B1747" s="277" t="s">
        <v>2567</v>
      </c>
      <c r="C1747" s="706" t="s">
        <v>5067</v>
      </c>
      <c r="D1747" s="418" t="str">
        <f t="shared" si="26"/>
        <v>UBND Xã Đông Thạnh</v>
      </c>
      <c r="E1747" s="505" t="s">
        <v>433</v>
      </c>
      <c r="F1747" s="505" t="s">
        <v>407</v>
      </c>
      <c r="G1747" s="415">
        <v>166</v>
      </c>
      <c r="H1747" s="370"/>
    </row>
    <row r="1748" spans="1:8" s="673" customFormat="1">
      <c r="A1748" s="309">
        <v>513</v>
      </c>
      <c r="B1748" s="277" t="s">
        <v>2569</v>
      </c>
      <c r="C1748" s="706" t="s">
        <v>5067</v>
      </c>
      <c r="D1748" s="418" t="str">
        <f t="shared" si="26"/>
        <v>UBND Xã Đông Thạnh</v>
      </c>
      <c r="E1748" s="505" t="s">
        <v>2570</v>
      </c>
      <c r="F1748" s="505" t="s">
        <v>407</v>
      </c>
      <c r="G1748" s="415">
        <v>230</v>
      </c>
      <c r="H1748" s="370"/>
    </row>
    <row r="1749" spans="1:8" s="673" customFormat="1">
      <c r="A1749" s="309">
        <v>514</v>
      </c>
      <c r="B1749" s="277" t="s">
        <v>2571</v>
      </c>
      <c r="C1749" s="706" t="s">
        <v>5067</v>
      </c>
      <c r="D1749" s="418" t="str">
        <f t="shared" si="26"/>
        <v>UBND Xã Đông Thạnh</v>
      </c>
      <c r="E1749" s="505" t="s">
        <v>2448</v>
      </c>
      <c r="F1749" s="505" t="s">
        <v>407</v>
      </c>
      <c r="G1749" s="415">
        <v>1580</v>
      </c>
      <c r="H1749" s="370"/>
    </row>
    <row r="1750" spans="1:8" s="673" customFormat="1">
      <c r="A1750" s="309">
        <v>515</v>
      </c>
      <c r="B1750" s="277" t="s">
        <v>2572</v>
      </c>
      <c r="C1750" s="706" t="s">
        <v>5067</v>
      </c>
      <c r="D1750" s="418" t="str">
        <f t="shared" si="26"/>
        <v>UBND Xã Đông Thạnh</v>
      </c>
      <c r="E1750" s="505" t="s">
        <v>2448</v>
      </c>
      <c r="F1750" s="505" t="s">
        <v>407</v>
      </c>
      <c r="G1750" s="415">
        <v>405</v>
      </c>
      <c r="H1750" s="370"/>
    </row>
    <row r="1751" spans="1:8" s="673" customFormat="1">
      <c r="A1751" s="309">
        <v>516</v>
      </c>
      <c r="B1751" s="277" t="s">
        <v>2573</v>
      </c>
      <c r="C1751" s="706" t="s">
        <v>5067</v>
      </c>
      <c r="D1751" s="418" t="str">
        <f t="shared" si="26"/>
        <v>UBND Xã Đông Thạnh</v>
      </c>
      <c r="E1751" s="505" t="s">
        <v>2450</v>
      </c>
      <c r="F1751" s="505" t="s">
        <v>2574</v>
      </c>
      <c r="G1751" s="415">
        <v>444</v>
      </c>
      <c r="H1751" s="370"/>
    </row>
    <row r="1752" spans="1:8" s="673" customFormat="1">
      <c r="A1752" s="309">
        <v>517</v>
      </c>
      <c r="B1752" s="277" t="s">
        <v>2575</v>
      </c>
      <c r="C1752" s="706" t="s">
        <v>5067</v>
      </c>
      <c r="D1752" s="418" t="str">
        <f t="shared" si="26"/>
        <v>UBND Xã Đông Thạnh</v>
      </c>
      <c r="E1752" s="505" t="s">
        <v>2450</v>
      </c>
      <c r="F1752" s="505" t="s">
        <v>407</v>
      </c>
      <c r="G1752" s="415">
        <v>200</v>
      </c>
      <c r="H1752" s="370"/>
    </row>
    <row r="1753" spans="1:8" s="673" customFormat="1">
      <c r="A1753" s="309">
        <v>518</v>
      </c>
      <c r="B1753" s="277" t="s">
        <v>2576</v>
      </c>
      <c r="C1753" s="706" t="s">
        <v>5067</v>
      </c>
      <c r="D1753" s="418" t="str">
        <f t="shared" si="26"/>
        <v>UBND Xã Đông Thạnh</v>
      </c>
      <c r="E1753" s="505" t="s">
        <v>2450</v>
      </c>
      <c r="F1753" s="505" t="s">
        <v>407</v>
      </c>
      <c r="G1753" s="415">
        <v>300</v>
      </c>
      <c r="H1753" s="370"/>
    </row>
    <row r="1754" spans="1:8" s="673" customFormat="1">
      <c r="A1754" s="309">
        <v>519</v>
      </c>
      <c r="B1754" s="277" t="s">
        <v>2577</v>
      </c>
      <c r="C1754" s="706" t="s">
        <v>5067</v>
      </c>
      <c r="D1754" s="418" t="str">
        <f t="shared" si="26"/>
        <v>UBND Xã Đông Thạnh</v>
      </c>
      <c r="E1754" s="505" t="s">
        <v>2449</v>
      </c>
      <c r="F1754" s="505" t="s">
        <v>407</v>
      </c>
      <c r="G1754" s="415">
        <v>265</v>
      </c>
      <c r="H1754" s="370"/>
    </row>
    <row r="1755" spans="1:8" s="673" customFormat="1">
      <c r="A1755" s="309">
        <v>520</v>
      </c>
      <c r="B1755" s="277" t="s">
        <v>2578</v>
      </c>
      <c r="C1755" s="706" t="s">
        <v>5067</v>
      </c>
      <c r="D1755" s="418" t="str">
        <f t="shared" si="26"/>
        <v>UBND Xã Đông Thạnh</v>
      </c>
      <c r="E1755" s="505" t="s">
        <v>2449</v>
      </c>
      <c r="F1755" s="505" t="s">
        <v>407</v>
      </c>
      <c r="G1755" s="415">
        <v>250</v>
      </c>
      <c r="H1755" s="370"/>
    </row>
    <row r="1756" spans="1:8" s="673" customFormat="1">
      <c r="A1756" s="309">
        <v>521</v>
      </c>
      <c r="B1756" s="277" t="s">
        <v>2579</v>
      </c>
      <c r="C1756" s="706" t="s">
        <v>5067</v>
      </c>
      <c r="D1756" s="418" t="str">
        <f t="shared" si="26"/>
        <v>UBND Xã Đông Thạnh</v>
      </c>
      <c r="E1756" s="505" t="s">
        <v>2450</v>
      </c>
      <c r="F1756" s="505" t="s">
        <v>407</v>
      </c>
      <c r="G1756" s="415">
        <v>286</v>
      </c>
      <c r="H1756" s="370"/>
    </row>
    <row r="1757" spans="1:8" s="673" customFormat="1">
      <c r="A1757" s="309">
        <v>522</v>
      </c>
      <c r="B1757" s="277" t="s">
        <v>2580</v>
      </c>
      <c r="C1757" s="706" t="s">
        <v>5067</v>
      </c>
      <c r="D1757" s="418" t="str">
        <f t="shared" si="26"/>
        <v>UBND Xã Đông Thạnh</v>
      </c>
      <c r="E1757" s="505" t="s">
        <v>2450</v>
      </c>
      <c r="F1757" s="505" t="s">
        <v>407</v>
      </c>
      <c r="G1757" s="415">
        <v>256</v>
      </c>
      <c r="H1757" s="370"/>
    </row>
    <row r="1758" spans="1:8" s="673" customFormat="1">
      <c r="A1758" s="309">
        <v>523</v>
      </c>
      <c r="B1758" s="277" t="s">
        <v>2583</v>
      </c>
      <c r="C1758" s="706" t="s">
        <v>5067</v>
      </c>
      <c r="D1758" s="418" t="str">
        <f t="shared" si="26"/>
        <v>UBND Xã Đông Thạnh</v>
      </c>
      <c r="E1758" s="505" t="s">
        <v>2449</v>
      </c>
      <c r="F1758" s="505" t="s">
        <v>407</v>
      </c>
      <c r="G1758" s="415">
        <v>350</v>
      </c>
      <c r="H1758" s="370"/>
    </row>
    <row r="1759" spans="1:8" s="673" customFormat="1">
      <c r="A1759" s="309">
        <v>524</v>
      </c>
      <c r="B1759" s="277" t="s">
        <v>2422</v>
      </c>
      <c r="C1759" s="706" t="s">
        <v>5067</v>
      </c>
      <c r="D1759" s="418" t="str">
        <f t="shared" si="26"/>
        <v>UBND Xã Đông Thạnh</v>
      </c>
      <c r="E1759" s="505" t="s">
        <v>2573</v>
      </c>
      <c r="F1759" s="505" t="s">
        <v>2584</v>
      </c>
      <c r="G1759" s="415">
        <v>3150</v>
      </c>
      <c r="H1759" s="370"/>
    </row>
    <row r="1760" spans="1:8" s="673" customFormat="1">
      <c r="A1760" s="309">
        <v>525</v>
      </c>
      <c r="B1760" s="277" t="s">
        <v>2585</v>
      </c>
      <c r="C1760" s="706" t="s">
        <v>5067</v>
      </c>
      <c r="D1760" s="418" t="str">
        <f t="shared" si="26"/>
        <v>UBND Xã Đông Thạnh</v>
      </c>
      <c r="E1760" s="505" t="s">
        <v>2422</v>
      </c>
      <c r="F1760" s="505" t="s">
        <v>407</v>
      </c>
      <c r="G1760" s="415">
        <v>130</v>
      </c>
      <c r="H1760" s="370"/>
    </row>
    <row r="1761" spans="1:8" s="673" customFormat="1">
      <c r="A1761" s="309">
        <v>526</v>
      </c>
      <c r="B1761" s="277" t="s">
        <v>3801</v>
      </c>
      <c r="C1761" s="706" t="s">
        <v>5067</v>
      </c>
      <c r="D1761" s="418" t="str">
        <f t="shared" si="26"/>
        <v>UBND Xã Đông Thạnh</v>
      </c>
      <c r="E1761" s="505" t="s">
        <v>4957</v>
      </c>
      <c r="F1761" s="505" t="s">
        <v>407</v>
      </c>
      <c r="G1761" s="415">
        <v>750</v>
      </c>
      <c r="H1761" s="370"/>
    </row>
    <row r="1762" spans="1:8" s="673" customFormat="1">
      <c r="A1762" s="309">
        <v>527</v>
      </c>
      <c r="B1762" s="277" t="s">
        <v>2591</v>
      </c>
      <c r="C1762" s="706" t="s">
        <v>5067</v>
      </c>
      <c r="D1762" s="418" t="str">
        <f t="shared" si="26"/>
        <v>UBND Xã Đông Thạnh</v>
      </c>
      <c r="E1762" s="505" t="s">
        <v>4958</v>
      </c>
      <c r="F1762" s="505" t="s">
        <v>407</v>
      </c>
      <c r="G1762" s="415">
        <v>1050</v>
      </c>
      <c r="H1762" s="370"/>
    </row>
    <row r="1763" spans="1:8" s="673" customFormat="1">
      <c r="A1763" s="309">
        <v>528</v>
      </c>
      <c r="B1763" s="277" t="s">
        <v>4959</v>
      </c>
      <c r="C1763" s="706" t="s">
        <v>5067</v>
      </c>
      <c r="D1763" s="418" t="str">
        <f t="shared" si="26"/>
        <v>UBND Xã Đông Thạnh</v>
      </c>
      <c r="E1763" s="505" t="s">
        <v>4960</v>
      </c>
      <c r="F1763" s="505" t="s">
        <v>407</v>
      </c>
      <c r="G1763" s="415">
        <v>1860</v>
      </c>
      <c r="H1763" s="370"/>
    </row>
    <row r="1764" spans="1:8" s="673" customFormat="1">
      <c r="A1764" s="309">
        <v>529</v>
      </c>
      <c r="B1764" s="277" t="s">
        <v>3803</v>
      </c>
      <c r="C1764" s="706" t="s">
        <v>5067</v>
      </c>
      <c r="D1764" s="418" t="str">
        <f t="shared" si="26"/>
        <v>UBND Xã Đông Thạnh</v>
      </c>
      <c r="E1764" s="505" t="s">
        <v>4953</v>
      </c>
      <c r="F1764" s="505" t="s">
        <v>407</v>
      </c>
      <c r="G1764" s="415">
        <v>525</v>
      </c>
      <c r="H1764" s="370"/>
    </row>
    <row r="1765" spans="1:8" s="673" customFormat="1">
      <c r="A1765" s="309">
        <v>530</v>
      </c>
      <c r="B1765" s="277" t="s">
        <v>3804</v>
      </c>
      <c r="C1765" s="706" t="s">
        <v>5067</v>
      </c>
      <c r="D1765" s="418" t="str">
        <f t="shared" si="26"/>
        <v>UBND Xã Đông Thạnh</v>
      </c>
      <c r="E1765" s="505" t="s">
        <v>4961</v>
      </c>
      <c r="F1765" s="505" t="s">
        <v>407</v>
      </c>
      <c r="G1765" s="415">
        <v>1050</v>
      </c>
      <c r="H1765" s="370"/>
    </row>
    <row r="1766" spans="1:8" s="673" customFormat="1">
      <c r="A1766" s="309">
        <v>531</v>
      </c>
      <c r="B1766" s="277" t="s">
        <v>3805</v>
      </c>
      <c r="C1766" s="706" t="s">
        <v>5067</v>
      </c>
      <c r="D1766" s="418" t="str">
        <f t="shared" si="26"/>
        <v>UBND Xã Đông Thạnh</v>
      </c>
      <c r="E1766" s="505" t="s">
        <v>4962</v>
      </c>
      <c r="F1766" s="505" t="s">
        <v>407</v>
      </c>
      <c r="G1766" s="415">
        <v>300</v>
      </c>
      <c r="H1766" s="370"/>
    </row>
    <row r="1767" spans="1:8" s="673" customFormat="1">
      <c r="A1767" s="309">
        <v>532</v>
      </c>
      <c r="B1767" s="277" t="s">
        <v>3806</v>
      </c>
      <c r="C1767" s="706" t="s">
        <v>5067</v>
      </c>
      <c r="D1767" s="418" t="str">
        <f t="shared" si="26"/>
        <v>UBND Xã Đông Thạnh</v>
      </c>
      <c r="E1767" s="505" t="s">
        <v>4962</v>
      </c>
      <c r="F1767" s="505" t="s">
        <v>407</v>
      </c>
      <c r="G1767" s="415">
        <v>350</v>
      </c>
      <c r="H1767" s="370"/>
    </row>
    <row r="1768" spans="1:8" s="673" customFormat="1">
      <c r="A1768" s="309">
        <v>533</v>
      </c>
      <c r="B1768" s="277" t="s">
        <v>4963</v>
      </c>
      <c r="C1768" s="706" t="s">
        <v>5067</v>
      </c>
      <c r="D1768" s="418" t="str">
        <f t="shared" si="26"/>
        <v>UBND Xã Đông Thạnh</v>
      </c>
      <c r="E1768" s="505" t="s">
        <v>4962</v>
      </c>
      <c r="F1768" s="505" t="s">
        <v>407</v>
      </c>
      <c r="G1768" s="415">
        <v>200</v>
      </c>
      <c r="H1768" s="370"/>
    </row>
    <row r="1769" spans="1:8" s="673" customFormat="1">
      <c r="A1769" s="309">
        <v>534</v>
      </c>
      <c r="B1769" s="277" t="s">
        <v>3808</v>
      </c>
      <c r="C1769" s="706" t="s">
        <v>5067</v>
      </c>
      <c r="D1769" s="418" t="str">
        <f t="shared" si="26"/>
        <v>UBND Xã Đông Thạnh</v>
      </c>
      <c r="E1769" s="505" t="s">
        <v>4964</v>
      </c>
      <c r="F1769" s="505" t="s">
        <v>407</v>
      </c>
      <c r="G1769" s="415">
        <v>800</v>
      </c>
      <c r="H1769" s="370"/>
    </row>
    <row r="1770" spans="1:8" s="673" customFormat="1">
      <c r="A1770" s="309">
        <v>535</v>
      </c>
      <c r="B1770" s="277" t="s">
        <v>3809</v>
      </c>
      <c r="C1770" s="706" t="s">
        <v>5067</v>
      </c>
      <c r="D1770" s="418" t="str">
        <f t="shared" si="26"/>
        <v>UBND Xã Đông Thạnh</v>
      </c>
      <c r="E1770" s="505" t="s">
        <v>4965</v>
      </c>
      <c r="F1770" s="505" t="s">
        <v>407</v>
      </c>
      <c r="G1770" s="415">
        <v>400</v>
      </c>
      <c r="H1770" s="370"/>
    </row>
    <row r="1771" spans="1:8" s="673" customFormat="1">
      <c r="A1771" s="309">
        <v>536</v>
      </c>
      <c r="B1771" s="277" t="s">
        <v>2596</v>
      </c>
      <c r="C1771" s="706" t="s">
        <v>5067</v>
      </c>
      <c r="D1771" s="418" t="str">
        <f t="shared" si="26"/>
        <v>UBND Xã Đông Thạnh</v>
      </c>
      <c r="E1771" s="505" t="s">
        <v>4953</v>
      </c>
      <c r="F1771" s="505" t="s">
        <v>407</v>
      </c>
      <c r="G1771" s="415">
        <v>900</v>
      </c>
      <c r="H1771" s="370"/>
    </row>
    <row r="1772" spans="1:8" s="673" customFormat="1">
      <c r="A1772" s="309">
        <v>537</v>
      </c>
      <c r="B1772" s="277" t="s">
        <v>4966</v>
      </c>
      <c r="C1772" s="706" t="s">
        <v>5067</v>
      </c>
      <c r="D1772" s="418" t="str">
        <f t="shared" si="26"/>
        <v>UBND Xã Đông Thạnh</v>
      </c>
      <c r="E1772" s="505" t="s">
        <v>4953</v>
      </c>
      <c r="F1772" s="505" t="s">
        <v>407</v>
      </c>
      <c r="G1772" s="415">
        <v>350</v>
      </c>
      <c r="H1772" s="370"/>
    </row>
    <row r="1773" spans="1:8" s="673" customFormat="1">
      <c r="A1773" s="309">
        <v>538</v>
      </c>
      <c r="B1773" s="277" t="s">
        <v>2598</v>
      </c>
      <c r="C1773" s="706" t="s">
        <v>5067</v>
      </c>
      <c r="D1773" s="418" t="str">
        <f t="shared" si="26"/>
        <v>UBND Xã Đông Thạnh</v>
      </c>
      <c r="E1773" s="505" t="s">
        <v>4967</v>
      </c>
      <c r="F1773" s="505" t="s">
        <v>407</v>
      </c>
      <c r="G1773" s="415">
        <v>250</v>
      </c>
      <c r="H1773" s="370"/>
    </row>
    <row r="1774" spans="1:8" s="673" customFormat="1">
      <c r="A1774" s="309">
        <v>539</v>
      </c>
      <c r="B1774" s="277" t="s">
        <v>2600</v>
      </c>
      <c r="C1774" s="706" t="s">
        <v>5067</v>
      </c>
      <c r="D1774" s="418" t="str">
        <f t="shared" si="26"/>
        <v>UBND Xã Đông Thạnh</v>
      </c>
      <c r="E1774" s="505" t="s">
        <v>4968</v>
      </c>
      <c r="F1774" s="505" t="s">
        <v>407</v>
      </c>
      <c r="G1774" s="415">
        <v>300</v>
      </c>
      <c r="H1774" s="370"/>
    </row>
    <row r="1775" spans="1:8" s="673" customFormat="1" ht="33">
      <c r="A1775" s="309">
        <v>540</v>
      </c>
      <c r="B1775" s="277" t="s">
        <v>3810</v>
      </c>
      <c r="C1775" s="706" t="s">
        <v>5067</v>
      </c>
      <c r="D1775" s="418" t="str">
        <f t="shared" si="26"/>
        <v>UBND Xã Đông Thạnh</v>
      </c>
      <c r="E1775" s="505" t="s">
        <v>4969</v>
      </c>
      <c r="F1775" s="505" t="s">
        <v>407</v>
      </c>
      <c r="G1775" s="415">
        <v>225</v>
      </c>
      <c r="H1775" s="370"/>
    </row>
    <row r="1776" spans="1:8" s="673" customFormat="1">
      <c r="A1776" s="309">
        <v>541</v>
      </c>
      <c r="B1776" s="277" t="s">
        <v>2609</v>
      </c>
      <c r="C1776" s="706" t="s">
        <v>5067</v>
      </c>
      <c r="D1776" s="418" t="str">
        <f t="shared" si="26"/>
        <v>UBND Xã Đông Thạnh</v>
      </c>
      <c r="E1776" s="505" t="s">
        <v>4969</v>
      </c>
      <c r="F1776" s="505" t="s">
        <v>407</v>
      </c>
      <c r="G1776" s="415">
        <v>410</v>
      </c>
      <c r="H1776" s="370"/>
    </row>
    <row r="1777" spans="1:8" s="673" customFormat="1">
      <c r="A1777" s="309">
        <v>542</v>
      </c>
      <c r="B1777" s="277" t="s">
        <v>2610</v>
      </c>
      <c r="C1777" s="706" t="s">
        <v>5067</v>
      </c>
      <c r="D1777" s="418" t="str">
        <f t="shared" si="26"/>
        <v>UBND Xã Đông Thạnh</v>
      </c>
      <c r="E1777" s="505" t="s">
        <v>4969</v>
      </c>
      <c r="F1777" s="505" t="s">
        <v>407</v>
      </c>
      <c r="G1777" s="415">
        <v>445</v>
      </c>
      <c r="H1777" s="370"/>
    </row>
    <row r="1778" spans="1:8" s="673" customFormat="1">
      <c r="A1778" s="309">
        <v>543</v>
      </c>
      <c r="B1778" s="277" t="s">
        <v>4970</v>
      </c>
      <c r="C1778" s="706" t="s">
        <v>5067</v>
      </c>
      <c r="D1778" s="418" t="str">
        <f t="shared" si="26"/>
        <v>UBND Xã Đông Thạnh</v>
      </c>
      <c r="E1778" s="505" t="s">
        <v>4969</v>
      </c>
      <c r="F1778" s="505" t="s">
        <v>407</v>
      </c>
      <c r="G1778" s="415">
        <v>376</v>
      </c>
      <c r="H1778" s="370"/>
    </row>
    <row r="1779" spans="1:8" s="673" customFormat="1">
      <c r="A1779" s="309">
        <v>544</v>
      </c>
      <c r="B1779" s="277" t="s">
        <v>4971</v>
      </c>
      <c r="C1779" s="706" t="s">
        <v>5067</v>
      </c>
      <c r="D1779" s="418" t="str">
        <f t="shared" si="26"/>
        <v>UBND Xã Đông Thạnh</v>
      </c>
      <c r="E1779" s="505" t="s">
        <v>4969</v>
      </c>
      <c r="F1779" s="505" t="s">
        <v>407</v>
      </c>
      <c r="G1779" s="415">
        <v>900</v>
      </c>
      <c r="H1779" s="370"/>
    </row>
    <row r="1780" spans="1:8" s="673" customFormat="1" ht="33">
      <c r="A1780" s="309">
        <v>545</v>
      </c>
      <c r="B1780" s="277" t="s">
        <v>3526</v>
      </c>
      <c r="C1780" s="706" t="s">
        <v>5067</v>
      </c>
      <c r="D1780" s="418" t="str">
        <f t="shared" si="26"/>
        <v>UBND Xã Đông Thạnh</v>
      </c>
      <c r="E1780" s="505" t="s">
        <v>4969</v>
      </c>
      <c r="F1780" s="505" t="s">
        <v>407</v>
      </c>
      <c r="G1780" s="415">
        <v>1044</v>
      </c>
      <c r="H1780" s="370"/>
    </row>
    <row r="1781" spans="1:8" s="673" customFormat="1">
      <c r="A1781" s="309">
        <v>546</v>
      </c>
      <c r="B1781" s="277" t="s">
        <v>2611</v>
      </c>
      <c r="C1781" s="706" t="s">
        <v>5067</v>
      </c>
      <c r="D1781" s="418" t="str">
        <f t="shared" si="26"/>
        <v>UBND Xã Đông Thạnh</v>
      </c>
      <c r="E1781" s="505" t="s">
        <v>4969</v>
      </c>
      <c r="F1781" s="505" t="s">
        <v>407</v>
      </c>
      <c r="G1781" s="415">
        <v>240</v>
      </c>
      <c r="H1781" s="370"/>
    </row>
    <row r="1782" spans="1:8" s="673" customFormat="1">
      <c r="A1782" s="309">
        <v>547</v>
      </c>
      <c r="B1782" s="277" t="s">
        <v>3812</v>
      </c>
      <c r="C1782" s="706" t="s">
        <v>5067</v>
      </c>
      <c r="D1782" s="418" t="str">
        <f t="shared" si="26"/>
        <v>UBND Xã Đông Thạnh</v>
      </c>
      <c r="E1782" s="505" t="s">
        <v>4969</v>
      </c>
      <c r="F1782" s="505" t="s">
        <v>407</v>
      </c>
      <c r="G1782" s="415">
        <v>560</v>
      </c>
      <c r="H1782" s="370"/>
    </row>
    <row r="1783" spans="1:8" s="673" customFormat="1">
      <c r="A1783" s="309">
        <v>548</v>
      </c>
      <c r="B1783" s="277" t="s">
        <v>2612</v>
      </c>
      <c r="C1783" s="706" t="s">
        <v>5067</v>
      </c>
      <c r="D1783" s="418" t="str">
        <f t="shared" si="26"/>
        <v>UBND Xã Đông Thạnh</v>
      </c>
      <c r="E1783" s="505" t="s">
        <v>4969</v>
      </c>
      <c r="F1783" s="505" t="s">
        <v>407</v>
      </c>
      <c r="G1783" s="415">
        <v>700</v>
      </c>
      <c r="H1783" s="370"/>
    </row>
    <row r="1784" spans="1:8" s="673" customFormat="1">
      <c r="A1784" s="309">
        <v>549</v>
      </c>
      <c r="B1784" s="277" t="s">
        <v>2613</v>
      </c>
      <c r="C1784" s="706" t="s">
        <v>5067</v>
      </c>
      <c r="D1784" s="418" t="str">
        <f t="shared" si="26"/>
        <v>UBND Xã Đông Thạnh</v>
      </c>
      <c r="E1784" s="505" t="s">
        <v>4969</v>
      </c>
      <c r="F1784" s="505" t="s">
        <v>407</v>
      </c>
      <c r="G1784" s="415">
        <v>274</v>
      </c>
      <c r="H1784" s="370"/>
    </row>
    <row r="1785" spans="1:8" s="673" customFormat="1">
      <c r="A1785" s="309">
        <v>550</v>
      </c>
      <c r="B1785" s="277" t="s">
        <v>2620</v>
      </c>
      <c r="C1785" s="706" t="s">
        <v>5067</v>
      </c>
      <c r="D1785" s="418" t="str">
        <f t="shared" si="26"/>
        <v>UBND Xã Đông Thạnh</v>
      </c>
      <c r="E1785" s="505" t="s">
        <v>2615</v>
      </c>
      <c r="F1785" s="505" t="s">
        <v>407</v>
      </c>
      <c r="G1785" s="415">
        <v>1125</v>
      </c>
      <c r="H1785" s="370"/>
    </row>
    <row r="1786" spans="1:8" s="673" customFormat="1">
      <c r="A1786" s="309">
        <v>551</v>
      </c>
      <c r="B1786" s="277" t="s">
        <v>3009</v>
      </c>
      <c r="C1786" s="706" t="s">
        <v>5067</v>
      </c>
      <c r="D1786" s="418" t="str">
        <f t="shared" si="26"/>
        <v>UBND Xã Đông Thạnh</v>
      </c>
      <c r="E1786" s="505" t="s">
        <v>2453</v>
      </c>
      <c r="F1786" s="505" t="s">
        <v>2806</v>
      </c>
      <c r="G1786" s="415">
        <v>300</v>
      </c>
      <c r="H1786" s="370"/>
    </row>
    <row r="1787" spans="1:8" s="673" customFormat="1">
      <c r="A1787" s="309">
        <v>552</v>
      </c>
      <c r="B1787" s="277" t="s">
        <v>3872</v>
      </c>
      <c r="C1787" s="706" t="s">
        <v>5120</v>
      </c>
      <c r="D1787" s="418" t="str">
        <f t="shared" si="26"/>
        <v>UBND Xã Hiệp Phước</v>
      </c>
      <c r="E1787" s="505" t="s">
        <v>691</v>
      </c>
      <c r="F1787" s="505" t="s">
        <v>2517</v>
      </c>
      <c r="G1787" s="415">
        <v>2500</v>
      </c>
      <c r="H1787" s="370"/>
    </row>
    <row r="1788" spans="1:8" s="673" customFormat="1">
      <c r="A1788" s="309">
        <v>553</v>
      </c>
      <c r="B1788" s="277" t="s">
        <v>2517</v>
      </c>
      <c r="C1788" s="706" t="s">
        <v>5120</v>
      </c>
      <c r="D1788" s="418" t="str">
        <f t="shared" si="26"/>
        <v>UBND Xã Hiệp Phước</v>
      </c>
      <c r="E1788" s="505" t="s">
        <v>691</v>
      </c>
      <c r="F1788" s="505" t="s">
        <v>407</v>
      </c>
      <c r="G1788" s="415">
        <v>2000</v>
      </c>
      <c r="H1788" s="370"/>
    </row>
    <row r="1789" spans="1:8" s="673" customFormat="1">
      <c r="A1789" s="309">
        <v>554</v>
      </c>
      <c r="B1789" s="277" t="s">
        <v>594</v>
      </c>
      <c r="C1789" s="706" t="s">
        <v>5120</v>
      </c>
      <c r="D1789" s="418" t="str">
        <f t="shared" si="26"/>
        <v>UBND Xã Hiệp Phước</v>
      </c>
      <c r="E1789" s="505" t="s">
        <v>691</v>
      </c>
      <c r="F1789" s="505" t="s">
        <v>1111</v>
      </c>
      <c r="G1789" s="415">
        <v>1500</v>
      </c>
      <c r="H1789" s="370"/>
    </row>
    <row r="1790" spans="1:8" s="673" customFormat="1">
      <c r="A1790" s="309">
        <v>555</v>
      </c>
      <c r="B1790" s="277" t="s">
        <v>305</v>
      </c>
      <c r="C1790" s="706" t="s">
        <v>5120</v>
      </c>
      <c r="D1790" s="418" t="str">
        <f t="shared" si="26"/>
        <v>UBND Xã Hiệp Phước</v>
      </c>
      <c r="E1790" s="505" t="s">
        <v>911</v>
      </c>
      <c r="F1790" s="505" t="s">
        <v>2459</v>
      </c>
      <c r="G1790" s="415">
        <v>1200</v>
      </c>
      <c r="H1790" s="370"/>
    </row>
    <row r="1791" spans="1:8" s="673" customFormat="1">
      <c r="A1791" s="309">
        <v>556</v>
      </c>
      <c r="B1791" s="277" t="s">
        <v>310</v>
      </c>
      <c r="C1791" s="706" t="s">
        <v>5120</v>
      </c>
      <c r="D1791" s="418" t="str">
        <f t="shared" ref="D1791:D1855" si="27">"UBND "&amp;C1791</f>
        <v>UBND Xã Hiệp Phước</v>
      </c>
      <c r="E1791" s="505" t="s">
        <v>911</v>
      </c>
      <c r="F1791" s="505" t="s">
        <v>2459</v>
      </c>
      <c r="G1791" s="415">
        <v>1000</v>
      </c>
      <c r="H1791" s="370"/>
    </row>
    <row r="1792" spans="1:8" s="673" customFormat="1">
      <c r="A1792" s="309">
        <v>557</v>
      </c>
      <c r="B1792" s="277" t="s">
        <v>1111</v>
      </c>
      <c r="C1792" s="706" t="s">
        <v>5120</v>
      </c>
      <c r="D1792" s="418" t="str">
        <f t="shared" si="27"/>
        <v>UBND Xã Hiệp Phước</v>
      </c>
      <c r="E1792" s="505" t="s">
        <v>594</v>
      </c>
      <c r="F1792" s="505" t="s">
        <v>2459</v>
      </c>
      <c r="G1792" s="415">
        <v>1200</v>
      </c>
      <c r="H1792" s="370"/>
    </row>
    <row r="1793" spans="1:8" s="673" customFormat="1">
      <c r="A1793" s="309">
        <v>558</v>
      </c>
      <c r="B1793" s="277" t="s">
        <v>3873</v>
      </c>
      <c r="C1793" s="706" t="s">
        <v>5120</v>
      </c>
      <c r="D1793" s="418" t="str">
        <f t="shared" si="27"/>
        <v>UBND Xã Hiệp Phước</v>
      </c>
      <c r="E1793" s="505" t="s">
        <v>3874</v>
      </c>
      <c r="F1793" s="505" t="s">
        <v>2459</v>
      </c>
      <c r="G1793" s="415">
        <v>2500</v>
      </c>
      <c r="H1793" s="370"/>
    </row>
    <row r="1794" spans="1:8" s="673" customFormat="1">
      <c r="A1794" s="309">
        <v>559</v>
      </c>
      <c r="B1794" s="277" t="s">
        <v>3874</v>
      </c>
      <c r="C1794" s="706" t="s">
        <v>5120</v>
      </c>
      <c r="D1794" s="418" t="str">
        <f t="shared" si="27"/>
        <v>UBND Xã Hiệp Phước</v>
      </c>
      <c r="E1794" s="505" t="s">
        <v>911</v>
      </c>
      <c r="F1794" s="505" t="s">
        <v>3873</v>
      </c>
      <c r="G1794" s="415">
        <v>2600</v>
      </c>
      <c r="H1794" s="370"/>
    </row>
    <row r="1795" spans="1:8" s="673" customFormat="1">
      <c r="A1795" s="309">
        <v>560</v>
      </c>
      <c r="B1795" s="277" t="s">
        <v>3875</v>
      </c>
      <c r="C1795" s="706" t="s">
        <v>5120</v>
      </c>
      <c r="D1795" s="418" t="str">
        <f t="shared" si="27"/>
        <v>UBND Xã Hiệp Phước</v>
      </c>
      <c r="E1795" s="505" t="s">
        <v>911</v>
      </c>
      <c r="F1795" s="505" t="s">
        <v>2459</v>
      </c>
      <c r="G1795" s="415">
        <v>2000</v>
      </c>
      <c r="H1795" s="370"/>
    </row>
    <row r="1796" spans="1:8" s="673" customFormat="1">
      <c r="A1796" s="309">
        <v>561</v>
      </c>
      <c r="B1796" s="277" t="s">
        <v>3109</v>
      </c>
      <c r="C1796" s="706" t="s">
        <v>5120</v>
      </c>
      <c r="D1796" s="418" t="str">
        <f t="shared" si="27"/>
        <v>UBND Xã Hiệp Phước</v>
      </c>
      <c r="E1796" s="505" t="s">
        <v>1082</v>
      </c>
      <c r="F1796" s="505" t="s">
        <v>3875</v>
      </c>
      <c r="G1796" s="415">
        <v>3000</v>
      </c>
      <c r="H1796" s="370"/>
    </row>
    <row r="1797" spans="1:8" s="673" customFormat="1">
      <c r="A1797" s="309">
        <v>562</v>
      </c>
      <c r="B1797" s="277" t="s">
        <v>3876</v>
      </c>
      <c r="C1797" s="706" t="s">
        <v>5120</v>
      </c>
      <c r="D1797" s="418" t="str">
        <f t="shared" si="27"/>
        <v>UBND Xã Hiệp Phước</v>
      </c>
      <c r="E1797" s="505" t="s">
        <v>911</v>
      </c>
      <c r="F1797" s="505" t="s">
        <v>5052</v>
      </c>
      <c r="G1797" s="415">
        <v>3500</v>
      </c>
      <c r="H1797" s="370"/>
    </row>
    <row r="1798" spans="1:8" s="673" customFormat="1">
      <c r="A1798" s="309">
        <v>563</v>
      </c>
      <c r="B1798" s="277" t="s">
        <v>3877</v>
      </c>
      <c r="C1798" s="706" t="s">
        <v>5120</v>
      </c>
      <c r="D1798" s="418" t="str">
        <f t="shared" si="27"/>
        <v>UBND Xã Hiệp Phước</v>
      </c>
      <c r="E1798" s="505" t="s">
        <v>911</v>
      </c>
      <c r="F1798" s="505" t="s">
        <v>2459</v>
      </c>
      <c r="G1798" s="415">
        <v>3000</v>
      </c>
      <c r="H1798" s="370"/>
    </row>
    <row r="1799" spans="1:8" s="673" customFormat="1">
      <c r="A1799" s="309">
        <v>564</v>
      </c>
      <c r="B1799" s="277" t="s">
        <v>3878</v>
      </c>
      <c r="C1799" s="706" t="s">
        <v>5120</v>
      </c>
      <c r="D1799" s="418" t="str">
        <f t="shared" si="27"/>
        <v>UBND Xã Hiệp Phước</v>
      </c>
      <c r="E1799" s="505" t="s">
        <v>3877</v>
      </c>
      <c r="F1799" s="505" t="s">
        <v>2459</v>
      </c>
      <c r="G1799" s="415">
        <v>2000</v>
      </c>
      <c r="H1799" s="370"/>
    </row>
    <row r="1800" spans="1:8" s="673" customFormat="1">
      <c r="A1800" s="309">
        <v>565</v>
      </c>
      <c r="B1800" s="277" t="s">
        <v>3879</v>
      </c>
      <c r="C1800" s="706" t="s">
        <v>5120</v>
      </c>
      <c r="D1800" s="418" t="str">
        <f t="shared" si="27"/>
        <v>UBND Xã Hiệp Phước</v>
      </c>
      <c r="E1800" s="505" t="s">
        <v>3872</v>
      </c>
      <c r="F1800" s="505" t="s">
        <v>2459</v>
      </c>
      <c r="G1800" s="415">
        <v>2500</v>
      </c>
      <c r="H1800" s="370"/>
    </row>
    <row r="1801" spans="1:8" s="673" customFormat="1">
      <c r="A1801" s="309">
        <v>566</v>
      </c>
      <c r="B1801" s="277" t="s">
        <v>3881</v>
      </c>
      <c r="C1801" s="706" t="s">
        <v>5120</v>
      </c>
      <c r="D1801" s="418" t="str">
        <f t="shared" si="27"/>
        <v>UBND Xã Hiệp Phước</v>
      </c>
      <c r="E1801" s="505" t="s">
        <v>691</v>
      </c>
      <c r="F1801" s="505" t="s">
        <v>2459</v>
      </c>
      <c r="G1801" s="415">
        <v>2000</v>
      </c>
      <c r="H1801" s="370"/>
    </row>
    <row r="1802" spans="1:8" s="673" customFormat="1">
      <c r="A1802" s="309">
        <v>567</v>
      </c>
      <c r="B1802" s="277" t="s">
        <v>133</v>
      </c>
      <c r="C1802" s="706" t="s">
        <v>5120</v>
      </c>
      <c r="D1802" s="418" t="str">
        <f t="shared" si="27"/>
        <v>UBND Xã Hiệp Phước</v>
      </c>
      <c r="E1802" s="505" t="s">
        <v>128</v>
      </c>
      <c r="F1802" s="505" t="s">
        <v>2459</v>
      </c>
      <c r="G1802" s="415">
        <v>1500</v>
      </c>
      <c r="H1802" s="370"/>
    </row>
    <row r="1803" spans="1:8" s="673" customFormat="1">
      <c r="A1803" s="309">
        <v>568</v>
      </c>
      <c r="B1803" s="277" t="s">
        <v>3882</v>
      </c>
      <c r="C1803" s="706" t="s">
        <v>5120</v>
      </c>
      <c r="D1803" s="418" t="str">
        <f t="shared" si="27"/>
        <v>UBND Xã Hiệp Phước</v>
      </c>
      <c r="E1803" s="505" t="s">
        <v>128</v>
      </c>
      <c r="F1803" s="505" t="s">
        <v>2459</v>
      </c>
      <c r="G1803" s="415">
        <v>1500</v>
      </c>
      <c r="H1803" s="370"/>
    </row>
    <row r="1804" spans="1:8" s="673" customFormat="1">
      <c r="A1804" s="309">
        <v>569</v>
      </c>
      <c r="B1804" s="277" t="s">
        <v>3883</v>
      </c>
      <c r="C1804" s="706" t="s">
        <v>5120</v>
      </c>
      <c r="D1804" s="418" t="str">
        <f t="shared" si="27"/>
        <v>UBND Xã Hiệp Phước</v>
      </c>
      <c r="E1804" s="505" t="s">
        <v>128</v>
      </c>
      <c r="F1804" s="505" t="s">
        <v>407</v>
      </c>
      <c r="G1804" s="415">
        <v>3000</v>
      </c>
      <c r="H1804" s="370"/>
    </row>
    <row r="1805" spans="1:8" s="673" customFormat="1">
      <c r="A1805" s="309">
        <v>570</v>
      </c>
      <c r="B1805" s="277" t="s">
        <v>3884</v>
      </c>
      <c r="C1805" s="706" t="s">
        <v>5120</v>
      </c>
      <c r="D1805" s="418" t="str">
        <f t="shared" si="27"/>
        <v>UBND Xã Hiệp Phước</v>
      </c>
      <c r="E1805" s="505" t="s">
        <v>128</v>
      </c>
      <c r="F1805" s="505" t="s">
        <v>407</v>
      </c>
      <c r="G1805" s="415">
        <v>3000</v>
      </c>
      <c r="H1805" s="370"/>
    </row>
    <row r="1806" spans="1:8" s="673" customFormat="1">
      <c r="A1806" s="309">
        <v>571</v>
      </c>
      <c r="B1806" s="277" t="s">
        <v>3885</v>
      </c>
      <c r="C1806" s="706" t="s">
        <v>5120</v>
      </c>
      <c r="D1806" s="418" t="str">
        <f t="shared" si="27"/>
        <v>UBND Xã Hiệp Phước</v>
      </c>
      <c r="E1806" s="505" t="s">
        <v>126</v>
      </c>
      <c r="F1806" s="505" t="s">
        <v>3884</v>
      </c>
      <c r="G1806" s="415">
        <v>4500</v>
      </c>
      <c r="H1806" s="370"/>
    </row>
    <row r="1807" spans="1:8" s="673" customFormat="1">
      <c r="A1807" s="309">
        <v>572</v>
      </c>
      <c r="B1807" s="275" t="s">
        <v>4945</v>
      </c>
      <c r="C1807" s="706" t="s">
        <v>5112</v>
      </c>
      <c r="D1807" s="418" t="str">
        <f t="shared" si="27"/>
        <v>UBND Xã Hóc Môn</v>
      </c>
      <c r="E1807" s="505" t="s">
        <v>4946</v>
      </c>
      <c r="F1807" s="505" t="s">
        <v>4947</v>
      </c>
      <c r="G1807" s="415">
        <v>170</v>
      </c>
      <c r="H1807" s="370" t="s">
        <v>189</v>
      </c>
    </row>
    <row r="1808" spans="1:8" s="673" customFormat="1">
      <c r="A1808" s="309">
        <v>573</v>
      </c>
      <c r="B1808" s="275" t="s">
        <v>4950</v>
      </c>
      <c r="C1808" s="706" t="s">
        <v>5112</v>
      </c>
      <c r="D1808" s="418" t="str">
        <f t="shared" si="27"/>
        <v>UBND Xã Hóc Môn</v>
      </c>
      <c r="E1808" s="505" t="s">
        <v>4951</v>
      </c>
      <c r="F1808" s="505" t="s">
        <v>2453</v>
      </c>
      <c r="G1808" s="415">
        <v>320</v>
      </c>
      <c r="H1808" s="370" t="s">
        <v>228</v>
      </c>
    </row>
    <row r="1809" spans="1:8" s="673" customFormat="1">
      <c r="A1809" s="309">
        <v>574</v>
      </c>
      <c r="B1809" s="275" t="s">
        <v>4955</v>
      </c>
      <c r="C1809" s="706" t="s">
        <v>5112</v>
      </c>
      <c r="D1809" s="418" t="str">
        <f t="shared" si="27"/>
        <v>UBND Xã Hóc Môn</v>
      </c>
      <c r="E1809" s="287" t="s">
        <v>630</v>
      </c>
      <c r="F1809" s="287" t="s">
        <v>1115</v>
      </c>
      <c r="G1809" s="415">
        <v>2500</v>
      </c>
      <c r="H1809" s="287"/>
    </row>
    <row r="1810" spans="1:8" s="673" customFormat="1">
      <c r="A1810" s="309">
        <v>575</v>
      </c>
      <c r="B1810" s="277" t="s">
        <v>2614</v>
      </c>
      <c r="C1810" s="706" t="s">
        <v>5112</v>
      </c>
      <c r="D1810" s="418" t="str">
        <f t="shared" si="27"/>
        <v>UBND Xã Hóc Môn</v>
      </c>
      <c r="E1810" s="505" t="s">
        <v>2615</v>
      </c>
      <c r="F1810" s="505" t="s">
        <v>407</v>
      </c>
      <c r="G1810" s="415">
        <v>168</v>
      </c>
      <c r="H1810" s="370"/>
    </row>
    <row r="1811" spans="1:8" s="673" customFormat="1">
      <c r="A1811" s="309">
        <v>576</v>
      </c>
      <c r="B1811" s="277" t="s">
        <v>2616</v>
      </c>
      <c r="C1811" s="706" t="s">
        <v>5112</v>
      </c>
      <c r="D1811" s="418" t="str">
        <f t="shared" si="27"/>
        <v>UBND Xã Hóc Môn</v>
      </c>
      <c r="E1811" s="505" t="s">
        <v>2617</v>
      </c>
      <c r="F1811" s="505" t="s">
        <v>407</v>
      </c>
      <c r="G1811" s="415">
        <v>665</v>
      </c>
      <c r="H1811" s="370"/>
    </row>
    <row r="1812" spans="1:8" s="673" customFormat="1">
      <c r="A1812" s="309">
        <v>577</v>
      </c>
      <c r="B1812" s="277" t="s">
        <v>430</v>
      </c>
      <c r="C1812" s="706" t="s">
        <v>5112</v>
      </c>
      <c r="D1812" s="418" t="str">
        <f t="shared" si="27"/>
        <v>UBND Xã Hóc Môn</v>
      </c>
      <c r="E1812" s="505" t="s">
        <v>2615</v>
      </c>
      <c r="F1812" s="505" t="s">
        <v>407</v>
      </c>
      <c r="G1812" s="415">
        <v>1155</v>
      </c>
      <c r="H1812" s="370"/>
    </row>
    <row r="1813" spans="1:8" s="673" customFormat="1">
      <c r="A1813" s="309">
        <v>578</v>
      </c>
      <c r="B1813" s="277" t="s">
        <v>2618</v>
      </c>
      <c r="C1813" s="706" t="s">
        <v>5112</v>
      </c>
      <c r="D1813" s="418" t="str">
        <f t="shared" si="27"/>
        <v>UBND Xã Hóc Môn</v>
      </c>
      <c r="E1813" s="505" t="s">
        <v>2619</v>
      </c>
      <c r="F1813" s="505" t="s">
        <v>407</v>
      </c>
      <c r="G1813" s="415">
        <v>350</v>
      </c>
      <c r="H1813" s="370"/>
    </row>
    <row r="1814" spans="1:8" s="673" customFormat="1">
      <c r="A1814" s="309">
        <v>579</v>
      </c>
      <c r="B1814" s="277" t="s">
        <v>2623</v>
      </c>
      <c r="C1814" s="706" t="s">
        <v>5112</v>
      </c>
      <c r="D1814" s="418" t="str">
        <f t="shared" si="27"/>
        <v>UBND Xã Hóc Môn</v>
      </c>
      <c r="E1814" s="505" t="s">
        <v>3527</v>
      </c>
      <c r="F1814" s="505" t="s">
        <v>407</v>
      </c>
      <c r="G1814" s="415">
        <v>260</v>
      </c>
      <c r="H1814" s="370"/>
    </row>
    <row r="1815" spans="1:8" s="673" customFormat="1">
      <c r="A1815" s="309">
        <v>580</v>
      </c>
      <c r="B1815" s="277" t="s">
        <v>2625</v>
      </c>
      <c r="C1815" s="706" t="s">
        <v>5112</v>
      </c>
      <c r="D1815" s="418" t="str">
        <f t="shared" si="27"/>
        <v>UBND Xã Hóc Môn</v>
      </c>
      <c r="E1815" s="505" t="s">
        <v>2626</v>
      </c>
      <c r="F1815" s="505" t="s">
        <v>3414</v>
      </c>
      <c r="G1815" s="415">
        <v>820</v>
      </c>
      <c r="H1815" s="370"/>
    </row>
    <row r="1816" spans="1:8" s="673" customFormat="1">
      <c r="A1816" s="309">
        <v>581</v>
      </c>
      <c r="B1816" s="277" t="s">
        <v>2627</v>
      </c>
      <c r="C1816" s="706" t="s">
        <v>5112</v>
      </c>
      <c r="D1816" s="418" t="str">
        <f t="shared" si="27"/>
        <v>UBND Xã Hóc Môn</v>
      </c>
      <c r="E1816" s="505" t="s">
        <v>3527</v>
      </c>
      <c r="F1816" s="505" t="s">
        <v>407</v>
      </c>
      <c r="G1816" s="415">
        <v>900</v>
      </c>
      <c r="H1816" s="370"/>
    </row>
    <row r="1817" spans="1:8" s="673" customFormat="1">
      <c r="A1817" s="309">
        <v>582</v>
      </c>
      <c r="B1817" s="277" t="s">
        <v>1246</v>
      </c>
      <c r="C1817" s="706" t="s">
        <v>5112</v>
      </c>
      <c r="D1817" s="418" t="str">
        <f t="shared" si="27"/>
        <v>UBND Xã Hóc Môn</v>
      </c>
      <c r="E1817" s="505" t="s">
        <v>3527</v>
      </c>
      <c r="F1817" s="505" t="s">
        <v>407</v>
      </c>
      <c r="G1817" s="415">
        <v>1950</v>
      </c>
      <c r="H1817" s="370"/>
    </row>
    <row r="1818" spans="1:8" s="673" customFormat="1">
      <c r="A1818" s="309">
        <v>583</v>
      </c>
      <c r="B1818" s="277" t="s">
        <v>1255</v>
      </c>
      <c r="C1818" s="706" t="s">
        <v>5112</v>
      </c>
      <c r="D1818" s="418" t="str">
        <f t="shared" si="27"/>
        <v>UBND Xã Hóc Môn</v>
      </c>
      <c r="E1818" s="505" t="s">
        <v>3527</v>
      </c>
      <c r="F1818" s="505" t="s">
        <v>407</v>
      </c>
      <c r="G1818" s="415">
        <v>1425</v>
      </c>
      <c r="H1818" s="370"/>
    </row>
    <row r="1819" spans="1:8" s="673" customFormat="1">
      <c r="A1819" s="309">
        <v>584</v>
      </c>
      <c r="B1819" s="277" t="s">
        <v>2628</v>
      </c>
      <c r="C1819" s="706" t="s">
        <v>5112</v>
      </c>
      <c r="D1819" s="418" t="str">
        <f t="shared" si="27"/>
        <v>UBND Xã Hóc Môn</v>
      </c>
      <c r="E1819" s="505" t="s">
        <v>3529</v>
      </c>
      <c r="F1819" s="505" t="s">
        <v>407</v>
      </c>
      <c r="G1819" s="415">
        <v>900</v>
      </c>
      <c r="H1819" s="370"/>
    </row>
    <row r="1820" spans="1:8" s="673" customFormat="1">
      <c r="A1820" s="309">
        <v>585</v>
      </c>
      <c r="B1820" s="277" t="s">
        <v>3530</v>
      </c>
      <c r="C1820" s="706" t="s">
        <v>5112</v>
      </c>
      <c r="D1820" s="418" t="str">
        <f t="shared" si="27"/>
        <v>UBND Xã Hóc Môn</v>
      </c>
      <c r="E1820" s="505" t="s">
        <v>3531</v>
      </c>
      <c r="F1820" s="505" t="s">
        <v>407</v>
      </c>
      <c r="G1820" s="415">
        <v>1125</v>
      </c>
      <c r="H1820" s="370"/>
    </row>
    <row r="1821" spans="1:8" s="673" customFormat="1">
      <c r="A1821" s="309">
        <v>586</v>
      </c>
      <c r="B1821" s="277" t="s">
        <v>1272</v>
      </c>
      <c r="C1821" s="706" t="s">
        <v>5112</v>
      </c>
      <c r="D1821" s="418" t="str">
        <f t="shared" si="27"/>
        <v>UBND Xã Hóc Môn</v>
      </c>
      <c r="E1821" s="505" t="s">
        <v>3527</v>
      </c>
      <c r="F1821" s="505" t="s">
        <v>407</v>
      </c>
      <c r="G1821" s="415">
        <v>705</v>
      </c>
      <c r="H1821" s="370"/>
    </row>
    <row r="1822" spans="1:8" s="673" customFormat="1" ht="33">
      <c r="A1822" s="309">
        <v>587</v>
      </c>
      <c r="B1822" s="277" t="s">
        <v>8508</v>
      </c>
      <c r="C1822" s="706" t="s">
        <v>5112</v>
      </c>
      <c r="D1822" s="418" t="str">
        <f t="shared" si="27"/>
        <v>UBND Xã Hóc Môn</v>
      </c>
      <c r="E1822" s="505" t="s">
        <v>8509</v>
      </c>
      <c r="F1822" s="505" t="s">
        <v>8510</v>
      </c>
      <c r="G1822" s="415">
        <v>738</v>
      </c>
      <c r="H1822" s="370"/>
    </row>
    <row r="1823" spans="1:8" s="673" customFormat="1">
      <c r="A1823" s="309">
        <v>588</v>
      </c>
      <c r="B1823" s="277" t="s">
        <v>2682</v>
      </c>
      <c r="C1823" s="706" t="s">
        <v>246</v>
      </c>
      <c r="D1823" s="418" t="str">
        <f t="shared" si="27"/>
        <v>UBND Xã Hưng Long</v>
      </c>
      <c r="E1823" s="505" t="s">
        <v>1082</v>
      </c>
      <c r="F1823" s="505" t="s">
        <v>2683</v>
      </c>
      <c r="G1823" s="415">
        <v>1710</v>
      </c>
      <c r="H1823" s="370"/>
    </row>
    <row r="1824" spans="1:8" s="673" customFormat="1">
      <c r="A1824" s="309">
        <v>589</v>
      </c>
      <c r="B1824" s="277" t="s">
        <v>2684</v>
      </c>
      <c r="C1824" s="706" t="s">
        <v>246</v>
      </c>
      <c r="D1824" s="418" t="str">
        <f t="shared" si="27"/>
        <v>UBND Xã Hưng Long</v>
      </c>
      <c r="E1824" s="505" t="s">
        <v>2682</v>
      </c>
      <c r="F1824" s="505" t="s">
        <v>2685</v>
      </c>
      <c r="G1824" s="415">
        <v>938</v>
      </c>
      <c r="H1824" s="370"/>
    </row>
    <row r="1825" spans="1:8" s="673" customFormat="1">
      <c r="A1825" s="309">
        <v>590</v>
      </c>
      <c r="B1825" s="277" t="s">
        <v>2686</v>
      </c>
      <c r="C1825" s="706" t="s">
        <v>246</v>
      </c>
      <c r="D1825" s="418" t="str">
        <f t="shared" si="27"/>
        <v>UBND Xã Hưng Long</v>
      </c>
      <c r="E1825" s="505" t="s">
        <v>1082</v>
      </c>
      <c r="F1825" s="505" t="s">
        <v>2687</v>
      </c>
      <c r="G1825" s="415">
        <v>1070</v>
      </c>
      <c r="H1825" s="370"/>
    </row>
    <row r="1826" spans="1:8" s="673" customFormat="1">
      <c r="A1826" s="309">
        <v>591</v>
      </c>
      <c r="B1826" s="277" t="s">
        <v>2688</v>
      </c>
      <c r="C1826" s="706" t="s">
        <v>246</v>
      </c>
      <c r="D1826" s="418" t="str">
        <f t="shared" si="27"/>
        <v>UBND Xã Hưng Long</v>
      </c>
      <c r="E1826" s="505" t="s">
        <v>1082</v>
      </c>
      <c r="F1826" s="505" t="s">
        <v>2689</v>
      </c>
      <c r="G1826" s="415">
        <v>1112</v>
      </c>
      <c r="H1826" s="370"/>
    </row>
    <row r="1827" spans="1:8" s="673" customFormat="1">
      <c r="A1827" s="309">
        <v>592</v>
      </c>
      <c r="B1827" s="277" t="s">
        <v>2690</v>
      </c>
      <c r="C1827" s="706" t="s">
        <v>246</v>
      </c>
      <c r="D1827" s="418" t="str">
        <f t="shared" si="27"/>
        <v>UBND Xã Hưng Long</v>
      </c>
      <c r="E1827" s="505" t="s">
        <v>1082</v>
      </c>
      <c r="F1827" s="505" t="s">
        <v>407</v>
      </c>
      <c r="G1827" s="415">
        <v>593</v>
      </c>
      <c r="H1827" s="370"/>
    </row>
    <row r="1828" spans="1:8" s="673" customFormat="1">
      <c r="A1828" s="309">
        <v>593</v>
      </c>
      <c r="B1828" s="277" t="s">
        <v>18</v>
      </c>
      <c r="C1828" s="706" t="s">
        <v>246</v>
      </c>
      <c r="D1828" s="418" t="str">
        <f t="shared" si="27"/>
        <v>UBND Xã Hưng Long</v>
      </c>
      <c r="E1828" s="505" t="s">
        <v>1082</v>
      </c>
      <c r="F1828" s="505" t="s">
        <v>2691</v>
      </c>
      <c r="G1828" s="415">
        <v>961</v>
      </c>
      <c r="H1828" s="370"/>
    </row>
    <row r="1829" spans="1:8" s="673" customFormat="1">
      <c r="A1829" s="309">
        <v>594</v>
      </c>
      <c r="B1829" s="277" t="s">
        <v>2692</v>
      </c>
      <c r="C1829" s="706" t="s">
        <v>246</v>
      </c>
      <c r="D1829" s="418" t="str">
        <f t="shared" si="27"/>
        <v>UBND Xã Hưng Long</v>
      </c>
      <c r="E1829" s="505" t="s">
        <v>2693</v>
      </c>
      <c r="F1829" s="505" t="s">
        <v>25</v>
      </c>
      <c r="G1829" s="415">
        <v>959</v>
      </c>
      <c r="H1829" s="370"/>
    </row>
    <row r="1830" spans="1:8" s="673" customFormat="1">
      <c r="A1830" s="309">
        <v>595</v>
      </c>
      <c r="B1830" s="277" t="s">
        <v>2693</v>
      </c>
      <c r="C1830" s="706" t="s">
        <v>246</v>
      </c>
      <c r="D1830" s="418" t="str">
        <f t="shared" si="27"/>
        <v>UBND Xã Hưng Long</v>
      </c>
      <c r="E1830" s="505" t="s">
        <v>2692</v>
      </c>
      <c r="F1830" s="505" t="s">
        <v>25</v>
      </c>
      <c r="G1830" s="415">
        <v>2691</v>
      </c>
      <c r="H1830" s="370"/>
    </row>
    <row r="1831" spans="1:8" s="673" customFormat="1">
      <c r="A1831" s="309">
        <v>596</v>
      </c>
      <c r="B1831" s="277" t="s">
        <v>676</v>
      </c>
      <c r="C1831" s="706" t="s">
        <v>246</v>
      </c>
      <c r="D1831" s="418" t="str">
        <f t="shared" si="27"/>
        <v>UBND Xã Hưng Long</v>
      </c>
      <c r="E1831" s="505" t="s">
        <v>2694</v>
      </c>
      <c r="F1831" s="505" t="s">
        <v>2695</v>
      </c>
      <c r="G1831" s="415">
        <v>2325</v>
      </c>
      <c r="H1831" s="370"/>
    </row>
    <row r="1832" spans="1:8" s="673" customFormat="1">
      <c r="A1832" s="309">
        <v>597</v>
      </c>
      <c r="B1832" s="686" t="s">
        <v>2731</v>
      </c>
      <c r="C1832" s="706" t="s">
        <v>246</v>
      </c>
      <c r="D1832" s="418" t="str">
        <f t="shared" si="27"/>
        <v>UBND Xã Hưng Long</v>
      </c>
      <c r="E1832" s="505" t="s">
        <v>2721</v>
      </c>
      <c r="F1832" s="505" t="s">
        <v>407</v>
      </c>
      <c r="G1832" s="415">
        <v>900</v>
      </c>
      <c r="H1832" s="370"/>
    </row>
    <row r="1833" spans="1:8" s="673" customFormat="1">
      <c r="A1833" s="309">
        <v>598</v>
      </c>
      <c r="B1833" s="686" t="s">
        <v>2732</v>
      </c>
      <c r="C1833" s="706" t="s">
        <v>246</v>
      </c>
      <c r="D1833" s="418" t="str">
        <f t="shared" si="27"/>
        <v>UBND Xã Hưng Long</v>
      </c>
      <c r="E1833" s="505" t="s">
        <v>2721</v>
      </c>
      <c r="F1833" s="505" t="s">
        <v>407</v>
      </c>
      <c r="G1833" s="415">
        <v>1800</v>
      </c>
      <c r="H1833" s="370"/>
    </row>
    <row r="1834" spans="1:8" s="673" customFormat="1">
      <c r="A1834" s="309">
        <v>599</v>
      </c>
      <c r="B1834" s="686" t="s">
        <v>2734</v>
      </c>
      <c r="C1834" s="706" t="s">
        <v>246</v>
      </c>
      <c r="D1834" s="418" t="str">
        <f t="shared" si="27"/>
        <v>UBND Xã Hưng Long</v>
      </c>
      <c r="E1834" s="505" t="s">
        <v>2735</v>
      </c>
      <c r="F1834" s="505" t="s">
        <v>407</v>
      </c>
      <c r="G1834" s="415">
        <v>1500</v>
      </c>
      <c r="H1834" s="370"/>
    </row>
    <row r="1835" spans="1:8" s="673" customFormat="1">
      <c r="A1835" s="309">
        <v>600</v>
      </c>
      <c r="B1835" s="686" t="s">
        <v>2736</v>
      </c>
      <c r="C1835" s="706" t="s">
        <v>246</v>
      </c>
      <c r="D1835" s="418" t="str">
        <f t="shared" si="27"/>
        <v>UBND Xã Hưng Long</v>
      </c>
      <c r="E1835" s="505" t="s">
        <v>2735</v>
      </c>
      <c r="F1835" s="505" t="s">
        <v>407</v>
      </c>
      <c r="G1835" s="415">
        <v>1350</v>
      </c>
      <c r="H1835" s="370"/>
    </row>
    <row r="1836" spans="1:8" s="673" customFormat="1">
      <c r="A1836" s="309">
        <v>601</v>
      </c>
      <c r="B1836" s="686" t="s">
        <v>2737</v>
      </c>
      <c r="C1836" s="706" t="s">
        <v>246</v>
      </c>
      <c r="D1836" s="418" t="str">
        <f t="shared" si="27"/>
        <v>UBND Xã Hưng Long</v>
      </c>
      <c r="E1836" s="505" t="s">
        <v>2735</v>
      </c>
      <c r="F1836" s="505" t="s">
        <v>407</v>
      </c>
      <c r="G1836" s="415">
        <v>1250</v>
      </c>
      <c r="H1836" s="370"/>
    </row>
    <row r="1837" spans="1:8" s="673" customFormat="1">
      <c r="A1837" s="309">
        <v>602</v>
      </c>
      <c r="B1837" s="675" t="s">
        <v>1246</v>
      </c>
      <c r="C1837" s="706" t="s">
        <v>246</v>
      </c>
      <c r="D1837" s="418" t="str">
        <f t="shared" si="27"/>
        <v>UBND Xã Hưng Long</v>
      </c>
      <c r="E1837" s="507" t="s">
        <v>5026</v>
      </c>
      <c r="F1837" s="507" t="s">
        <v>244</v>
      </c>
      <c r="G1837" s="415">
        <v>950</v>
      </c>
      <c r="H1837" s="370" t="s">
        <v>210</v>
      </c>
    </row>
    <row r="1838" spans="1:8" s="673" customFormat="1">
      <c r="A1838" s="309">
        <v>603</v>
      </c>
      <c r="B1838" s="675" t="s">
        <v>1255</v>
      </c>
      <c r="C1838" s="706" t="s">
        <v>246</v>
      </c>
      <c r="D1838" s="418" t="str">
        <f t="shared" si="27"/>
        <v>UBND Xã Hưng Long</v>
      </c>
      <c r="E1838" s="507" t="s">
        <v>5026</v>
      </c>
      <c r="F1838" s="507" t="s">
        <v>244</v>
      </c>
      <c r="G1838" s="415">
        <v>1450</v>
      </c>
      <c r="H1838" s="370" t="s">
        <v>210</v>
      </c>
    </row>
    <row r="1839" spans="1:8" s="673" customFormat="1">
      <c r="A1839" s="309">
        <v>604</v>
      </c>
      <c r="B1839" s="675" t="s">
        <v>1272</v>
      </c>
      <c r="C1839" s="706" t="s">
        <v>246</v>
      </c>
      <c r="D1839" s="418" t="str">
        <f t="shared" si="27"/>
        <v>UBND Xã Hưng Long</v>
      </c>
      <c r="E1839" s="507" t="s">
        <v>5026</v>
      </c>
      <c r="F1839" s="507" t="s">
        <v>244</v>
      </c>
      <c r="G1839" s="415">
        <v>1100</v>
      </c>
      <c r="H1839" s="370" t="s">
        <v>207</v>
      </c>
    </row>
    <row r="1840" spans="1:8" s="673" customFormat="1">
      <c r="A1840" s="309">
        <v>605</v>
      </c>
      <c r="B1840" s="675" t="s">
        <v>1289</v>
      </c>
      <c r="C1840" s="706" t="s">
        <v>246</v>
      </c>
      <c r="D1840" s="418" t="str">
        <f t="shared" si="27"/>
        <v>UBND Xã Hưng Long</v>
      </c>
      <c r="E1840" s="507" t="s">
        <v>5026</v>
      </c>
      <c r="F1840" s="507" t="s">
        <v>244</v>
      </c>
      <c r="G1840" s="415">
        <v>650</v>
      </c>
      <c r="H1840" s="370" t="s">
        <v>964</v>
      </c>
    </row>
    <row r="1841" spans="1:8" s="673" customFormat="1">
      <c r="A1841" s="309">
        <v>606</v>
      </c>
      <c r="B1841" s="675" t="s">
        <v>1306</v>
      </c>
      <c r="C1841" s="706" t="s">
        <v>246</v>
      </c>
      <c r="D1841" s="418" t="str">
        <f t="shared" si="27"/>
        <v>UBND Xã Hưng Long</v>
      </c>
      <c r="E1841" s="507" t="s">
        <v>5026</v>
      </c>
      <c r="F1841" s="507" t="s">
        <v>5027</v>
      </c>
      <c r="G1841" s="415">
        <v>1200</v>
      </c>
      <c r="H1841" s="370" t="s">
        <v>188</v>
      </c>
    </row>
    <row r="1842" spans="1:8" s="673" customFormat="1">
      <c r="A1842" s="309">
        <v>607</v>
      </c>
      <c r="B1842" s="675" t="s">
        <v>1323</v>
      </c>
      <c r="C1842" s="706" t="s">
        <v>246</v>
      </c>
      <c r="D1842" s="418" t="str">
        <f t="shared" si="27"/>
        <v>UBND Xã Hưng Long</v>
      </c>
      <c r="E1842" s="507" t="s">
        <v>5026</v>
      </c>
      <c r="F1842" s="507" t="s">
        <v>5027</v>
      </c>
      <c r="G1842" s="415">
        <v>900</v>
      </c>
      <c r="H1842" s="370" t="s">
        <v>221</v>
      </c>
    </row>
    <row r="1843" spans="1:8" s="673" customFormat="1">
      <c r="A1843" s="309">
        <v>608</v>
      </c>
      <c r="B1843" s="675" t="s">
        <v>1340</v>
      </c>
      <c r="C1843" s="706" t="s">
        <v>246</v>
      </c>
      <c r="D1843" s="418" t="str">
        <f t="shared" si="27"/>
        <v>UBND Xã Hưng Long</v>
      </c>
      <c r="E1843" s="507" t="s">
        <v>5026</v>
      </c>
      <c r="F1843" s="507" t="s">
        <v>5027</v>
      </c>
      <c r="G1843" s="415">
        <v>650</v>
      </c>
      <c r="H1843" s="370" t="s">
        <v>207</v>
      </c>
    </row>
    <row r="1844" spans="1:8" s="673" customFormat="1">
      <c r="A1844" s="309">
        <v>609</v>
      </c>
      <c r="B1844" s="675" t="s">
        <v>1534</v>
      </c>
      <c r="C1844" s="706" t="s">
        <v>246</v>
      </c>
      <c r="D1844" s="418" t="str">
        <f t="shared" si="27"/>
        <v>UBND Xã Hưng Long</v>
      </c>
      <c r="E1844" s="507" t="s">
        <v>5028</v>
      </c>
      <c r="F1844" s="507" t="s">
        <v>5027</v>
      </c>
      <c r="G1844" s="415">
        <v>1900</v>
      </c>
      <c r="H1844" s="370" t="s">
        <v>207</v>
      </c>
    </row>
    <row r="1845" spans="1:8" s="673" customFormat="1">
      <c r="A1845" s="309">
        <v>610</v>
      </c>
      <c r="B1845" s="675" t="s">
        <v>1551</v>
      </c>
      <c r="C1845" s="706" t="s">
        <v>246</v>
      </c>
      <c r="D1845" s="418" t="str">
        <f t="shared" si="27"/>
        <v>UBND Xã Hưng Long</v>
      </c>
      <c r="E1845" s="507" t="s">
        <v>5028</v>
      </c>
      <c r="F1845" s="507" t="s">
        <v>5027</v>
      </c>
      <c r="G1845" s="415">
        <v>1800</v>
      </c>
      <c r="H1845" s="370" t="s">
        <v>210</v>
      </c>
    </row>
    <row r="1846" spans="1:8" s="673" customFormat="1">
      <c r="A1846" s="309">
        <v>611</v>
      </c>
      <c r="B1846" s="675" t="s">
        <v>1079</v>
      </c>
      <c r="C1846" s="706" t="s">
        <v>246</v>
      </c>
      <c r="D1846" s="418" t="str">
        <f t="shared" si="27"/>
        <v>UBND Xã Hưng Long</v>
      </c>
      <c r="E1846" s="507" t="s">
        <v>5028</v>
      </c>
      <c r="F1846" s="507" t="s">
        <v>5027</v>
      </c>
      <c r="G1846" s="415">
        <v>2050</v>
      </c>
      <c r="H1846" s="370" t="s">
        <v>210</v>
      </c>
    </row>
    <row r="1847" spans="1:8" s="673" customFormat="1">
      <c r="A1847" s="309">
        <v>612</v>
      </c>
      <c r="B1847" s="277" t="s">
        <v>5053</v>
      </c>
      <c r="C1847" s="706" t="s">
        <v>5116</v>
      </c>
      <c r="D1847" s="418" t="str">
        <f t="shared" si="27"/>
        <v>UBND Xã Nhà Bè</v>
      </c>
      <c r="E1847" s="505" t="s">
        <v>126</v>
      </c>
      <c r="F1847" s="505" t="s">
        <v>3886</v>
      </c>
      <c r="G1847" s="415">
        <v>2500</v>
      </c>
      <c r="H1847" s="370"/>
    </row>
    <row r="1848" spans="1:8" s="673" customFormat="1">
      <c r="A1848" s="309">
        <v>613</v>
      </c>
      <c r="B1848" s="277" t="s">
        <v>3886</v>
      </c>
      <c r="C1848" s="706" t="s">
        <v>5116</v>
      </c>
      <c r="D1848" s="418" t="str">
        <f t="shared" si="27"/>
        <v>UBND Xã Nhà Bè</v>
      </c>
      <c r="E1848" s="505" t="s">
        <v>3353</v>
      </c>
      <c r="F1848" s="505" t="s">
        <v>407</v>
      </c>
      <c r="G1848" s="415">
        <v>2000</v>
      </c>
      <c r="H1848" s="370"/>
    </row>
    <row r="1849" spans="1:8" s="673" customFormat="1">
      <c r="A1849" s="309">
        <v>614</v>
      </c>
      <c r="B1849" s="277" t="s">
        <v>3428</v>
      </c>
      <c r="C1849" s="706" t="s">
        <v>5116</v>
      </c>
      <c r="D1849" s="418" t="str">
        <f t="shared" si="27"/>
        <v>UBND Xã Nhà Bè</v>
      </c>
      <c r="E1849" s="505" t="s">
        <v>691</v>
      </c>
      <c r="F1849" s="505" t="s">
        <v>3353</v>
      </c>
      <c r="G1849" s="415">
        <v>3500</v>
      </c>
      <c r="H1849" s="370"/>
    </row>
    <row r="1850" spans="1:8" s="673" customFormat="1">
      <c r="A1850" s="309">
        <v>615</v>
      </c>
      <c r="B1850" s="277" t="s">
        <v>3584</v>
      </c>
      <c r="C1850" s="706" t="s">
        <v>5116</v>
      </c>
      <c r="D1850" s="418" t="str">
        <f t="shared" si="27"/>
        <v>UBND Xã Nhà Bè</v>
      </c>
      <c r="E1850" s="505" t="s">
        <v>3353</v>
      </c>
      <c r="F1850" s="505" t="s">
        <v>407</v>
      </c>
      <c r="G1850" s="415">
        <v>2500</v>
      </c>
      <c r="H1850" s="370"/>
    </row>
    <row r="1851" spans="1:8" s="673" customFormat="1">
      <c r="A1851" s="309">
        <v>616</v>
      </c>
      <c r="B1851" s="277" t="s">
        <v>3887</v>
      </c>
      <c r="C1851" s="706" t="s">
        <v>5116</v>
      </c>
      <c r="D1851" s="418" t="str">
        <f t="shared" si="27"/>
        <v>UBND Xã Nhà Bè</v>
      </c>
      <c r="E1851" s="505" t="s">
        <v>5054</v>
      </c>
      <c r="F1851" s="505" t="s">
        <v>407</v>
      </c>
      <c r="G1851" s="415">
        <v>2500</v>
      </c>
      <c r="H1851" s="370"/>
    </row>
    <row r="1852" spans="1:8" s="673" customFormat="1">
      <c r="A1852" s="309">
        <v>617</v>
      </c>
      <c r="B1852" s="277" t="s">
        <v>688</v>
      </c>
      <c r="C1852" s="706" t="s">
        <v>5116</v>
      </c>
      <c r="D1852" s="418" t="str">
        <f t="shared" si="27"/>
        <v>UBND Xã Nhà Bè</v>
      </c>
      <c r="E1852" s="505" t="s">
        <v>669</v>
      </c>
      <c r="F1852" s="505" t="s">
        <v>407</v>
      </c>
      <c r="G1852" s="415">
        <v>2000</v>
      </c>
      <c r="H1852" s="370"/>
    </row>
    <row r="1853" spans="1:8" s="673" customFormat="1">
      <c r="A1853" s="309">
        <v>618</v>
      </c>
      <c r="B1853" s="279" t="s">
        <v>2824</v>
      </c>
      <c r="C1853" s="706" t="s">
        <v>5128</v>
      </c>
      <c r="D1853" s="418" t="str">
        <f t="shared" si="27"/>
        <v>UBND Xã Nhuận Đức</v>
      </c>
      <c r="E1853" s="505" t="s">
        <v>433</v>
      </c>
      <c r="F1853" s="505" t="s">
        <v>407</v>
      </c>
      <c r="G1853" s="415">
        <v>140</v>
      </c>
      <c r="H1853" s="370"/>
    </row>
    <row r="1854" spans="1:8" s="673" customFormat="1">
      <c r="A1854" s="309">
        <v>619</v>
      </c>
      <c r="B1854" s="277" t="s">
        <v>2978</v>
      </c>
      <c r="C1854" s="706" t="s">
        <v>5128</v>
      </c>
      <c r="D1854" s="418" t="str">
        <f t="shared" si="27"/>
        <v>UBND Xã Nhuận Đức</v>
      </c>
      <c r="E1854" s="505" t="s">
        <v>433</v>
      </c>
      <c r="F1854" s="505" t="s">
        <v>2806</v>
      </c>
      <c r="G1854" s="415">
        <v>300</v>
      </c>
      <c r="H1854" s="370"/>
    </row>
    <row r="1855" spans="1:8" s="673" customFormat="1">
      <c r="A1855" s="309">
        <v>620</v>
      </c>
      <c r="B1855" s="277" t="s">
        <v>2982</v>
      </c>
      <c r="C1855" s="706" t="s">
        <v>5128</v>
      </c>
      <c r="D1855" s="418" t="str">
        <f t="shared" si="27"/>
        <v>UBND Xã Nhuận Đức</v>
      </c>
      <c r="E1855" s="505" t="s">
        <v>433</v>
      </c>
      <c r="F1855" s="505" t="s">
        <v>2806</v>
      </c>
      <c r="G1855" s="415">
        <v>300</v>
      </c>
      <c r="H1855" s="370"/>
    </row>
    <row r="1856" spans="1:8" s="673" customFormat="1">
      <c r="A1856" s="309">
        <v>621</v>
      </c>
      <c r="B1856" s="277" t="s">
        <v>2984</v>
      </c>
      <c r="C1856" s="706" t="s">
        <v>5128</v>
      </c>
      <c r="D1856" s="418" t="str">
        <f t="shared" ref="D1856:D1919" si="28">"UBND "&amp;C1856</f>
        <v>UBND Xã Nhuận Đức</v>
      </c>
      <c r="E1856" s="505" t="s">
        <v>433</v>
      </c>
      <c r="F1856" s="505" t="s">
        <v>2806</v>
      </c>
      <c r="G1856" s="415">
        <v>700</v>
      </c>
      <c r="H1856" s="370"/>
    </row>
    <row r="1857" spans="1:8" s="673" customFormat="1">
      <c r="A1857" s="309">
        <v>622</v>
      </c>
      <c r="B1857" s="277" t="s">
        <v>2989</v>
      </c>
      <c r="C1857" s="706" t="s">
        <v>5128</v>
      </c>
      <c r="D1857" s="418" t="str">
        <f t="shared" si="28"/>
        <v>UBND Xã Nhuận Đức</v>
      </c>
      <c r="E1857" s="505" t="s">
        <v>433</v>
      </c>
      <c r="F1857" s="505" t="s">
        <v>2806</v>
      </c>
      <c r="G1857" s="415">
        <v>500</v>
      </c>
      <c r="H1857" s="370"/>
    </row>
    <row r="1858" spans="1:8" s="673" customFormat="1">
      <c r="A1858" s="309">
        <v>623</v>
      </c>
      <c r="B1858" s="277" t="s">
        <v>2990</v>
      </c>
      <c r="C1858" s="706" t="s">
        <v>5128</v>
      </c>
      <c r="D1858" s="418" t="str">
        <f t="shared" si="28"/>
        <v>UBND Xã Nhuận Đức</v>
      </c>
      <c r="E1858" s="505" t="s">
        <v>433</v>
      </c>
      <c r="F1858" s="505" t="s">
        <v>2806</v>
      </c>
      <c r="G1858" s="415">
        <v>500</v>
      </c>
      <c r="H1858" s="370"/>
    </row>
    <row r="1859" spans="1:8" s="673" customFormat="1">
      <c r="A1859" s="309">
        <v>624</v>
      </c>
      <c r="B1859" s="277" t="s">
        <v>3003</v>
      </c>
      <c r="C1859" s="706" t="s">
        <v>5128</v>
      </c>
      <c r="D1859" s="418" t="str">
        <f t="shared" si="28"/>
        <v>UBND Xã Nhuận Đức</v>
      </c>
      <c r="E1859" s="505" t="s">
        <v>433</v>
      </c>
      <c r="F1859" s="505" t="s">
        <v>2806</v>
      </c>
      <c r="G1859" s="415">
        <v>250</v>
      </c>
      <c r="H1859" s="370"/>
    </row>
    <row r="1860" spans="1:8" s="673" customFormat="1">
      <c r="A1860" s="309">
        <v>625</v>
      </c>
      <c r="B1860" s="277" t="s">
        <v>3004</v>
      </c>
      <c r="C1860" s="706" t="s">
        <v>5128</v>
      </c>
      <c r="D1860" s="418" t="str">
        <f t="shared" si="28"/>
        <v>UBND Xã Nhuận Đức</v>
      </c>
      <c r="E1860" s="505" t="s">
        <v>433</v>
      </c>
      <c r="F1860" s="505" t="s">
        <v>2806</v>
      </c>
      <c r="G1860" s="415">
        <v>300</v>
      </c>
      <c r="H1860" s="370"/>
    </row>
    <row r="1861" spans="1:8" s="673" customFormat="1">
      <c r="A1861" s="309">
        <v>626</v>
      </c>
      <c r="B1861" s="277" t="s">
        <v>3813</v>
      </c>
      <c r="C1861" s="706" t="s">
        <v>5126</v>
      </c>
      <c r="D1861" s="418" t="str">
        <f t="shared" si="28"/>
        <v>UBND Xã Phú Hòa Đông</v>
      </c>
      <c r="E1861" s="505" t="s">
        <v>2341</v>
      </c>
      <c r="F1861" s="505" t="s">
        <v>2742</v>
      </c>
      <c r="G1861" s="415">
        <v>1800</v>
      </c>
      <c r="H1861" s="370"/>
    </row>
    <row r="1862" spans="1:8" s="673" customFormat="1">
      <c r="A1862" s="309">
        <v>627</v>
      </c>
      <c r="B1862" s="277" t="s">
        <v>2760</v>
      </c>
      <c r="C1862" s="706" t="s">
        <v>5126</v>
      </c>
      <c r="D1862" s="418" t="str">
        <f t="shared" si="28"/>
        <v>UBND Xã Phú Hòa Đông</v>
      </c>
      <c r="E1862" s="505" t="s">
        <v>5034</v>
      </c>
      <c r="F1862" s="505" t="s">
        <v>1113</v>
      </c>
      <c r="G1862" s="415">
        <v>1230</v>
      </c>
      <c r="H1862" s="370"/>
    </row>
    <row r="1863" spans="1:8" s="673" customFormat="1">
      <c r="A1863" s="309">
        <v>628</v>
      </c>
      <c r="B1863" s="277" t="s">
        <v>2767</v>
      </c>
      <c r="C1863" s="706" t="s">
        <v>5126</v>
      </c>
      <c r="D1863" s="418" t="str">
        <f t="shared" si="28"/>
        <v>UBND Xã Phú Hòa Đông</v>
      </c>
      <c r="E1863" s="505" t="s">
        <v>2768</v>
      </c>
      <c r="F1863" s="505" t="s">
        <v>407</v>
      </c>
      <c r="G1863" s="415">
        <v>1002</v>
      </c>
      <c r="H1863" s="370"/>
    </row>
    <row r="1864" spans="1:8" s="673" customFormat="1">
      <c r="A1864" s="309">
        <v>629</v>
      </c>
      <c r="B1864" s="278" t="s">
        <v>2769</v>
      </c>
      <c r="C1864" s="706" t="s">
        <v>5126</v>
      </c>
      <c r="D1864" s="418" t="str">
        <f t="shared" si="28"/>
        <v>UBND Xã Phú Hòa Đông</v>
      </c>
      <c r="E1864" s="505" t="s">
        <v>2770</v>
      </c>
      <c r="F1864" s="505" t="s">
        <v>407</v>
      </c>
      <c r="G1864" s="711">
        <v>565.5</v>
      </c>
      <c r="H1864" s="370"/>
    </row>
    <row r="1865" spans="1:8" s="673" customFormat="1">
      <c r="A1865" s="309">
        <v>630</v>
      </c>
      <c r="B1865" s="279" t="s">
        <v>2771</v>
      </c>
      <c r="C1865" s="706" t="s">
        <v>5126</v>
      </c>
      <c r="D1865" s="418" t="str">
        <f t="shared" si="28"/>
        <v>UBND Xã Phú Hòa Đông</v>
      </c>
      <c r="E1865" s="505" t="s">
        <v>2770</v>
      </c>
      <c r="F1865" s="505" t="s">
        <v>407</v>
      </c>
      <c r="G1865" s="711">
        <v>1052</v>
      </c>
      <c r="H1865" s="370"/>
    </row>
    <row r="1866" spans="1:8" s="673" customFormat="1">
      <c r="A1866" s="309">
        <v>631</v>
      </c>
      <c r="B1866" s="279" t="s">
        <v>2772</v>
      </c>
      <c r="C1866" s="706" t="s">
        <v>5126</v>
      </c>
      <c r="D1866" s="418" t="str">
        <f t="shared" si="28"/>
        <v>UBND Xã Phú Hòa Đông</v>
      </c>
      <c r="E1866" s="505" t="s">
        <v>1113</v>
      </c>
      <c r="F1866" s="505" t="s">
        <v>407</v>
      </c>
      <c r="G1866" s="711">
        <v>591</v>
      </c>
      <c r="H1866" s="370"/>
    </row>
    <row r="1867" spans="1:8" s="673" customFormat="1">
      <c r="A1867" s="309">
        <v>632</v>
      </c>
      <c r="B1867" s="279" t="s">
        <v>2773</v>
      </c>
      <c r="C1867" s="706" t="s">
        <v>5126</v>
      </c>
      <c r="D1867" s="418" t="str">
        <f t="shared" si="28"/>
        <v>UBND Xã Phú Hòa Đông</v>
      </c>
      <c r="E1867" s="505" t="s">
        <v>1113</v>
      </c>
      <c r="F1867" s="505" t="s">
        <v>407</v>
      </c>
      <c r="G1867" s="415">
        <v>772</v>
      </c>
      <c r="H1867" s="370"/>
    </row>
    <row r="1868" spans="1:8" s="673" customFormat="1">
      <c r="A1868" s="309">
        <v>633</v>
      </c>
      <c r="B1868" s="279" t="s">
        <v>2775</v>
      </c>
      <c r="C1868" s="706" t="s">
        <v>5126</v>
      </c>
      <c r="D1868" s="418" t="str">
        <f t="shared" si="28"/>
        <v>UBND Xã Phú Hòa Đông</v>
      </c>
      <c r="E1868" s="505" t="s">
        <v>2776</v>
      </c>
      <c r="F1868" s="505" t="s">
        <v>2465</v>
      </c>
      <c r="G1868" s="415">
        <v>630</v>
      </c>
      <c r="H1868" s="370"/>
    </row>
    <row r="1869" spans="1:8" s="673" customFormat="1">
      <c r="A1869" s="309">
        <v>634</v>
      </c>
      <c r="B1869" s="279" t="s">
        <v>2777</v>
      </c>
      <c r="C1869" s="706" t="s">
        <v>5126</v>
      </c>
      <c r="D1869" s="418" t="str">
        <f t="shared" si="28"/>
        <v>UBND Xã Phú Hòa Đông</v>
      </c>
      <c r="E1869" s="505" t="s">
        <v>2770</v>
      </c>
      <c r="F1869" s="505" t="s">
        <v>407</v>
      </c>
      <c r="G1869" s="415">
        <v>985.6</v>
      </c>
      <c r="H1869" s="370"/>
    </row>
    <row r="1870" spans="1:8" s="673" customFormat="1">
      <c r="A1870" s="309">
        <v>635</v>
      </c>
      <c r="B1870" s="279" t="s">
        <v>2778</v>
      </c>
      <c r="C1870" s="706" t="s">
        <v>5126</v>
      </c>
      <c r="D1870" s="418" t="str">
        <f t="shared" si="28"/>
        <v>UBND Xã Phú Hòa Đông</v>
      </c>
      <c r="E1870" s="505" t="s">
        <v>2770</v>
      </c>
      <c r="F1870" s="505" t="s">
        <v>2465</v>
      </c>
      <c r="G1870" s="415">
        <v>943.4</v>
      </c>
      <c r="H1870" s="370"/>
    </row>
    <row r="1871" spans="1:8" s="673" customFormat="1">
      <c r="A1871" s="309">
        <v>636</v>
      </c>
      <c r="B1871" s="279" t="s">
        <v>2776</v>
      </c>
      <c r="C1871" s="706" t="s">
        <v>5126</v>
      </c>
      <c r="D1871" s="418" t="str">
        <f t="shared" si="28"/>
        <v>UBND Xã Phú Hòa Đông</v>
      </c>
      <c r="E1871" s="505" t="s">
        <v>1113</v>
      </c>
      <c r="F1871" s="505" t="s">
        <v>2465</v>
      </c>
      <c r="G1871" s="415">
        <v>1322</v>
      </c>
      <c r="H1871" s="370"/>
    </row>
    <row r="1872" spans="1:8" s="673" customFormat="1">
      <c r="A1872" s="309">
        <v>637</v>
      </c>
      <c r="B1872" s="277" t="s">
        <v>2779</v>
      </c>
      <c r="C1872" s="706" t="s">
        <v>5126</v>
      </c>
      <c r="D1872" s="418" t="str">
        <f t="shared" si="28"/>
        <v>UBND Xã Phú Hòa Đông</v>
      </c>
      <c r="E1872" s="505" t="s">
        <v>643</v>
      </c>
      <c r="F1872" s="505" t="s">
        <v>2465</v>
      </c>
      <c r="G1872" s="415">
        <v>629</v>
      </c>
      <c r="H1872" s="370"/>
    </row>
    <row r="1873" spans="1:8" s="673" customFormat="1">
      <c r="A1873" s="309">
        <v>638</v>
      </c>
      <c r="B1873" s="277" t="s">
        <v>2780</v>
      </c>
      <c r="C1873" s="706" t="s">
        <v>5126</v>
      </c>
      <c r="D1873" s="418" t="str">
        <f t="shared" si="28"/>
        <v>UBND Xã Phú Hòa Đông</v>
      </c>
      <c r="E1873" s="505" t="s">
        <v>643</v>
      </c>
      <c r="F1873" s="505" t="s">
        <v>2465</v>
      </c>
      <c r="G1873" s="415">
        <v>596</v>
      </c>
      <c r="H1873" s="370"/>
    </row>
    <row r="1874" spans="1:8" s="673" customFormat="1">
      <c r="A1874" s="309">
        <v>639</v>
      </c>
      <c r="B1874" s="277" t="s">
        <v>2781</v>
      </c>
      <c r="C1874" s="706" t="s">
        <v>5126</v>
      </c>
      <c r="D1874" s="418" t="str">
        <f t="shared" si="28"/>
        <v>UBND Xã Phú Hòa Đông</v>
      </c>
      <c r="E1874" s="505" t="s">
        <v>2770</v>
      </c>
      <c r="F1874" s="505" t="s">
        <v>2465</v>
      </c>
      <c r="G1874" s="415">
        <v>721</v>
      </c>
      <c r="H1874" s="370"/>
    </row>
    <row r="1875" spans="1:8" s="673" customFormat="1">
      <c r="A1875" s="309">
        <v>640</v>
      </c>
      <c r="B1875" s="277" t="s">
        <v>2770</v>
      </c>
      <c r="C1875" s="706" t="s">
        <v>5126</v>
      </c>
      <c r="D1875" s="418" t="str">
        <f t="shared" si="28"/>
        <v>UBND Xã Phú Hòa Đông</v>
      </c>
      <c r="E1875" s="505" t="s">
        <v>2782</v>
      </c>
      <c r="F1875" s="505" t="s">
        <v>2465</v>
      </c>
      <c r="G1875" s="415">
        <v>1582.5</v>
      </c>
      <c r="H1875" s="370"/>
    </row>
    <row r="1876" spans="1:8" s="673" customFormat="1">
      <c r="A1876" s="309">
        <v>641</v>
      </c>
      <c r="B1876" s="277" t="s">
        <v>2783</v>
      </c>
      <c r="C1876" s="706" t="s">
        <v>5126</v>
      </c>
      <c r="D1876" s="418" t="str">
        <f t="shared" si="28"/>
        <v>UBND Xã Phú Hòa Đông</v>
      </c>
      <c r="E1876" s="505" t="s">
        <v>1113</v>
      </c>
      <c r="F1876" s="505" t="s">
        <v>2465</v>
      </c>
      <c r="G1876" s="415">
        <v>220.6</v>
      </c>
      <c r="H1876" s="370"/>
    </row>
    <row r="1877" spans="1:8" s="673" customFormat="1">
      <c r="A1877" s="309">
        <v>642</v>
      </c>
      <c r="B1877" s="280" t="s">
        <v>2784</v>
      </c>
      <c r="C1877" s="706" t="s">
        <v>5126</v>
      </c>
      <c r="D1877" s="418" t="str">
        <f t="shared" si="28"/>
        <v>UBND Xã Phú Hòa Đông</v>
      </c>
      <c r="E1877" s="505" t="s">
        <v>1113</v>
      </c>
      <c r="F1877" s="505" t="s">
        <v>407</v>
      </c>
      <c r="G1877" s="415">
        <v>417.1</v>
      </c>
      <c r="H1877" s="370"/>
    </row>
    <row r="1878" spans="1:8" s="673" customFormat="1">
      <c r="A1878" s="309">
        <v>643</v>
      </c>
      <c r="B1878" s="280" t="s">
        <v>2785</v>
      </c>
      <c r="C1878" s="706" t="s">
        <v>5126</v>
      </c>
      <c r="D1878" s="418" t="str">
        <f t="shared" si="28"/>
        <v>UBND Xã Phú Hòa Đông</v>
      </c>
      <c r="E1878" s="505" t="s">
        <v>1113</v>
      </c>
      <c r="F1878" s="505" t="s">
        <v>2465</v>
      </c>
      <c r="G1878" s="415">
        <v>751.6</v>
      </c>
      <c r="H1878" s="370"/>
    </row>
    <row r="1879" spans="1:8" s="673" customFormat="1">
      <c r="A1879" s="309">
        <v>644</v>
      </c>
      <c r="B1879" s="278" t="s">
        <v>2788</v>
      </c>
      <c r="C1879" s="706" t="s">
        <v>5126</v>
      </c>
      <c r="D1879" s="418" t="str">
        <f t="shared" si="28"/>
        <v>UBND Xã Phú Hòa Đông</v>
      </c>
      <c r="E1879" s="505" t="s">
        <v>2789</v>
      </c>
      <c r="F1879" s="505" t="s">
        <v>2790</v>
      </c>
      <c r="G1879" s="711">
        <v>356</v>
      </c>
      <c r="H1879" s="370"/>
    </row>
    <row r="1880" spans="1:8" s="673" customFormat="1">
      <c r="A1880" s="309">
        <v>645</v>
      </c>
      <c r="B1880" s="278" t="s">
        <v>2791</v>
      </c>
      <c r="C1880" s="706" t="s">
        <v>5126</v>
      </c>
      <c r="D1880" s="418" t="str">
        <f t="shared" si="28"/>
        <v>UBND Xã Phú Hòa Đông</v>
      </c>
      <c r="E1880" s="505" t="s">
        <v>2789</v>
      </c>
      <c r="F1880" s="505" t="s">
        <v>2792</v>
      </c>
      <c r="G1880" s="711">
        <v>508</v>
      </c>
      <c r="H1880" s="370"/>
    </row>
    <row r="1881" spans="1:8" s="673" customFormat="1">
      <c r="A1881" s="309">
        <v>646</v>
      </c>
      <c r="B1881" s="279" t="s">
        <v>2793</v>
      </c>
      <c r="C1881" s="706" t="s">
        <v>5126</v>
      </c>
      <c r="D1881" s="418" t="str">
        <f t="shared" si="28"/>
        <v>UBND Xã Phú Hòa Đông</v>
      </c>
      <c r="E1881" s="505" t="s">
        <v>1306</v>
      </c>
      <c r="F1881" s="505" t="s">
        <v>2794</v>
      </c>
      <c r="G1881" s="711">
        <v>539</v>
      </c>
      <c r="H1881" s="370"/>
    </row>
    <row r="1882" spans="1:8" s="673" customFormat="1">
      <c r="A1882" s="309">
        <v>647</v>
      </c>
      <c r="B1882" s="279" t="s">
        <v>2795</v>
      </c>
      <c r="C1882" s="706" t="s">
        <v>5126</v>
      </c>
      <c r="D1882" s="418" t="str">
        <f t="shared" si="28"/>
        <v>UBND Xã Phú Hòa Đông</v>
      </c>
      <c r="E1882" s="505" t="s">
        <v>1246</v>
      </c>
      <c r="F1882" s="505" t="s">
        <v>2796</v>
      </c>
      <c r="G1882" s="711">
        <v>715</v>
      </c>
      <c r="H1882" s="370"/>
    </row>
    <row r="1883" spans="1:8" s="673" customFormat="1">
      <c r="A1883" s="309">
        <v>648</v>
      </c>
      <c r="B1883" s="279" t="s">
        <v>2797</v>
      </c>
      <c r="C1883" s="706" t="s">
        <v>5126</v>
      </c>
      <c r="D1883" s="418" t="str">
        <f t="shared" si="28"/>
        <v>UBND Xã Phú Hòa Đông</v>
      </c>
      <c r="E1883" s="505" t="s">
        <v>3550</v>
      </c>
      <c r="F1883" s="505" t="s">
        <v>2794</v>
      </c>
      <c r="G1883" s="711">
        <v>249</v>
      </c>
      <c r="H1883" s="370"/>
    </row>
    <row r="1884" spans="1:8" s="673" customFormat="1">
      <c r="A1884" s="309">
        <v>649</v>
      </c>
      <c r="B1884" s="279" t="s">
        <v>2798</v>
      </c>
      <c r="C1884" s="706" t="s">
        <v>5126</v>
      </c>
      <c r="D1884" s="418" t="str">
        <f t="shared" si="28"/>
        <v>UBND Xã Phú Hòa Đông</v>
      </c>
      <c r="E1884" s="505" t="s">
        <v>3550</v>
      </c>
      <c r="F1884" s="505" t="s">
        <v>2799</v>
      </c>
      <c r="G1884" s="415">
        <v>759</v>
      </c>
      <c r="H1884" s="370"/>
    </row>
    <row r="1885" spans="1:8" s="673" customFormat="1">
      <c r="A1885" s="309">
        <v>650</v>
      </c>
      <c r="B1885" s="279" t="s">
        <v>2800</v>
      </c>
      <c r="C1885" s="706" t="s">
        <v>5126</v>
      </c>
      <c r="D1885" s="418" t="str">
        <f t="shared" si="28"/>
        <v>UBND Xã Phú Hòa Đông</v>
      </c>
      <c r="E1885" s="505" t="s">
        <v>3550</v>
      </c>
      <c r="F1885" s="505" t="s">
        <v>2801</v>
      </c>
      <c r="G1885" s="415">
        <v>233</v>
      </c>
      <c r="H1885" s="370"/>
    </row>
    <row r="1886" spans="1:8" s="673" customFormat="1">
      <c r="A1886" s="309">
        <v>651</v>
      </c>
      <c r="B1886" s="279" t="s">
        <v>2802</v>
      </c>
      <c r="C1886" s="706" t="s">
        <v>5126</v>
      </c>
      <c r="D1886" s="418" t="str">
        <f t="shared" si="28"/>
        <v>UBND Xã Phú Hòa Đông</v>
      </c>
      <c r="E1886" s="505" t="s">
        <v>2803</v>
      </c>
      <c r="F1886" s="505" t="s">
        <v>2804</v>
      </c>
      <c r="G1886" s="415">
        <v>619</v>
      </c>
      <c r="H1886" s="370"/>
    </row>
    <row r="1887" spans="1:8" s="673" customFormat="1">
      <c r="A1887" s="309">
        <v>652</v>
      </c>
      <c r="B1887" s="277" t="s">
        <v>2805</v>
      </c>
      <c r="C1887" s="706" t="s">
        <v>5126</v>
      </c>
      <c r="D1887" s="418" t="str">
        <f t="shared" si="28"/>
        <v>UBND Xã Phú Hòa Đông</v>
      </c>
      <c r="E1887" s="505" t="s">
        <v>2471</v>
      </c>
      <c r="F1887" s="505" t="s">
        <v>2806</v>
      </c>
      <c r="G1887" s="415">
        <v>620</v>
      </c>
      <c r="H1887" s="370"/>
    </row>
    <row r="1888" spans="1:8" s="673" customFormat="1">
      <c r="A1888" s="309">
        <v>653</v>
      </c>
      <c r="B1888" s="277" t="s">
        <v>5036</v>
      </c>
      <c r="C1888" s="706" t="s">
        <v>5126</v>
      </c>
      <c r="D1888" s="418" t="str">
        <f t="shared" si="28"/>
        <v>UBND Xã Phú Hòa Đông</v>
      </c>
      <c r="E1888" s="505" t="s">
        <v>2849</v>
      </c>
      <c r="F1888" s="505" t="s">
        <v>433</v>
      </c>
      <c r="G1888" s="415">
        <v>300</v>
      </c>
      <c r="H1888" s="370"/>
    </row>
    <row r="1889" spans="1:8" s="673" customFormat="1">
      <c r="A1889" s="309">
        <v>654</v>
      </c>
      <c r="B1889" s="277" t="s">
        <v>2852</v>
      </c>
      <c r="C1889" s="706" t="s">
        <v>5126</v>
      </c>
      <c r="D1889" s="418" t="str">
        <f t="shared" si="28"/>
        <v>UBND Xã Phú Hòa Đông</v>
      </c>
      <c r="E1889" s="505" t="s">
        <v>2853</v>
      </c>
      <c r="F1889" s="505" t="s">
        <v>2854</v>
      </c>
      <c r="G1889" s="415">
        <v>200</v>
      </c>
      <c r="H1889" s="370"/>
    </row>
    <row r="1890" spans="1:8" s="673" customFormat="1">
      <c r="A1890" s="309">
        <v>655</v>
      </c>
      <c r="B1890" s="277" t="s">
        <v>2855</v>
      </c>
      <c r="C1890" s="706" t="s">
        <v>5126</v>
      </c>
      <c r="D1890" s="418" t="str">
        <f t="shared" si="28"/>
        <v>UBND Xã Phú Hòa Đông</v>
      </c>
      <c r="E1890" s="505" t="s">
        <v>2853</v>
      </c>
      <c r="F1890" s="505" t="s">
        <v>2856</v>
      </c>
      <c r="G1890" s="415">
        <v>200</v>
      </c>
      <c r="H1890" s="370"/>
    </row>
    <row r="1891" spans="1:8" s="673" customFormat="1">
      <c r="A1891" s="309">
        <v>656</v>
      </c>
      <c r="B1891" s="277" t="s">
        <v>2857</v>
      </c>
      <c r="C1891" s="706" t="s">
        <v>5126</v>
      </c>
      <c r="D1891" s="418" t="str">
        <f t="shared" si="28"/>
        <v>UBND Xã Phú Hòa Đông</v>
      </c>
      <c r="E1891" s="505" t="s">
        <v>2858</v>
      </c>
      <c r="F1891" s="505" t="s">
        <v>2859</v>
      </c>
      <c r="G1891" s="415">
        <v>50</v>
      </c>
      <c r="H1891" s="370"/>
    </row>
    <row r="1892" spans="1:8" s="673" customFormat="1">
      <c r="A1892" s="309">
        <v>657</v>
      </c>
      <c r="B1892" s="277" t="s">
        <v>2860</v>
      </c>
      <c r="C1892" s="706" t="s">
        <v>5126</v>
      </c>
      <c r="D1892" s="418" t="str">
        <f t="shared" si="28"/>
        <v>UBND Xã Phú Hòa Đông</v>
      </c>
      <c r="E1892" s="505" t="s">
        <v>2861</v>
      </c>
      <c r="F1892" s="505" t="s">
        <v>2862</v>
      </c>
      <c r="G1892" s="415">
        <v>250</v>
      </c>
      <c r="H1892" s="370"/>
    </row>
    <row r="1893" spans="1:8" s="673" customFormat="1">
      <c r="A1893" s="309">
        <v>658</v>
      </c>
      <c r="B1893" s="277" t="s">
        <v>2861</v>
      </c>
      <c r="C1893" s="706" t="s">
        <v>5126</v>
      </c>
      <c r="D1893" s="418" t="str">
        <f t="shared" si="28"/>
        <v>UBND Xã Phú Hòa Đông</v>
      </c>
      <c r="E1893" s="505" t="s">
        <v>2863</v>
      </c>
      <c r="F1893" s="505" t="s">
        <v>2864</v>
      </c>
      <c r="G1893" s="415">
        <v>300</v>
      </c>
      <c r="H1893" s="370"/>
    </row>
    <row r="1894" spans="1:8" s="673" customFormat="1">
      <c r="A1894" s="309">
        <v>659</v>
      </c>
      <c r="B1894" s="277" t="s">
        <v>5037</v>
      </c>
      <c r="C1894" s="706" t="s">
        <v>5126</v>
      </c>
      <c r="D1894" s="418" t="str">
        <f t="shared" si="28"/>
        <v>UBND Xã Phú Hòa Đông</v>
      </c>
      <c r="E1894" s="505" t="s">
        <v>2861</v>
      </c>
      <c r="F1894" s="505" t="s">
        <v>2866</v>
      </c>
      <c r="G1894" s="415">
        <v>400</v>
      </c>
      <c r="H1894" s="370"/>
    </row>
    <row r="1895" spans="1:8" s="673" customFormat="1">
      <c r="A1895" s="309">
        <v>660</v>
      </c>
      <c r="B1895" s="277" t="s">
        <v>2867</v>
      </c>
      <c r="C1895" s="706" t="s">
        <v>5126</v>
      </c>
      <c r="D1895" s="418" t="str">
        <f t="shared" si="28"/>
        <v>UBND Xã Phú Hòa Đông</v>
      </c>
      <c r="E1895" s="505" t="s">
        <v>2864</v>
      </c>
      <c r="F1895" s="505" t="s">
        <v>433</v>
      </c>
      <c r="G1895" s="415">
        <v>400</v>
      </c>
      <c r="H1895" s="370"/>
    </row>
    <row r="1896" spans="1:8" s="673" customFormat="1">
      <c r="A1896" s="309">
        <v>661</v>
      </c>
      <c r="B1896" s="277" t="s">
        <v>2868</v>
      </c>
      <c r="C1896" s="706" t="s">
        <v>5126</v>
      </c>
      <c r="D1896" s="418" t="str">
        <f t="shared" si="28"/>
        <v>UBND Xã Phú Hòa Đông</v>
      </c>
      <c r="E1896" s="505" t="s">
        <v>2864</v>
      </c>
      <c r="F1896" s="505" t="s">
        <v>433</v>
      </c>
      <c r="G1896" s="415">
        <v>200</v>
      </c>
      <c r="H1896" s="370"/>
    </row>
    <row r="1897" spans="1:8" s="673" customFormat="1">
      <c r="A1897" s="309">
        <v>662</v>
      </c>
      <c r="B1897" s="277" t="s">
        <v>2869</v>
      </c>
      <c r="C1897" s="706" t="s">
        <v>5126</v>
      </c>
      <c r="D1897" s="418" t="str">
        <f t="shared" si="28"/>
        <v>UBND Xã Phú Hòa Đông</v>
      </c>
      <c r="E1897" s="505" t="s">
        <v>2870</v>
      </c>
      <c r="F1897" s="505" t="s">
        <v>433</v>
      </c>
      <c r="G1897" s="415">
        <v>700</v>
      </c>
      <c r="H1897" s="370"/>
    </row>
    <row r="1898" spans="1:8" s="673" customFormat="1">
      <c r="A1898" s="309">
        <v>663</v>
      </c>
      <c r="B1898" s="277" t="s">
        <v>2871</v>
      </c>
      <c r="C1898" s="706" t="s">
        <v>5126</v>
      </c>
      <c r="D1898" s="418" t="str">
        <f t="shared" si="28"/>
        <v>UBND Xã Phú Hòa Đông</v>
      </c>
      <c r="E1898" s="505" t="s">
        <v>2872</v>
      </c>
      <c r="F1898" s="505" t="s">
        <v>2873</v>
      </c>
      <c r="G1898" s="415">
        <v>250</v>
      </c>
      <c r="H1898" s="370"/>
    </row>
    <row r="1899" spans="1:8" s="673" customFormat="1">
      <c r="A1899" s="309">
        <v>664</v>
      </c>
      <c r="B1899" s="277" t="s">
        <v>2874</v>
      </c>
      <c r="C1899" s="706" t="s">
        <v>5126</v>
      </c>
      <c r="D1899" s="418" t="str">
        <f t="shared" si="28"/>
        <v>UBND Xã Phú Hòa Đông</v>
      </c>
      <c r="E1899" s="505" t="s">
        <v>2872</v>
      </c>
      <c r="F1899" s="505" t="s">
        <v>2875</v>
      </c>
      <c r="G1899" s="415">
        <v>250</v>
      </c>
      <c r="H1899" s="370"/>
    </row>
    <row r="1900" spans="1:8" s="673" customFormat="1">
      <c r="A1900" s="309">
        <v>665</v>
      </c>
      <c r="B1900" s="277" t="s">
        <v>1010</v>
      </c>
      <c r="C1900" s="706" t="s">
        <v>5126</v>
      </c>
      <c r="D1900" s="418" t="str">
        <f t="shared" si="28"/>
        <v>UBND Xã Phú Hòa Đông</v>
      </c>
      <c r="E1900" s="505" t="s">
        <v>2872</v>
      </c>
      <c r="F1900" s="505" t="s">
        <v>2876</v>
      </c>
      <c r="G1900" s="415">
        <v>200</v>
      </c>
      <c r="H1900" s="370"/>
    </row>
    <row r="1901" spans="1:8" s="673" customFormat="1">
      <c r="A1901" s="309">
        <v>666</v>
      </c>
      <c r="B1901" s="277" t="s">
        <v>2877</v>
      </c>
      <c r="C1901" s="706" t="s">
        <v>5126</v>
      </c>
      <c r="D1901" s="418" t="str">
        <f t="shared" si="28"/>
        <v>UBND Xã Phú Hòa Đông</v>
      </c>
      <c r="E1901" s="505" t="s">
        <v>2878</v>
      </c>
      <c r="F1901" s="505" t="s">
        <v>2879</v>
      </c>
      <c r="G1901" s="415">
        <v>150</v>
      </c>
      <c r="H1901" s="370"/>
    </row>
    <row r="1902" spans="1:8" s="673" customFormat="1">
      <c r="A1902" s="309">
        <v>667</v>
      </c>
      <c r="B1902" s="277" t="s">
        <v>2884</v>
      </c>
      <c r="C1902" s="706" t="s">
        <v>5126</v>
      </c>
      <c r="D1902" s="418" t="str">
        <f t="shared" si="28"/>
        <v>UBND Xã Phú Hòa Đông</v>
      </c>
      <c r="E1902" s="505" t="s">
        <v>2878</v>
      </c>
      <c r="F1902" s="505" t="s">
        <v>2885</v>
      </c>
      <c r="G1902" s="415">
        <v>200</v>
      </c>
      <c r="H1902" s="370"/>
    </row>
    <row r="1903" spans="1:8" s="673" customFormat="1">
      <c r="A1903" s="309">
        <v>668</v>
      </c>
      <c r="B1903" s="277" t="s">
        <v>2875</v>
      </c>
      <c r="C1903" s="706" t="s">
        <v>5126</v>
      </c>
      <c r="D1903" s="418" t="str">
        <f t="shared" si="28"/>
        <v>UBND Xã Phú Hòa Đông</v>
      </c>
      <c r="E1903" s="505" t="s">
        <v>2886</v>
      </c>
      <c r="F1903" s="505" t="s">
        <v>1010</v>
      </c>
      <c r="G1903" s="415">
        <v>150</v>
      </c>
      <c r="H1903" s="370"/>
    </row>
    <row r="1904" spans="1:8" s="673" customFormat="1">
      <c r="A1904" s="309">
        <v>669</v>
      </c>
      <c r="B1904" s="277" t="s">
        <v>2887</v>
      </c>
      <c r="C1904" s="706" t="s">
        <v>5126</v>
      </c>
      <c r="D1904" s="418" t="str">
        <f t="shared" si="28"/>
        <v>UBND Xã Phú Hòa Đông</v>
      </c>
      <c r="E1904" s="505" t="s">
        <v>2888</v>
      </c>
      <c r="F1904" s="505" t="s">
        <v>2869</v>
      </c>
      <c r="G1904" s="415">
        <v>400</v>
      </c>
      <c r="H1904" s="370"/>
    </row>
    <row r="1905" spans="1:8" s="673" customFormat="1">
      <c r="A1905" s="309">
        <v>670</v>
      </c>
      <c r="B1905" s="277" t="s">
        <v>2889</v>
      </c>
      <c r="C1905" s="706" t="s">
        <v>5126</v>
      </c>
      <c r="D1905" s="418" t="str">
        <f t="shared" si="28"/>
        <v>UBND Xã Phú Hòa Đông</v>
      </c>
      <c r="E1905" s="505" t="s">
        <v>2888</v>
      </c>
      <c r="F1905" s="505" t="s">
        <v>2869</v>
      </c>
      <c r="G1905" s="415">
        <v>200</v>
      </c>
      <c r="H1905" s="370"/>
    </row>
    <row r="1906" spans="1:8" s="673" customFormat="1">
      <c r="A1906" s="309">
        <v>671</v>
      </c>
      <c r="B1906" s="277" t="s">
        <v>2890</v>
      </c>
      <c r="C1906" s="706" t="s">
        <v>5126</v>
      </c>
      <c r="D1906" s="418" t="str">
        <f t="shared" si="28"/>
        <v>UBND Xã Phú Hòa Đông</v>
      </c>
      <c r="E1906" s="505" t="s">
        <v>2891</v>
      </c>
      <c r="F1906" s="505" t="s">
        <v>407</v>
      </c>
      <c r="G1906" s="415">
        <v>400</v>
      </c>
      <c r="H1906" s="370"/>
    </row>
    <row r="1907" spans="1:8" s="673" customFormat="1">
      <c r="A1907" s="309">
        <v>672</v>
      </c>
      <c r="B1907" s="277" t="s">
        <v>2892</v>
      </c>
      <c r="C1907" s="706" t="s">
        <v>5126</v>
      </c>
      <c r="D1907" s="418" t="str">
        <f t="shared" si="28"/>
        <v>UBND Xã Phú Hòa Đông</v>
      </c>
      <c r="E1907" s="505" t="s">
        <v>2891</v>
      </c>
      <c r="F1907" s="505" t="s">
        <v>407</v>
      </c>
      <c r="G1907" s="415">
        <v>2000</v>
      </c>
      <c r="H1907" s="370"/>
    </row>
    <row r="1908" spans="1:8" s="673" customFormat="1">
      <c r="A1908" s="309">
        <v>673</v>
      </c>
      <c r="B1908" s="277" t="s">
        <v>2893</v>
      </c>
      <c r="C1908" s="706" t="s">
        <v>5126</v>
      </c>
      <c r="D1908" s="418" t="str">
        <f t="shared" si="28"/>
        <v>UBND Xã Phú Hòa Đông</v>
      </c>
      <c r="E1908" s="505" t="s">
        <v>2894</v>
      </c>
      <c r="F1908" s="505" t="s">
        <v>643</v>
      </c>
      <c r="G1908" s="415">
        <v>500</v>
      </c>
      <c r="H1908" s="370"/>
    </row>
    <row r="1909" spans="1:8" s="673" customFormat="1">
      <c r="A1909" s="309">
        <v>674</v>
      </c>
      <c r="B1909" s="277" t="s">
        <v>2895</v>
      </c>
      <c r="C1909" s="706" t="s">
        <v>5126</v>
      </c>
      <c r="D1909" s="418" t="str">
        <f t="shared" si="28"/>
        <v>UBND Xã Phú Hòa Đông</v>
      </c>
      <c r="E1909" s="505" t="s">
        <v>2894</v>
      </c>
      <c r="F1909" s="505" t="s">
        <v>643</v>
      </c>
      <c r="G1909" s="415">
        <v>500</v>
      </c>
      <c r="H1909" s="370"/>
    </row>
    <row r="1910" spans="1:8" s="673" customFormat="1">
      <c r="A1910" s="309">
        <v>675</v>
      </c>
      <c r="B1910" s="277" t="s">
        <v>2896</v>
      </c>
      <c r="C1910" s="706" t="s">
        <v>5126</v>
      </c>
      <c r="D1910" s="418" t="str">
        <f t="shared" si="28"/>
        <v>UBND Xã Phú Hòa Đông</v>
      </c>
      <c r="E1910" s="505" t="s">
        <v>2894</v>
      </c>
      <c r="F1910" s="505" t="s">
        <v>643</v>
      </c>
      <c r="G1910" s="415">
        <v>500</v>
      </c>
      <c r="H1910" s="370"/>
    </row>
    <row r="1911" spans="1:8" s="673" customFormat="1">
      <c r="A1911" s="309">
        <v>676</v>
      </c>
      <c r="B1911" s="277" t="s">
        <v>2897</v>
      </c>
      <c r="C1911" s="706" t="s">
        <v>5126</v>
      </c>
      <c r="D1911" s="418" t="str">
        <f t="shared" si="28"/>
        <v>UBND Xã Phú Hòa Đông</v>
      </c>
      <c r="E1911" s="505" t="s">
        <v>2894</v>
      </c>
      <c r="F1911" s="505" t="s">
        <v>643</v>
      </c>
      <c r="G1911" s="415">
        <v>500</v>
      </c>
      <c r="H1911" s="370"/>
    </row>
    <row r="1912" spans="1:8" s="673" customFormat="1">
      <c r="A1912" s="309">
        <v>677</v>
      </c>
      <c r="B1912" s="277" t="s">
        <v>2898</v>
      </c>
      <c r="C1912" s="706" t="s">
        <v>5126</v>
      </c>
      <c r="D1912" s="418" t="str">
        <f t="shared" si="28"/>
        <v>UBND Xã Phú Hòa Đông</v>
      </c>
      <c r="E1912" s="505" t="s">
        <v>2894</v>
      </c>
      <c r="F1912" s="505" t="s">
        <v>643</v>
      </c>
      <c r="G1912" s="415">
        <v>500</v>
      </c>
      <c r="H1912" s="370"/>
    </row>
    <row r="1913" spans="1:8" s="673" customFormat="1">
      <c r="A1913" s="309">
        <v>678</v>
      </c>
      <c r="B1913" s="277" t="s">
        <v>5038</v>
      </c>
      <c r="C1913" s="706" t="s">
        <v>5126</v>
      </c>
      <c r="D1913" s="418" t="str">
        <f t="shared" si="28"/>
        <v>UBND Xã Phú Hòa Đông</v>
      </c>
      <c r="E1913" s="505" t="s">
        <v>2900</v>
      </c>
      <c r="F1913" s="505" t="s">
        <v>433</v>
      </c>
      <c r="G1913" s="415">
        <v>100</v>
      </c>
      <c r="H1913" s="370"/>
    </row>
    <row r="1914" spans="1:8" s="673" customFormat="1">
      <c r="A1914" s="309">
        <v>679</v>
      </c>
      <c r="B1914" s="277" t="s">
        <v>2901</v>
      </c>
      <c r="C1914" s="706" t="s">
        <v>5126</v>
      </c>
      <c r="D1914" s="418" t="str">
        <f t="shared" si="28"/>
        <v>UBND Xã Phú Hòa Đông</v>
      </c>
      <c r="E1914" s="505" t="s">
        <v>2902</v>
      </c>
      <c r="F1914" s="505" t="s">
        <v>433</v>
      </c>
      <c r="G1914" s="415">
        <v>100</v>
      </c>
      <c r="H1914" s="370"/>
    </row>
    <row r="1915" spans="1:8" s="673" customFormat="1">
      <c r="A1915" s="309">
        <v>680</v>
      </c>
      <c r="B1915" s="277" t="s">
        <v>5039</v>
      </c>
      <c r="C1915" s="706" t="s">
        <v>5126</v>
      </c>
      <c r="D1915" s="418" t="str">
        <f t="shared" si="28"/>
        <v>UBND Xã Phú Hòa Đông</v>
      </c>
      <c r="E1915" s="505" t="s">
        <v>2894</v>
      </c>
      <c r="F1915" s="505" t="s">
        <v>643</v>
      </c>
      <c r="G1915" s="415">
        <v>500</v>
      </c>
      <c r="H1915" s="370"/>
    </row>
    <row r="1916" spans="1:8" s="673" customFormat="1">
      <c r="A1916" s="309">
        <v>681</v>
      </c>
      <c r="B1916" s="277" t="s">
        <v>2907</v>
      </c>
      <c r="C1916" s="706" t="s">
        <v>5126</v>
      </c>
      <c r="D1916" s="418" t="str">
        <f t="shared" si="28"/>
        <v>UBND Xã Phú Hòa Đông</v>
      </c>
      <c r="E1916" s="505" t="s">
        <v>2908</v>
      </c>
      <c r="F1916" s="505" t="s">
        <v>2909</v>
      </c>
      <c r="G1916" s="415">
        <v>1500</v>
      </c>
      <c r="H1916" s="370"/>
    </row>
    <row r="1917" spans="1:8" s="673" customFormat="1">
      <c r="A1917" s="309">
        <v>682</v>
      </c>
      <c r="B1917" s="277" t="s">
        <v>2910</v>
      </c>
      <c r="C1917" s="706" t="s">
        <v>5126</v>
      </c>
      <c r="D1917" s="418" t="str">
        <f t="shared" si="28"/>
        <v>UBND Xã Phú Hòa Đông</v>
      </c>
      <c r="E1917" s="505" t="s">
        <v>2911</v>
      </c>
      <c r="F1917" s="505" t="s">
        <v>2909</v>
      </c>
      <c r="G1917" s="415">
        <v>800</v>
      </c>
      <c r="H1917" s="370"/>
    </row>
    <row r="1918" spans="1:8" s="673" customFormat="1">
      <c r="A1918" s="309">
        <v>683</v>
      </c>
      <c r="B1918" s="277" t="s">
        <v>2912</v>
      </c>
      <c r="C1918" s="706" t="s">
        <v>5126</v>
      </c>
      <c r="D1918" s="418" t="str">
        <f t="shared" si="28"/>
        <v>UBND Xã Phú Hòa Đông</v>
      </c>
      <c r="E1918" s="505" t="s">
        <v>2911</v>
      </c>
      <c r="F1918" s="505" t="s">
        <v>2909</v>
      </c>
      <c r="G1918" s="415">
        <v>400</v>
      </c>
      <c r="H1918" s="370"/>
    </row>
    <row r="1919" spans="1:8" s="673" customFormat="1">
      <c r="A1919" s="309">
        <v>684</v>
      </c>
      <c r="B1919" s="277" t="s">
        <v>2913</v>
      </c>
      <c r="C1919" s="706" t="s">
        <v>5126</v>
      </c>
      <c r="D1919" s="418" t="str">
        <f t="shared" si="28"/>
        <v>UBND Xã Phú Hòa Đông</v>
      </c>
      <c r="E1919" s="505" t="s">
        <v>2911</v>
      </c>
      <c r="F1919" s="505" t="s">
        <v>433</v>
      </c>
      <c r="G1919" s="415">
        <v>300</v>
      </c>
      <c r="H1919" s="370"/>
    </row>
    <row r="1920" spans="1:8" s="673" customFormat="1">
      <c r="A1920" s="309">
        <v>685</v>
      </c>
      <c r="B1920" s="277" t="s">
        <v>2915</v>
      </c>
      <c r="C1920" s="706" t="s">
        <v>5126</v>
      </c>
      <c r="D1920" s="418" t="str">
        <f t="shared" ref="D1920:D2030" si="29">"UBND "&amp;C1920</f>
        <v>UBND Xã Phú Hòa Đông</v>
      </c>
      <c r="E1920" s="505" t="s">
        <v>2916</v>
      </c>
      <c r="F1920" s="505" t="s">
        <v>2917</v>
      </c>
      <c r="G1920" s="415">
        <v>300</v>
      </c>
      <c r="H1920" s="370"/>
    </row>
    <row r="1921" spans="1:8" s="673" customFormat="1">
      <c r="A1921" s="309">
        <v>686</v>
      </c>
      <c r="B1921" s="277" t="s">
        <v>3002</v>
      </c>
      <c r="C1921" s="706" t="s">
        <v>5126</v>
      </c>
      <c r="D1921" s="418" t="str">
        <f t="shared" si="29"/>
        <v>UBND Xã Phú Hòa Đông</v>
      </c>
      <c r="E1921" s="505" t="s">
        <v>433</v>
      </c>
      <c r="F1921" s="505" t="s">
        <v>2806</v>
      </c>
      <c r="G1921" s="415">
        <v>400</v>
      </c>
      <c r="H1921" s="370"/>
    </row>
    <row r="1922" spans="1:8" s="673" customFormat="1">
      <c r="A1922" s="309">
        <v>687</v>
      </c>
      <c r="B1922" s="277" t="s">
        <v>3007</v>
      </c>
      <c r="C1922" s="706" t="s">
        <v>5126</v>
      </c>
      <c r="D1922" s="418" t="str">
        <f t="shared" si="29"/>
        <v>UBND Xã Phú Hòa Đông</v>
      </c>
      <c r="E1922" s="505" t="s">
        <v>433</v>
      </c>
      <c r="F1922" s="505" t="s">
        <v>2806</v>
      </c>
      <c r="G1922" s="415">
        <v>500</v>
      </c>
      <c r="H1922" s="370"/>
    </row>
    <row r="1923" spans="1:8" s="673" customFormat="1">
      <c r="A1923" s="309">
        <v>688</v>
      </c>
      <c r="B1923" s="277" t="s">
        <v>3059</v>
      </c>
      <c r="C1923" s="706" t="s">
        <v>5126</v>
      </c>
      <c r="D1923" s="418" t="str">
        <f t="shared" si="29"/>
        <v>UBND Xã Phú Hòa Đông</v>
      </c>
      <c r="E1923" s="505" t="s">
        <v>3060</v>
      </c>
      <c r="F1923" s="505" t="s">
        <v>2806</v>
      </c>
      <c r="G1923" s="415">
        <v>650</v>
      </c>
      <c r="H1923" s="370"/>
    </row>
    <row r="1924" spans="1:8" s="673" customFormat="1">
      <c r="A1924" s="309">
        <v>689</v>
      </c>
      <c r="B1924" s="277" t="s">
        <v>3061</v>
      </c>
      <c r="C1924" s="706" t="s">
        <v>5126</v>
      </c>
      <c r="D1924" s="418" t="str">
        <f t="shared" si="29"/>
        <v>UBND Xã Phú Hòa Đông</v>
      </c>
      <c r="E1924" s="505" t="s">
        <v>3062</v>
      </c>
      <c r="F1924" s="505" t="s">
        <v>3063</v>
      </c>
      <c r="G1924" s="415">
        <v>1388</v>
      </c>
      <c r="H1924" s="370"/>
    </row>
    <row r="1925" spans="1:8" s="673" customFormat="1">
      <c r="A1925" s="309">
        <v>690</v>
      </c>
      <c r="B1925" s="277" t="s">
        <v>3073</v>
      </c>
      <c r="C1925" s="706" t="s">
        <v>5126</v>
      </c>
      <c r="D1925" s="418" t="str">
        <f t="shared" si="29"/>
        <v>UBND Xã Phú Hòa Đông</v>
      </c>
      <c r="E1925" s="505" t="s">
        <v>3070</v>
      </c>
      <c r="F1925" s="505" t="s">
        <v>3074</v>
      </c>
      <c r="G1925" s="415">
        <v>889</v>
      </c>
      <c r="H1925" s="370"/>
    </row>
    <row r="1926" spans="1:8" s="673" customFormat="1">
      <c r="A1926" s="309">
        <v>691</v>
      </c>
      <c r="B1926" s="277" t="s">
        <v>3075</v>
      </c>
      <c r="C1926" s="706" t="s">
        <v>5126</v>
      </c>
      <c r="D1926" s="418" t="str">
        <f t="shared" si="29"/>
        <v>UBND Xã Phú Hòa Đông</v>
      </c>
      <c r="E1926" s="505" t="s">
        <v>2224</v>
      </c>
      <c r="F1926" s="505" t="s">
        <v>3076</v>
      </c>
      <c r="G1926" s="415">
        <v>620</v>
      </c>
      <c r="H1926" s="370"/>
    </row>
    <row r="1927" spans="1:8" s="673" customFormat="1">
      <c r="A1927" s="309">
        <v>692</v>
      </c>
      <c r="B1927" s="277" t="s">
        <v>3079</v>
      </c>
      <c r="C1927" s="706" t="s">
        <v>5126</v>
      </c>
      <c r="D1927" s="418" t="str">
        <f t="shared" si="29"/>
        <v>UBND Xã Phú Hòa Đông</v>
      </c>
      <c r="E1927" s="505" t="s">
        <v>3076</v>
      </c>
      <c r="F1927" s="505" t="s">
        <v>3080</v>
      </c>
      <c r="G1927" s="415">
        <v>870</v>
      </c>
      <c r="H1927" s="370"/>
    </row>
    <row r="1928" spans="1:8" s="673" customFormat="1">
      <c r="A1928" s="309">
        <v>693</v>
      </c>
      <c r="B1928" s="277" t="s">
        <v>3081</v>
      </c>
      <c r="C1928" s="706" t="s">
        <v>5126</v>
      </c>
      <c r="D1928" s="418" t="str">
        <f t="shared" si="29"/>
        <v>UBND Xã Phú Hòa Đông</v>
      </c>
      <c r="E1928" s="505" t="s">
        <v>2803</v>
      </c>
      <c r="F1928" s="505" t="s">
        <v>3076</v>
      </c>
      <c r="G1928" s="415">
        <v>444</v>
      </c>
      <c r="H1928" s="370"/>
    </row>
    <row r="1929" spans="1:8" s="673" customFormat="1">
      <c r="A1929" s="309">
        <v>694</v>
      </c>
      <c r="B1929" s="277" t="s">
        <v>2803</v>
      </c>
      <c r="C1929" s="706" t="s">
        <v>5126</v>
      </c>
      <c r="D1929" s="418" t="str">
        <f t="shared" si="29"/>
        <v>UBND Xã Phú Hòa Đông</v>
      </c>
      <c r="E1929" s="505" t="s">
        <v>3082</v>
      </c>
      <c r="F1929" s="505" t="s">
        <v>3076</v>
      </c>
      <c r="G1929" s="415">
        <v>1050</v>
      </c>
      <c r="H1929" s="370"/>
    </row>
    <row r="1930" spans="1:8" s="673" customFormat="1">
      <c r="A1930" s="309">
        <v>695</v>
      </c>
      <c r="B1930" s="277" t="s">
        <v>3083</v>
      </c>
      <c r="C1930" s="706" t="s">
        <v>5126</v>
      </c>
      <c r="D1930" s="418" t="str">
        <f t="shared" si="29"/>
        <v>UBND Xã Phú Hòa Đông</v>
      </c>
      <c r="E1930" s="505" t="s">
        <v>2224</v>
      </c>
      <c r="F1930" s="505" t="s">
        <v>3076</v>
      </c>
      <c r="G1930" s="415">
        <v>700</v>
      </c>
      <c r="H1930" s="370"/>
    </row>
    <row r="1931" spans="1:8" s="673" customFormat="1">
      <c r="A1931" s="309">
        <v>696</v>
      </c>
      <c r="B1931" s="277" t="s">
        <v>3084</v>
      </c>
      <c r="C1931" s="706" t="s">
        <v>5126</v>
      </c>
      <c r="D1931" s="418" t="str">
        <f t="shared" si="29"/>
        <v>UBND Xã Phú Hòa Đông</v>
      </c>
      <c r="E1931" s="505" t="s">
        <v>387</v>
      </c>
      <c r="F1931" s="505" t="s">
        <v>1113</v>
      </c>
      <c r="G1931" s="415">
        <v>760</v>
      </c>
      <c r="H1931" s="370"/>
    </row>
    <row r="1932" spans="1:8" s="673" customFormat="1">
      <c r="A1932" s="309">
        <v>697</v>
      </c>
      <c r="B1932" s="277" t="s">
        <v>3088</v>
      </c>
      <c r="C1932" s="706" t="s">
        <v>5126</v>
      </c>
      <c r="D1932" s="418" t="str">
        <f t="shared" si="29"/>
        <v>UBND Xã Phú Hòa Đông</v>
      </c>
      <c r="E1932" s="505" t="s">
        <v>3089</v>
      </c>
      <c r="F1932" s="505" t="s">
        <v>3085</v>
      </c>
      <c r="G1932" s="415">
        <v>870</v>
      </c>
      <c r="H1932" s="370"/>
    </row>
    <row r="1933" spans="1:8" s="673" customFormat="1">
      <c r="A1933" s="309">
        <v>698</v>
      </c>
      <c r="B1933" s="277" t="s">
        <v>2959</v>
      </c>
      <c r="C1933" s="706" t="s">
        <v>5126</v>
      </c>
      <c r="D1933" s="418" t="str">
        <f t="shared" si="29"/>
        <v>UBND Xã Phú Hòa Đông</v>
      </c>
      <c r="E1933" s="505" t="s">
        <v>3089</v>
      </c>
      <c r="F1933" s="505" t="s">
        <v>3085</v>
      </c>
      <c r="G1933" s="415">
        <v>350</v>
      </c>
      <c r="H1933" s="370"/>
    </row>
    <row r="1934" spans="1:8" s="673" customFormat="1">
      <c r="A1934" s="309">
        <v>699</v>
      </c>
      <c r="B1934" s="277" t="s">
        <v>3090</v>
      </c>
      <c r="C1934" s="706" t="s">
        <v>5126</v>
      </c>
      <c r="D1934" s="418" t="str">
        <f t="shared" si="29"/>
        <v>UBND Xã Phú Hòa Đông</v>
      </c>
      <c r="E1934" s="505" t="s">
        <v>3089</v>
      </c>
      <c r="F1934" s="505" t="s">
        <v>3085</v>
      </c>
      <c r="G1934" s="415">
        <v>200</v>
      </c>
      <c r="H1934" s="370"/>
    </row>
    <row r="1935" spans="1:8" s="673" customFormat="1">
      <c r="A1935" s="309">
        <v>700</v>
      </c>
      <c r="B1935" s="277" t="s">
        <v>3094</v>
      </c>
      <c r="C1935" s="706" t="s">
        <v>5126</v>
      </c>
      <c r="D1935" s="418" t="str">
        <f t="shared" si="29"/>
        <v>UBND Xã Phú Hòa Đông</v>
      </c>
      <c r="E1935" s="505" t="s">
        <v>3089</v>
      </c>
      <c r="F1935" s="505" t="s">
        <v>3085</v>
      </c>
      <c r="G1935" s="415">
        <v>3000</v>
      </c>
      <c r="H1935" s="370"/>
    </row>
    <row r="1936" spans="1:8" s="673" customFormat="1">
      <c r="A1936" s="309">
        <v>701</v>
      </c>
      <c r="B1936" s="277" t="s">
        <v>3096</v>
      </c>
      <c r="C1936" s="706" t="s">
        <v>5126</v>
      </c>
      <c r="D1936" s="418" t="str">
        <f t="shared" si="29"/>
        <v>UBND Xã Phú Hòa Đông</v>
      </c>
      <c r="E1936" s="505" t="s">
        <v>3089</v>
      </c>
      <c r="F1936" s="505" t="s">
        <v>3085</v>
      </c>
      <c r="G1936" s="415">
        <v>739</v>
      </c>
      <c r="H1936" s="370"/>
    </row>
    <row r="1937" spans="1:8" s="673" customFormat="1">
      <c r="A1937" s="309">
        <v>702</v>
      </c>
      <c r="B1937" s="277" t="s">
        <v>2752</v>
      </c>
      <c r="C1937" s="706" t="s">
        <v>5125</v>
      </c>
      <c r="D1937" s="418" t="str">
        <f t="shared" si="29"/>
        <v>UBND Xã Tân An Hội</v>
      </c>
      <c r="E1937" s="505" t="s">
        <v>2753</v>
      </c>
      <c r="F1937" s="505" t="s">
        <v>2754</v>
      </c>
      <c r="G1937" s="415">
        <v>2300</v>
      </c>
      <c r="H1937" s="370"/>
    </row>
    <row r="1938" spans="1:8" s="673" customFormat="1">
      <c r="A1938" s="309">
        <v>703</v>
      </c>
      <c r="B1938" s="277" t="s">
        <v>2631</v>
      </c>
      <c r="C1938" s="706" t="s">
        <v>2712</v>
      </c>
      <c r="D1938" s="418" t="str">
        <f t="shared" si="29"/>
        <v>UBND Xã Tân Nhựt</v>
      </c>
      <c r="E1938" s="505" t="s">
        <v>17</v>
      </c>
      <c r="F1938" s="505" t="s">
        <v>3547</v>
      </c>
      <c r="G1938" s="415">
        <v>2440</v>
      </c>
      <c r="H1938" s="370"/>
    </row>
    <row r="1939" spans="1:8" s="673" customFormat="1">
      <c r="A1939" s="309">
        <v>704</v>
      </c>
      <c r="B1939" s="277" t="s">
        <v>2633</v>
      </c>
      <c r="C1939" s="706" t="s">
        <v>2712</v>
      </c>
      <c r="D1939" s="418" t="str">
        <f t="shared" si="29"/>
        <v>UBND Xã Tân Nhựt</v>
      </c>
      <c r="E1939" s="505" t="s">
        <v>1197</v>
      </c>
      <c r="F1939" s="505" t="s">
        <v>25</v>
      </c>
      <c r="G1939" s="415">
        <v>1128</v>
      </c>
      <c r="H1939" s="370"/>
    </row>
    <row r="1940" spans="1:8" s="673" customFormat="1">
      <c r="A1940" s="309">
        <v>705</v>
      </c>
      <c r="B1940" s="277" t="s">
        <v>2634</v>
      </c>
      <c r="C1940" s="706" t="s">
        <v>2712</v>
      </c>
      <c r="D1940" s="418" t="str">
        <f t="shared" si="29"/>
        <v>UBND Xã Tân Nhựt</v>
      </c>
      <c r="E1940" s="505" t="s">
        <v>1049</v>
      </c>
      <c r="F1940" s="505" t="s">
        <v>2635</v>
      </c>
      <c r="G1940" s="415">
        <v>3267</v>
      </c>
      <c r="H1940" s="370"/>
    </row>
    <row r="1941" spans="1:8" s="673" customFormat="1">
      <c r="A1941" s="309">
        <v>706</v>
      </c>
      <c r="B1941" s="277" t="s">
        <v>2636</v>
      </c>
      <c r="C1941" s="706" t="s">
        <v>2712</v>
      </c>
      <c r="D1941" s="418" t="str">
        <f t="shared" si="29"/>
        <v>UBND Xã Tân Nhựt</v>
      </c>
      <c r="E1941" s="505" t="s">
        <v>2637</v>
      </c>
      <c r="F1941" s="505" t="s">
        <v>2634</v>
      </c>
      <c r="G1941" s="415">
        <v>811</v>
      </c>
      <c r="H1941" s="370"/>
    </row>
    <row r="1942" spans="1:8" s="673" customFormat="1">
      <c r="A1942" s="309">
        <v>707</v>
      </c>
      <c r="B1942" s="277" t="s">
        <v>2638</v>
      </c>
      <c r="C1942" s="706" t="s">
        <v>2712</v>
      </c>
      <c r="D1942" s="418" t="str">
        <f t="shared" si="29"/>
        <v>UBND Xã Tân Nhựt</v>
      </c>
      <c r="E1942" s="505" t="s">
        <v>2637</v>
      </c>
      <c r="F1942" s="505" t="s">
        <v>2639</v>
      </c>
      <c r="G1942" s="415">
        <v>938</v>
      </c>
      <c r="H1942" s="370"/>
    </row>
    <row r="1943" spans="1:8" s="673" customFormat="1">
      <c r="A1943" s="309">
        <v>708</v>
      </c>
      <c r="B1943" s="277" t="s">
        <v>2640</v>
      </c>
      <c r="C1943" s="706" t="s">
        <v>2712</v>
      </c>
      <c r="D1943" s="418" t="str">
        <f t="shared" si="29"/>
        <v>UBND Xã Tân Nhựt</v>
      </c>
      <c r="E1943" s="505" t="s">
        <v>2641</v>
      </c>
      <c r="F1943" s="505" t="s">
        <v>2642</v>
      </c>
      <c r="G1943" s="415">
        <v>776</v>
      </c>
      <c r="H1943" s="370"/>
    </row>
    <row r="1944" spans="1:8" s="673" customFormat="1">
      <c r="A1944" s="309">
        <v>709</v>
      </c>
      <c r="B1944" s="277" t="s">
        <v>2643</v>
      </c>
      <c r="C1944" s="706" t="s">
        <v>2712</v>
      </c>
      <c r="D1944" s="418" t="str">
        <f t="shared" si="29"/>
        <v>UBND Xã Tân Nhựt</v>
      </c>
      <c r="E1944" s="505" t="s">
        <v>1143</v>
      </c>
      <c r="F1944" s="505" t="s">
        <v>17</v>
      </c>
      <c r="G1944" s="415">
        <v>1196</v>
      </c>
      <c r="H1944" s="370"/>
    </row>
    <row r="1945" spans="1:8" s="673" customFormat="1">
      <c r="A1945" s="309">
        <v>710</v>
      </c>
      <c r="B1945" s="277" t="s">
        <v>2644</v>
      </c>
      <c r="C1945" s="706" t="s">
        <v>2712</v>
      </c>
      <c r="D1945" s="418" t="str">
        <f t="shared" si="29"/>
        <v>UBND Xã Tân Nhựt</v>
      </c>
      <c r="E1945" s="505" t="s">
        <v>17</v>
      </c>
      <c r="F1945" s="505" t="s">
        <v>2645</v>
      </c>
      <c r="G1945" s="415">
        <v>1691</v>
      </c>
      <c r="H1945" s="370"/>
    </row>
    <row r="1946" spans="1:8" s="673" customFormat="1">
      <c r="A1946" s="309">
        <v>711</v>
      </c>
      <c r="B1946" s="277" t="s">
        <v>2646</v>
      </c>
      <c r="C1946" s="706" t="s">
        <v>2712</v>
      </c>
      <c r="D1946" s="418" t="str">
        <f t="shared" si="29"/>
        <v>UBND Xã Tân Nhựt</v>
      </c>
      <c r="E1946" s="505" t="s">
        <v>2647</v>
      </c>
      <c r="F1946" s="505" t="s">
        <v>2648</v>
      </c>
      <c r="G1946" s="415">
        <v>1013</v>
      </c>
      <c r="H1946" s="370"/>
    </row>
    <row r="1947" spans="1:8" s="673" customFormat="1">
      <c r="A1947" s="309">
        <v>712</v>
      </c>
      <c r="B1947" s="277" t="s">
        <v>2649</v>
      </c>
      <c r="C1947" s="706" t="s">
        <v>2712</v>
      </c>
      <c r="D1947" s="418" t="str">
        <f t="shared" si="29"/>
        <v>UBND Xã Tân Nhựt</v>
      </c>
      <c r="E1947" s="505" t="s">
        <v>2647</v>
      </c>
      <c r="F1947" s="505" t="s">
        <v>2650</v>
      </c>
      <c r="G1947" s="415">
        <v>1728</v>
      </c>
      <c r="H1947" s="370"/>
    </row>
    <row r="1948" spans="1:8" s="673" customFormat="1">
      <c r="A1948" s="309">
        <v>713</v>
      </c>
      <c r="B1948" s="277" t="s">
        <v>2650</v>
      </c>
      <c r="C1948" s="706" t="s">
        <v>2712</v>
      </c>
      <c r="D1948" s="418" t="str">
        <f t="shared" si="29"/>
        <v>UBND Xã Tân Nhựt</v>
      </c>
      <c r="E1948" s="505" t="s">
        <v>2651</v>
      </c>
      <c r="F1948" s="505" t="s">
        <v>2652</v>
      </c>
      <c r="G1948" s="415">
        <v>1689</v>
      </c>
      <c r="H1948" s="370"/>
    </row>
    <row r="1949" spans="1:8" s="673" customFormat="1">
      <c r="A1949" s="309">
        <v>714</v>
      </c>
      <c r="B1949" s="277" t="s">
        <v>2653</v>
      </c>
      <c r="C1949" s="706" t="s">
        <v>2712</v>
      </c>
      <c r="D1949" s="418" t="str">
        <f t="shared" si="29"/>
        <v>UBND Xã Tân Nhựt</v>
      </c>
      <c r="E1949" s="505" t="s">
        <v>2650</v>
      </c>
      <c r="F1949" s="505" t="s">
        <v>2645</v>
      </c>
      <c r="G1949" s="415">
        <v>957</v>
      </c>
      <c r="H1949" s="370"/>
    </row>
    <row r="1950" spans="1:8" s="673" customFormat="1">
      <c r="A1950" s="309">
        <v>715</v>
      </c>
      <c r="B1950" s="277" t="s">
        <v>2654</v>
      </c>
      <c r="C1950" s="706" t="s">
        <v>2712</v>
      </c>
      <c r="D1950" s="418" t="str">
        <f t="shared" si="29"/>
        <v>UBND Xã Tân Nhựt</v>
      </c>
      <c r="E1950" s="505" t="s">
        <v>1049</v>
      </c>
      <c r="F1950" s="505" t="s">
        <v>2655</v>
      </c>
      <c r="G1950" s="415">
        <v>1960</v>
      </c>
      <c r="H1950" s="370"/>
    </row>
    <row r="1951" spans="1:8" s="673" customFormat="1">
      <c r="A1951" s="309">
        <v>716</v>
      </c>
      <c r="B1951" s="277" t="s">
        <v>2656</v>
      </c>
      <c r="C1951" s="706" t="s">
        <v>2712</v>
      </c>
      <c r="D1951" s="418" t="str">
        <f t="shared" si="29"/>
        <v>UBND Xã Tân Nhựt</v>
      </c>
      <c r="E1951" s="505" t="s">
        <v>2657</v>
      </c>
      <c r="F1951" s="505" t="s">
        <v>25</v>
      </c>
      <c r="G1951" s="415">
        <v>1002</v>
      </c>
      <c r="H1951" s="370"/>
    </row>
    <row r="1952" spans="1:8" s="673" customFormat="1">
      <c r="A1952" s="309">
        <v>717</v>
      </c>
      <c r="B1952" s="277" t="s">
        <v>3548</v>
      </c>
      <c r="C1952" s="706" t="s">
        <v>2712</v>
      </c>
      <c r="D1952" s="418" t="str">
        <f t="shared" si="29"/>
        <v>UBND Xã Tân Nhựt</v>
      </c>
      <c r="E1952" s="505" t="s">
        <v>2658</v>
      </c>
      <c r="F1952" s="505" t="s">
        <v>2659</v>
      </c>
      <c r="G1952" s="415">
        <v>3417</v>
      </c>
      <c r="H1952" s="370"/>
    </row>
    <row r="1953" spans="1:8" s="673" customFormat="1">
      <c r="A1953" s="309">
        <v>718</v>
      </c>
      <c r="B1953" s="277" t="s">
        <v>2660</v>
      </c>
      <c r="C1953" s="706" t="s">
        <v>2712</v>
      </c>
      <c r="D1953" s="418" t="str">
        <f t="shared" si="29"/>
        <v>UBND Xã Tân Nhựt</v>
      </c>
      <c r="E1953" s="505" t="s">
        <v>2656</v>
      </c>
      <c r="F1953" s="505" t="s">
        <v>2657</v>
      </c>
      <c r="G1953" s="415">
        <v>1420</v>
      </c>
      <c r="H1953" s="370"/>
    </row>
    <row r="1954" spans="1:8" s="673" customFormat="1">
      <c r="A1954" s="309">
        <v>719</v>
      </c>
      <c r="B1954" s="277" t="s">
        <v>2661</v>
      </c>
      <c r="C1954" s="706" t="s">
        <v>2712</v>
      </c>
      <c r="D1954" s="418" t="str">
        <f t="shared" si="29"/>
        <v>UBND Xã Tân Nhựt</v>
      </c>
      <c r="E1954" s="505" t="s">
        <v>2662</v>
      </c>
      <c r="F1954" s="505" t="s">
        <v>2663</v>
      </c>
      <c r="G1954" s="415">
        <v>2076</v>
      </c>
      <c r="H1954" s="370"/>
    </row>
    <row r="1955" spans="1:8" s="673" customFormat="1">
      <c r="A1955" s="309">
        <v>720</v>
      </c>
      <c r="B1955" s="277" t="s">
        <v>2664</v>
      </c>
      <c r="C1955" s="706" t="s">
        <v>2712</v>
      </c>
      <c r="D1955" s="418" t="str">
        <f t="shared" si="29"/>
        <v>UBND Xã Tân Nhựt</v>
      </c>
      <c r="E1955" s="505" t="s">
        <v>2663</v>
      </c>
      <c r="F1955" s="505" t="s">
        <v>2665</v>
      </c>
      <c r="G1955" s="415">
        <v>590</v>
      </c>
      <c r="H1955" s="370"/>
    </row>
    <row r="1956" spans="1:8" s="673" customFormat="1">
      <c r="A1956" s="309">
        <v>721</v>
      </c>
      <c r="B1956" s="277" t="s">
        <v>2666</v>
      </c>
      <c r="C1956" s="706" t="s">
        <v>2712</v>
      </c>
      <c r="D1956" s="418" t="str">
        <f t="shared" si="29"/>
        <v>UBND Xã Tân Nhựt</v>
      </c>
      <c r="E1956" s="505" t="s">
        <v>2645</v>
      </c>
      <c r="F1956" s="505" t="s">
        <v>17</v>
      </c>
      <c r="G1956" s="415">
        <v>2827</v>
      </c>
      <c r="H1956" s="370"/>
    </row>
    <row r="1957" spans="1:8" s="673" customFormat="1">
      <c r="A1957" s="309">
        <v>722</v>
      </c>
      <c r="B1957" s="277" t="s">
        <v>2667</v>
      </c>
      <c r="C1957" s="706" t="s">
        <v>2712</v>
      </c>
      <c r="D1957" s="418" t="str">
        <f t="shared" si="29"/>
        <v>UBND Xã Tân Nhựt</v>
      </c>
      <c r="E1957" s="505" t="s">
        <v>2644</v>
      </c>
      <c r="F1957" s="505" t="s">
        <v>2659</v>
      </c>
      <c r="G1957" s="415">
        <v>700</v>
      </c>
      <c r="H1957" s="370"/>
    </row>
    <row r="1958" spans="1:8" s="673" customFormat="1">
      <c r="A1958" s="309">
        <v>723</v>
      </c>
      <c r="B1958" s="686" t="s">
        <v>2710</v>
      </c>
      <c r="C1958" s="706" t="s">
        <v>2712</v>
      </c>
      <c r="D1958" s="418" t="str">
        <f t="shared" si="29"/>
        <v>UBND Xã Tân Nhựt</v>
      </c>
      <c r="E1958" s="505" t="s">
        <v>1086</v>
      </c>
      <c r="F1958" s="505" t="s">
        <v>407</v>
      </c>
      <c r="G1958" s="415">
        <v>1200</v>
      </c>
      <c r="H1958" s="370"/>
    </row>
    <row r="1959" spans="1:8" s="673" customFormat="1">
      <c r="A1959" s="309">
        <v>724</v>
      </c>
      <c r="B1959" s="686" t="s">
        <v>2711</v>
      </c>
      <c r="C1959" s="706" t="s">
        <v>2712</v>
      </c>
      <c r="D1959" s="418" t="str">
        <f t="shared" si="29"/>
        <v>UBND Xã Tân Nhựt</v>
      </c>
      <c r="E1959" s="505" t="s">
        <v>2712</v>
      </c>
      <c r="F1959" s="505" t="s">
        <v>407</v>
      </c>
      <c r="G1959" s="415">
        <v>1200</v>
      </c>
      <c r="H1959" s="370"/>
    </row>
    <row r="1960" spans="1:8" s="673" customFormat="1">
      <c r="A1960" s="309">
        <v>725</v>
      </c>
      <c r="B1960" s="686" t="s">
        <v>2713</v>
      </c>
      <c r="C1960" s="706" t="s">
        <v>2712</v>
      </c>
      <c r="D1960" s="418" t="str">
        <f t="shared" si="29"/>
        <v>UBND Xã Tân Nhựt</v>
      </c>
      <c r="E1960" s="505" t="s">
        <v>2712</v>
      </c>
      <c r="F1960" s="505" t="s">
        <v>407</v>
      </c>
      <c r="G1960" s="415">
        <v>1400</v>
      </c>
      <c r="H1960" s="370"/>
    </row>
    <row r="1961" spans="1:8" s="673" customFormat="1">
      <c r="A1961" s="309">
        <v>726</v>
      </c>
      <c r="B1961" s="686" t="s">
        <v>2714</v>
      </c>
      <c r="C1961" s="706" t="s">
        <v>2712</v>
      </c>
      <c r="D1961" s="418" t="str">
        <f t="shared" si="29"/>
        <v>UBND Xã Tân Nhựt</v>
      </c>
      <c r="E1961" s="505" t="s">
        <v>2712</v>
      </c>
      <c r="F1961" s="505" t="s">
        <v>407</v>
      </c>
      <c r="G1961" s="415">
        <v>700</v>
      </c>
      <c r="H1961" s="370"/>
    </row>
    <row r="1962" spans="1:8" s="673" customFormat="1">
      <c r="A1962" s="309">
        <v>727</v>
      </c>
      <c r="B1962" s="686" t="s">
        <v>2715</v>
      </c>
      <c r="C1962" s="706" t="s">
        <v>2712</v>
      </c>
      <c r="D1962" s="418" t="str">
        <f t="shared" si="29"/>
        <v>UBND Xã Tân Nhựt</v>
      </c>
      <c r="E1962" s="505" t="s">
        <v>2712</v>
      </c>
      <c r="F1962" s="505" t="s">
        <v>407</v>
      </c>
      <c r="G1962" s="415">
        <v>1300</v>
      </c>
      <c r="H1962" s="370"/>
    </row>
    <row r="1963" spans="1:8" s="673" customFormat="1">
      <c r="A1963" s="309">
        <v>728</v>
      </c>
      <c r="B1963" s="686" t="s">
        <v>2716</v>
      </c>
      <c r="C1963" s="706" t="s">
        <v>2712</v>
      </c>
      <c r="D1963" s="418" t="str">
        <f t="shared" si="29"/>
        <v>UBND Xã Tân Nhựt</v>
      </c>
      <c r="E1963" s="505" t="s">
        <v>2712</v>
      </c>
      <c r="F1963" s="505" t="s">
        <v>407</v>
      </c>
      <c r="G1963" s="415">
        <v>2300</v>
      </c>
      <c r="H1963" s="370"/>
    </row>
    <row r="1964" spans="1:8" s="673" customFormat="1">
      <c r="A1964" s="309">
        <v>729</v>
      </c>
      <c r="B1964" s="686" t="s">
        <v>2717</v>
      </c>
      <c r="C1964" s="706" t="s">
        <v>2712</v>
      </c>
      <c r="D1964" s="418" t="str">
        <f t="shared" si="29"/>
        <v>UBND Xã Tân Nhựt</v>
      </c>
      <c r="E1964" s="505" t="s">
        <v>2712</v>
      </c>
      <c r="F1964" s="505" t="s">
        <v>407</v>
      </c>
      <c r="G1964" s="415">
        <v>1800</v>
      </c>
      <c r="H1964" s="370"/>
    </row>
    <row r="1965" spans="1:8" s="673" customFormat="1">
      <c r="A1965" s="309">
        <v>730</v>
      </c>
      <c r="B1965" s="686" t="s">
        <v>2718</v>
      </c>
      <c r="C1965" s="706" t="s">
        <v>2712</v>
      </c>
      <c r="D1965" s="418" t="str">
        <f t="shared" si="29"/>
        <v>UBND Xã Tân Nhựt</v>
      </c>
      <c r="E1965" s="505" t="s">
        <v>2712</v>
      </c>
      <c r="F1965" s="505" t="s">
        <v>407</v>
      </c>
      <c r="G1965" s="415">
        <v>2900</v>
      </c>
      <c r="H1965" s="370"/>
    </row>
    <row r="1966" spans="1:8" s="673" customFormat="1">
      <c r="A1966" s="309">
        <v>731</v>
      </c>
      <c r="B1966" s="686" t="s">
        <v>2724</v>
      </c>
      <c r="C1966" s="706" t="s">
        <v>2712</v>
      </c>
      <c r="D1966" s="418" t="str">
        <f t="shared" si="29"/>
        <v>UBND Xã Tân Nhựt</v>
      </c>
      <c r="E1966" s="505" t="s">
        <v>2712</v>
      </c>
      <c r="F1966" s="505" t="s">
        <v>407</v>
      </c>
      <c r="G1966" s="415">
        <v>1700</v>
      </c>
      <c r="H1966" s="370"/>
    </row>
    <row r="1967" spans="1:8" s="673" customFormat="1">
      <c r="A1967" s="309">
        <v>732</v>
      </c>
      <c r="B1967" s="686" t="s">
        <v>2726</v>
      </c>
      <c r="C1967" s="706" t="s">
        <v>2712</v>
      </c>
      <c r="D1967" s="418" t="str">
        <f t="shared" si="29"/>
        <v>UBND Xã Tân Nhựt</v>
      </c>
      <c r="E1967" s="505" t="s">
        <v>2712</v>
      </c>
      <c r="F1967" s="505" t="s">
        <v>407</v>
      </c>
      <c r="G1967" s="415">
        <v>1600</v>
      </c>
      <c r="H1967" s="370"/>
    </row>
    <row r="1968" spans="1:8" s="673" customFormat="1">
      <c r="A1968" s="309">
        <v>733</v>
      </c>
      <c r="B1968" s="686" t="s">
        <v>2727</v>
      </c>
      <c r="C1968" s="706" t="s">
        <v>2712</v>
      </c>
      <c r="D1968" s="418" t="str">
        <f t="shared" si="29"/>
        <v>UBND Xã Tân Nhựt</v>
      </c>
      <c r="E1968" s="505" t="s">
        <v>2712</v>
      </c>
      <c r="F1968" s="505" t="s">
        <v>407</v>
      </c>
      <c r="G1968" s="415">
        <v>1100</v>
      </c>
      <c r="H1968" s="370"/>
    </row>
    <row r="1969" spans="1:8" s="673" customFormat="1">
      <c r="A1969" s="309">
        <v>734</v>
      </c>
      <c r="B1969" s="686" t="s">
        <v>2728</v>
      </c>
      <c r="C1969" s="706" t="s">
        <v>2712</v>
      </c>
      <c r="D1969" s="418" t="str">
        <f t="shared" si="29"/>
        <v>UBND Xã Tân Nhựt</v>
      </c>
      <c r="E1969" s="505" t="s">
        <v>2712</v>
      </c>
      <c r="F1969" s="505" t="s">
        <v>407</v>
      </c>
      <c r="G1969" s="415">
        <v>1600</v>
      </c>
      <c r="H1969" s="370"/>
    </row>
    <row r="1970" spans="1:8" s="673" customFormat="1">
      <c r="A1970" s="309">
        <v>735</v>
      </c>
      <c r="B1970" s="686" t="s">
        <v>2729</v>
      </c>
      <c r="C1970" s="706" t="s">
        <v>2712</v>
      </c>
      <c r="D1970" s="418" t="str">
        <f t="shared" si="29"/>
        <v>UBND Xã Tân Nhựt</v>
      </c>
      <c r="E1970" s="505" t="s">
        <v>2712</v>
      </c>
      <c r="F1970" s="505" t="s">
        <v>407</v>
      </c>
      <c r="G1970" s="415">
        <v>2300</v>
      </c>
      <c r="H1970" s="370"/>
    </row>
    <row r="1971" spans="1:8" s="673" customFormat="1">
      <c r="A1971" s="309">
        <v>736</v>
      </c>
      <c r="B1971" s="484" t="s">
        <v>8938</v>
      </c>
      <c r="C1971" s="706" t="s">
        <v>2712</v>
      </c>
      <c r="D1971" s="418" t="str">
        <f t="shared" ref="D1971:D2017" si="30">"UBND "&amp;C1971</f>
        <v>UBND Xã Tân Nhựt</v>
      </c>
      <c r="E1971" s="505" t="s">
        <v>2712</v>
      </c>
      <c r="F1971" s="505" t="s">
        <v>407</v>
      </c>
      <c r="G1971" s="415">
        <v>1550</v>
      </c>
      <c r="H1971" s="370"/>
    </row>
    <row r="1972" spans="1:8" s="673" customFormat="1">
      <c r="A1972" s="309">
        <v>737</v>
      </c>
      <c r="B1972" s="484" t="s">
        <v>994</v>
      </c>
      <c r="C1972" s="706" t="s">
        <v>2712</v>
      </c>
      <c r="D1972" s="418" t="str">
        <f t="shared" si="30"/>
        <v>UBND Xã Tân Nhựt</v>
      </c>
      <c r="E1972" s="505" t="s">
        <v>2712</v>
      </c>
      <c r="F1972" s="505" t="s">
        <v>407</v>
      </c>
      <c r="G1972" s="415">
        <v>630</v>
      </c>
      <c r="H1972" s="370"/>
    </row>
    <row r="1973" spans="1:8" s="673" customFormat="1">
      <c r="A1973" s="309">
        <v>738</v>
      </c>
      <c r="B1973" s="484" t="s">
        <v>8939</v>
      </c>
      <c r="C1973" s="706" t="s">
        <v>2712</v>
      </c>
      <c r="D1973" s="418" t="str">
        <f t="shared" si="30"/>
        <v>UBND Xã Tân Nhựt</v>
      </c>
      <c r="E1973" s="505" t="s">
        <v>2712</v>
      </c>
      <c r="F1973" s="505" t="s">
        <v>407</v>
      </c>
      <c r="G1973" s="415">
        <v>900</v>
      </c>
      <c r="H1973" s="370"/>
    </row>
    <row r="1974" spans="1:8" s="673" customFormat="1">
      <c r="A1974" s="309">
        <v>739</v>
      </c>
      <c r="B1974" s="484" t="s">
        <v>2657</v>
      </c>
      <c r="C1974" s="706" t="s">
        <v>2712</v>
      </c>
      <c r="D1974" s="418" t="str">
        <f t="shared" si="30"/>
        <v>UBND Xã Tân Nhựt</v>
      </c>
      <c r="E1974" s="505" t="s">
        <v>2712</v>
      </c>
      <c r="F1974" s="505" t="s">
        <v>407</v>
      </c>
      <c r="G1974" s="415">
        <v>3586</v>
      </c>
      <c r="H1974" s="370"/>
    </row>
    <row r="1975" spans="1:8" s="673" customFormat="1">
      <c r="A1975" s="309">
        <v>740</v>
      </c>
      <c r="B1975" s="484" t="s">
        <v>8940</v>
      </c>
      <c r="C1975" s="706" t="s">
        <v>2712</v>
      </c>
      <c r="D1975" s="418" t="str">
        <f t="shared" si="30"/>
        <v>UBND Xã Tân Nhựt</v>
      </c>
      <c r="E1975" s="505" t="s">
        <v>2712</v>
      </c>
      <c r="F1975" s="505" t="s">
        <v>407</v>
      </c>
      <c r="G1975" s="415">
        <v>3900</v>
      </c>
      <c r="H1975" s="370"/>
    </row>
    <row r="1976" spans="1:8" s="673" customFormat="1">
      <c r="A1976" s="309">
        <v>741</v>
      </c>
      <c r="B1976" s="484" t="s">
        <v>8941</v>
      </c>
      <c r="C1976" s="706" t="s">
        <v>2712</v>
      </c>
      <c r="D1976" s="418" t="str">
        <f t="shared" si="30"/>
        <v>UBND Xã Tân Nhựt</v>
      </c>
      <c r="E1976" s="505" t="s">
        <v>2712</v>
      </c>
      <c r="F1976" s="505" t="s">
        <v>407</v>
      </c>
      <c r="G1976" s="415">
        <v>5200</v>
      </c>
      <c r="H1976" s="370"/>
    </row>
    <row r="1977" spans="1:8" s="673" customFormat="1">
      <c r="A1977" s="309">
        <v>742</v>
      </c>
      <c r="B1977" s="484" t="s">
        <v>8942</v>
      </c>
      <c r="C1977" s="706" t="s">
        <v>2712</v>
      </c>
      <c r="D1977" s="418" t="str">
        <f t="shared" si="30"/>
        <v>UBND Xã Tân Nhựt</v>
      </c>
      <c r="E1977" s="505" t="s">
        <v>2712</v>
      </c>
      <c r="F1977" s="505" t="s">
        <v>407</v>
      </c>
      <c r="G1977" s="415">
        <v>670</v>
      </c>
      <c r="H1977" s="370"/>
    </row>
    <row r="1978" spans="1:8" s="673" customFormat="1">
      <c r="A1978" s="309">
        <v>743</v>
      </c>
      <c r="B1978" s="484" t="s">
        <v>8943</v>
      </c>
      <c r="C1978" s="706" t="s">
        <v>2712</v>
      </c>
      <c r="D1978" s="418" t="str">
        <f t="shared" si="30"/>
        <v>UBND Xã Tân Nhựt</v>
      </c>
      <c r="E1978" s="505" t="s">
        <v>2712</v>
      </c>
      <c r="F1978" s="505" t="s">
        <v>407</v>
      </c>
      <c r="G1978" s="415">
        <v>1497</v>
      </c>
      <c r="H1978" s="370"/>
    </row>
    <row r="1979" spans="1:8" s="673" customFormat="1">
      <c r="A1979" s="309">
        <v>744</v>
      </c>
      <c r="B1979" s="484" t="s">
        <v>8944</v>
      </c>
      <c r="C1979" s="706" t="s">
        <v>2712</v>
      </c>
      <c r="D1979" s="418" t="str">
        <f t="shared" si="30"/>
        <v>UBND Xã Tân Nhựt</v>
      </c>
      <c r="E1979" s="505" t="s">
        <v>2712</v>
      </c>
      <c r="F1979" s="505" t="s">
        <v>407</v>
      </c>
      <c r="G1979" s="415">
        <v>650</v>
      </c>
      <c r="H1979" s="370"/>
    </row>
    <row r="1980" spans="1:8" s="673" customFormat="1">
      <c r="A1980" s="309">
        <v>745</v>
      </c>
      <c r="B1980" s="484" t="s">
        <v>8945</v>
      </c>
      <c r="C1980" s="706" t="s">
        <v>2712</v>
      </c>
      <c r="D1980" s="418" t="str">
        <f t="shared" si="30"/>
        <v>UBND Xã Tân Nhựt</v>
      </c>
      <c r="E1980" s="505" t="s">
        <v>2712</v>
      </c>
      <c r="F1980" s="505" t="s">
        <v>407</v>
      </c>
      <c r="G1980" s="415">
        <v>792</v>
      </c>
      <c r="H1980" s="370"/>
    </row>
    <row r="1981" spans="1:8" s="673" customFormat="1">
      <c r="A1981" s="309">
        <v>746</v>
      </c>
      <c r="B1981" s="484" t="s">
        <v>8946</v>
      </c>
      <c r="C1981" s="706" t="s">
        <v>2712</v>
      </c>
      <c r="D1981" s="418" t="str">
        <f t="shared" si="30"/>
        <v>UBND Xã Tân Nhựt</v>
      </c>
      <c r="E1981" s="505" t="s">
        <v>2712</v>
      </c>
      <c r="F1981" s="505" t="s">
        <v>407</v>
      </c>
      <c r="G1981" s="415">
        <v>450</v>
      </c>
      <c r="H1981" s="370"/>
    </row>
    <row r="1982" spans="1:8" s="673" customFormat="1">
      <c r="A1982" s="309">
        <v>747</v>
      </c>
      <c r="B1982" s="484" t="s">
        <v>8947</v>
      </c>
      <c r="C1982" s="706" t="s">
        <v>2712</v>
      </c>
      <c r="D1982" s="418" t="str">
        <f t="shared" si="30"/>
        <v>UBND Xã Tân Nhựt</v>
      </c>
      <c r="E1982" s="505" t="s">
        <v>2712</v>
      </c>
      <c r="F1982" s="505" t="s">
        <v>407</v>
      </c>
      <c r="G1982" s="415">
        <v>1800</v>
      </c>
      <c r="H1982" s="370"/>
    </row>
    <row r="1983" spans="1:8" s="673" customFormat="1">
      <c r="A1983" s="309">
        <v>748</v>
      </c>
      <c r="B1983" s="484" t="s">
        <v>2644</v>
      </c>
      <c r="C1983" s="706" t="s">
        <v>2712</v>
      </c>
      <c r="D1983" s="418" t="str">
        <f t="shared" si="30"/>
        <v>UBND Xã Tân Nhựt</v>
      </c>
      <c r="E1983" s="505" t="s">
        <v>2712</v>
      </c>
      <c r="F1983" s="505" t="s">
        <v>407</v>
      </c>
      <c r="G1983" s="415">
        <v>1691</v>
      </c>
      <c r="H1983" s="370"/>
    </row>
    <row r="1984" spans="1:8" s="673" customFormat="1">
      <c r="A1984" s="309">
        <v>749</v>
      </c>
      <c r="B1984" s="484" t="s">
        <v>8948</v>
      </c>
      <c r="C1984" s="706" t="s">
        <v>2712</v>
      </c>
      <c r="D1984" s="418" t="str">
        <f t="shared" si="30"/>
        <v>UBND Xã Tân Nhựt</v>
      </c>
      <c r="E1984" s="505" t="s">
        <v>2712</v>
      </c>
      <c r="F1984" s="505" t="s">
        <v>407</v>
      </c>
      <c r="G1984" s="415">
        <v>800</v>
      </c>
      <c r="H1984" s="370"/>
    </row>
    <row r="1985" spans="1:8" s="673" customFormat="1">
      <c r="A1985" s="309">
        <v>750</v>
      </c>
      <c r="B1985" s="484" t="s">
        <v>8949</v>
      </c>
      <c r="C1985" s="706" t="s">
        <v>2712</v>
      </c>
      <c r="D1985" s="418" t="str">
        <f t="shared" si="30"/>
        <v>UBND Xã Tân Nhựt</v>
      </c>
      <c r="E1985" s="505" t="s">
        <v>2712</v>
      </c>
      <c r="F1985" s="505" t="s">
        <v>407</v>
      </c>
      <c r="G1985" s="415">
        <v>760</v>
      </c>
      <c r="H1985" s="370"/>
    </row>
    <row r="1986" spans="1:8" s="673" customFormat="1">
      <c r="A1986" s="309">
        <v>751</v>
      </c>
      <c r="B1986" s="484" t="s">
        <v>8950</v>
      </c>
      <c r="C1986" s="706" t="s">
        <v>2712</v>
      </c>
      <c r="D1986" s="418" t="str">
        <f t="shared" si="30"/>
        <v>UBND Xã Tân Nhựt</v>
      </c>
      <c r="E1986" s="505" t="s">
        <v>2712</v>
      </c>
      <c r="F1986" s="505" t="s">
        <v>407</v>
      </c>
      <c r="G1986" s="415">
        <v>850</v>
      </c>
      <c r="H1986" s="370"/>
    </row>
    <row r="1987" spans="1:8" s="673" customFormat="1">
      <c r="A1987" s="309">
        <v>752</v>
      </c>
      <c r="B1987" s="484" t="s">
        <v>8951</v>
      </c>
      <c r="C1987" s="706" t="s">
        <v>2712</v>
      </c>
      <c r="D1987" s="418" t="str">
        <f t="shared" si="30"/>
        <v>UBND Xã Tân Nhựt</v>
      </c>
      <c r="E1987" s="505" t="s">
        <v>2712</v>
      </c>
      <c r="F1987" s="505" t="s">
        <v>407</v>
      </c>
      <c r="G1987" s="415">
        <v>800</v>
      </c>
      <c r="H1987" s="370"/>
    </row>
    <row r="1988" spans="1:8" s="673" customFormat="1">
      <c r="A1988" s="309">
        <v>753</v>
      </c>
      <c r="B1988" s="484" t="s">
        <v>8952</v>
      </c>
      <c r="C1988" s="706" t="s">
        <v>2712</v>
      </c>
      <c r="D1988" s="418" t="str">
        <f t="shared" si="30"/>
        <v>UBND Xã Tân Nhựt</v>
      </c>
      <c r="E1988" s="505" t="s">
        <v>2712</v>
      </c>
      <c r="F1988" s="505" t="s">
        <v>407</v>
      </c>
      <c r="G1988" s="415">
        <v>1149</v>
      </c>
      <c r="H1988" s="370"/>
    </row>
    <row r="1989" spans="1:8" s="673" customFormat="1">
      <c r="A1989" s="309">
        <v>754</v>
      </c>
      <c r="B1989" s="484" t="s">
        <v>8953</v>
      </c>
      <c r="C1989" s="706" t="s">
        <v>2712</v>
      </c>
      <c r="D1989" s="418" t="str">
        <f t="shared" si="30"/>
        <v>UBND Xã Tân Nhựt</v>
      </c>
      <c r="E1989" s="505" t="s">
        <v>2712</v>
      </c>
      <c r="F1989" s="505" t="s">
        <v>407</v>
      </c>
      <c r="G1989" s="415">
        <v>1278</v>
      </c>
      <c r="H1989" s="370"/>
    </row>
    <row r="1990" spans="1:8" s="673" customFormat="1">
      <c r="A1990" s="309">
        <v>755</v>
      </c>
      <c r="B1990" s="484" t="s">
        <v>8954</v>
      </c>
      <c r="C1990" s="706" t="s">
        <v>2712</v>
      </c>
      <c r="D1990" s="418" t="str">
        <f t="shared" si="30"/>
        <v>UBND Xã Tân Nhựt</v>
      </c>
      <c r="E1990" s="505" t="s">
        <v>2712</v>
      </c>
      <c r="F1990" s="505" t="s">
        <v>407</v>
      </c>
      <c r="G1990" s="415">
        <v>760</v>
      </c>
      <c r="H1990" s="370"/>
    </row>
    <row r="1991" spans="1:8" s="673" customFormat="1">
      <c r="A1991" s="309">
        <v>756</v>
      </c>
      <c r="B1991" s="484" t="s">
        <v>8947</v>
      </c>
      <c r="C1991" s="706" t="s">
        <v>2712</v>
      </c>
      <c r="D1991" s="418" t="str">
        <f t="shared" si="30"/>
        <v>UBND Xã Tân Nhựt</v>
      </c>
      <c r="E1991" s="505" t="s">
        <v>2712</v>
      </c>
      <c r="F1991" s="505" t="s">
        <v>407</v>
      </c>
      <c r="G1991" s="415">
        <v>640</v>
      </c>
      <c r="H1991" s="370"/>
    </row>
    <row r="1992" spans="1:8" s="673" customFormat="1">
      <c r="A1992" s="309">
        <v>757</v>
      </c>
      <c r="B1992" s="484" t="s">
        <v>8955</v>
      </c>
      <c r="C1992" s="706" t="s">
        <v>2712</v>
      </c>
      <c r="D1992" s="418" t="str">
        <f t="shared" si="30"/>
        <v>UBND Xã Tân Nhựt</v>
      </c>
      <c r="E1992" s="505" t="s">
        <v>2712</v>
      </c>
      <c r="F1992" s="505" t="s">
        <v>407</v>
      </c>
      <c r="G1992" s="415">
        <v>420</v>
      </c>
      <c r="H1992" s="370"/>
    </row>
    <row r="1993" spans="1:8" s="673" customFormat="1">
      <c r="A1993" s="309">
        <v>758</v>
      </c>
      <c r="B1993" s="484" t="s">
        <v>8956</v>
      </c>
      <c r="C1993" s="706" t="s">
        <v>2712</v>
      </c>
      <c r="D1993" s="418" t="str">
        <f t="shared" si="30"/>
        <v>UBND Xã Tân Nhựt</v>
      </c>
      <c r="E1993" s="505" t="s">
        <v>2712</v>
      </c>
      <c r="F1993" s="505" t="s">
        <v>407</v>
      </c>
      <c r="G1993" s="415">
        <v>180</v>
      </c>
      <c r="H1993" s="370"/>
    </row>
    <row r="1994" spans="1:8" s="673" customFormat="1">
      <c r="A1994" s="309">
        <v>759</v>
      </c>
      <c r="B1994" s="484" t="s">
        <v>8957</v>
      </c>
      <c r="C1994" s="706" t="s">
        <v>2712</v>
      </c>
      <c r="D1994" s="418" t="str">
        <f t="shared" si="30"/>
        <v>UBND Xã Tân Nhựt</v>
      </c>
      <c r="E1994" s="505" t="s">
        <v>2712</v>
      </c>
      <c r="F1994" s="505" t="s">
        <v>407</v>
      </c>
      <c r="G1994" s="415">
        <v>600</v>
      </c>
      <c r="H1994" s="370"/>
    </row>
    <row r="1995" spans="1:8" s="673" customFormat="1">
      <c r="A1995" s="309">
        <v>760</v>
      </c>
      <c r="B1995" s="484" t="s">
        <v>8958</v>
      </c>
      <c r="C1995" s="706" t="s">
        <v>2712</v>
      </c>
      <c r="D1995" s="418" t="str">
        <f t="shared" si="30"/>
        <v>UBND Xã Tân Nhựt</v>
      </c>
      <c r="E1995" s="505" t="s">
        <v>2712</v>
      </c>
      <c r="F1995" s="505" t="s">
        <v>407</v>
      </c>
      <c r="G1995" s="415">
        <v>800</v>
      </c>
      <c r="H1995" s="370"/>
    </row>
    <row r="1996" spans="1:8" s="673" customFormat="1">
      <c r="A1996" s="309">
        <v>761</v>
      </c>
      <c r="B1996" s="484" t="s">
        <v>8959</v>
      </c>
      <c r="C1996" s="706" t="s">
        <v>2712</v>
      </c>
      <c r="D1996" s="418" t="str">
        <f t="shared" si="30"/>
        <v>UBND Xã Tân Nhựt</v>
      </c>
      <c r="E1996" s="505" t="s">
        <v>2712</v>
      </c>
      <c r="F1996" s="505" t="s">
        <v>407</v>
      </c>
      <c r="G1996" s="415">
        <v>740</v>
      </c>
      <c r="H1996" s="370"/>
    </row>
    <row r="1997" spans="1:8" s="673" customFormat="1">
      <c r="A1997" s="309">
        <v>762</v>
      </c>
      <c r="B1997" s="484" t="s">
        <v>8960</v>
      </c>
      <c r="C1997" s="706" t="s">
        <v>2712</v>
      </c>
      <c r="D1997" s="418" t="str">
        <f t="shared" si="30"/>
        <v>UBND Xã Tân Nhựt</v>
      </c>
      <c r="E1997" s="505" t="s">
        <v>2712</v>
      </c>
      <c r="F1997" s="505" t="s">
        <v>407</v>
      </c>
      <c r="G1997" s="415">
        <v>300</v>
      </c>
      <c r="H1997" s="370"/>
    </row>
    <row r="1998" spans="1:8" s="673" customFormat="1">
      <c r="A1998" s="309">
        <v>763</v>
      </c>
      <c r="B1998" s="484" t="s">
        <v>8961</v>
      </c>
      <c r="C1998" s="706" t="s">
        <v>2712</v>
      </c>
      <c r="D1998" s="418" t="str">
        <f t="shared" si="30"/>
        <v>UBND Xã Tân Nhựt</v>
      </c>
      <c r="E1998" s="505" t="s">
        <v>2712</v>
      </c>
      <c r="F1998" s="505" t="s">
        <v>407</v>
      </c>
      <c r="G1998" s="415">
        <v>300</v>
      </c>
      <c r="H1998" s="370"/>
    </row>
    <row r="1999" spans="1:8" s="673" customFormat="1">
      <c r="A1999" s="309">
        <v>764</v>
      </c>
      <c r="B1999" s="484" t="s">
        <v>8962</v>
      </c>
      <c r="C1999" s="706" t="s">
        <v>2712</v>
      </c>
      <c r="D1999" s="418" t="str">
        <f t="shared" si="30"/>
        <v>UBND Xã Tân Nhựt</v>
      </c>
      <c r="E1999" s="505" t="s">
        <v>2712</v>
      </c>
      <c r="F1999" s="505" t="s">
        <v>407</v>
      </c>
      <c r="G1999" s="415">
        <v>800</v>
      </c>
      <c r="H1999" s="370"/>
    </row>
    <row r="2000" spans="1:8" s="673" customFormat="1">
      <c r="A2000" s="309">
        <v>765</v>
      </c>
      <c r="B2000" s="484" t="s">
        <v>8963</v>
      </c>
      <c r="C2000" s="706" t="s">
        <v>2712</v>
      </c>
      <c r="D2000" s="418" t="str">
        <f t="shared" si="30"/>
        <v>UBND Xã Tân Nhựt</v>
      </c>
      <c r="E2000" s="505" t="s">
        <v>2712</v>
      </c>
      <c r="F2000" s="505" t="s">
        <v>407</v>
      </c>
      <c r="G2000" s="415">
        <v>1200</v>
      </c>
      <c r="H2000" s="370"/>
    </row>
    <row r="2001" spans="1:8" s="673" customFormat="1">
      <c r="A2001" s="309">
        <v>766</v>
      </c>
      <c r="B2001" s="484" t="s">
        <v>8964</v>
      </c>
      <c r="C2001" s="706" t="s">
        <v>2712</v>
      </c>
      <c r="D2001" s="418" t="str">
        <f t="shared" si="30"/>
        <v>UBND Xã Tân Nhựt</v>
      </c>
      <c r="E2001" s="505" t="s">
        <v>2712</v>
      </c>
      <c r="F2001" s="505" t="s">
        <v>407</v>
      </c>
      <c r="G2001" s="415">
        <v>510</v>
      </c>
      <c r="H2001" s="370"/>
    </row>
    <row r="2002" spans="1:8" s="673" customFormat="1">
      <c r="A2002" s="309">
        <v>767</v>
      </c>
      <c r="B2002" s="484" t="s">
        <v>8965</v>
      </c>
      <c r="C2002" s="706" t="s">
        <v>2712</v>
      </c>
      <c r="D2002" s="418" t="str">
        <f t="shared" si="30"/>
        <v>UBND Xã Tân Nhựt</v>
      </c>
      <c r="E2002" s="505" t="s">
        <v>2712</v>
      </c>
      <c r="F2002" s="505" t="s">
        <v>407</v>
      </c>
      <c r="G2002" s="415">
        <v>480</v>
      </c>
      <c r="H2002" s="370"/>
    </row>
    <row r="2003" spans="1:8" s="673" customFormat="1">
      <c r="A2003" s="309">
        <v>768</v>
      </c>
      <c r="B2003" s="484" t="s">
        <v>3284</v>
      </c>
      <c r="C2003" s="706" t="s">
        <v>2712</v>
      </c>
      <c r="D2003" s="418" t="str">
        <f t="shared" si="30"/>
        <v>UBND Xã Tân Nhựt</v>
      </c>
      <c r="E2003" s="505" t="s">
        <v>2712</v>
      </c>
      <c r="F2003" s="505" t="s">
        <v>407</v>
      </c>
      <c r="G2003" s="415">
        <v>500</v>
      </c>
      <c r="H2003" s="370"/>
    </row>
    <row r="2004" spans="1:8" s="673" customFormat="1">
      <c r="A2004" s="309">
        <v>769</v>
      </c>
      <c r="B2004" s="484" t="s">
        <v>3285</v>
      </c>
      <c r="C2004" s="706" t="s">
        <v>2712</v>
      </c>
      <c r="D2004" s="418" t="str">
        <f t="shared" si="30"/>
        <v>UBND Xã Tân Nhựt</v>
      </c>
      <c r="E2004" s="505" t="s">
        <v>2712</v>
      </c>
      <c r="F2004" s="505" t="s">
        <v>407</v>
      </c>
      <c r="G2004" s="415">
        <v>600</v>
      </c>
      <c r="H2004" s="370"/>
    </row>
    <row r="2005" spans="1:8" s="673" customFormat="1" ht="33">
      <c r="A2005" s="309">
        <v>770</v>
      </c>
      <c r="B2005" s="484" t="s">
        <v>3286</v>
      </c>
      <c r="C2005" s="706" t="s">
        <v>2712</v>
      </c>
      <c r="D2005" s="418" t="str">
        <f t="shared" si="30"/>
        <v>UBND Xã Tân Nhựt</v>
      </c>
      <c r="E2005" s="505" t="s">
        <v>2712</v>
      </c>
      <c r="F2005" s="505" t="s">
        <v>407</v>
      </c>
      <c r="G2005" s="415">
        <v>800</v>
      </c>
      <c r="H2005" s="370"/>
    </row>
    <row r="2006" spans="1:8" s="673" customFormat="1" ht="33">
      <c r="A2006" s="309">
        <v>771</v>
      </c>
      <c r="B2006" s="484" t="s">
        <v>3287</v>
      </c>
      <c r="C2006" s="706" t="s">
        <v>2712</v>
      </c>
      <c r="D2006" s="418" t="str">
        <f t="shared" si="30"/>
        <v>UBND Xã Tân Nhựt</v>
      </c>
      <c r="E2006" s="505" t="s">
        <v>2712</v>
      </c>
      <c r="F2006" s="505" t="s">
        <v>407</v>
      </c>
      <c r="G2006" s="415">
        <v>700</v>
      </c>
      <c r="H2006" s="370"/>
    </row>
    <row r="2007" spans="1:8" s="673" customFormat="1">
      <c r="A2007" s="309">
        <v>772</v>
      </c>
      <c r="B2007" s="484" t="s">
        <v>2699</v>
      </c>
      <c r="C2007" s="706" t="s">
        <v>2712</v>
      </c>
      <c r="D2007" s="418" t="str">
        <f t="shared" si="30"/>
        <v>UBND Xã Tân Nhựt</v>
      </c>
      <c r="E2007" s="505" t="s">
        <v>2712</v>
      </c>
      <c r="F2007" s="505" t="s">
        <v>407</v>
      </c>
      <c r="G2007" s="415"/>
      <c r="H2007" s="370"/>
    </row>
    <row r="2008" spans="1:8" s="673" customFormat="1">
      <c r="A2008" s="309">
        <v>773</v>
      </c>
      <c r="B2008" s="484" t="s">
        <v>8966</v>
      </c>
      <c r="C2008" s="706" t="s">
        <v>2712</v>
      </c>
      <c r="D2008" s="418" t="str">
        <f t="shared" si="30"/>
        <v>UBND Xã Tân Nhựt</v>
      </c>
      <c r="E2008" s="505" t="s">
        <v>2712</v>
      </c>
      <c r="F2008" s="505" t="s">
        <v>407</v>
      </c>
      <c r="G2008" s="415">
        <v>1358</v>
      </c>
      <c r="H2008" s="370"/>
    </row>
    <row r="2009" spans="1:8" s="673" customFormat="1">
      <c r="A2009" s="309">
        <v>774</v>
      </c>
      <c r="B2009" s="484" t="s">
        <v>8967</v>
      </c>
      <c r="C2009" s="706" t="s">
        <v>2712</v>
      </c>
      <c r="D2009" s="418" t="str">
        <f t="shared" si="30"/>
        <v>UBND Xã Tân Nhựt</v>
      </c>
      <c r="E2009" s="505" t="s">
        <v>2712</v>
      </c>
      <c r="F2009" s="505" t="s">
        <v>407</v>
      </c>
      <c r="G2009" s="415">
        <v>950</v>
      </c>
      <c r="H2009" s="370"/>
    </row>
    <row r="2010" spans="1:8" s="673" customFormat="1">
      <c r="A2010" s="309">
        <v>775</v>
      </c>
      <c r="B2010" s="484" t="s">
        <v>8968</v>
      </c>
      <c r="C2010" s="706" t="s">
        <v>2712</v>
      </c>
      <c r="D2010" s="418" t="str">
        <f t="shared" si="30"/>
        <v>UBND Xã Tân Nhựt</v>
      </c>
      <c r="E2010" s="505" t="s">
        <v>2712</v>
      </c>
      <c r="F2010" s="505" t="s">
        <v>407</v>
      </c>
      <c r="G2010" s="415">
        <v>513</v>
      </c>
      <c r="H2010" s="370"/>
    </row>
    <row r="2011" spans="1:8" s="673" customFormat="1" ht="33">
      <c r="A2011" s="309">
        <v>776</v>
      </c>
      <c r="B2011" s="484" t="s">
        <v>8969</v>
      </c>
      <c r="C2011" s="706" t="s">
        <v>2712</v>
      </c>
      <c r="D2011" s="418" t="str">
        <f t="shared" si="30"/>
        <v>UBND Xã Tân Nhựt</v>
      </c>
      <c r="E2011" s="505" t="s">
        <v>2712</v>
      </c>
      <c r="F2011" s="505" t="s">
        <v>407</v>
      </c>
      <c r="G2011" s="415">
        <v>625</v>
      </c>
      <c r="H2011" s="370"/>
    </row>
    <row r="2012" spans="1:8" s="673" customFormat="1" ht="33">
      <c r="A2012" s="309">
        <v>777</v>
      </c>
      <c r="B2012" s="484" t="s">
        <v>9060</v>
      </c>
      <c r="C2012" s="706" t="s">
        <v>2712</v>
      </c>
      <c r="D2012" s="418" t="str">
        <f t="shared" si="30"/>
        <v>UBND Xã Tân Nhựt</v>
      </c>
      <c r="E2012" s="505" t="s">
        <v>2712</v>
      </c>
      <c r="F2012" s="505" t="s">
        <v>407</v>
      </c>
      <c r="G2012" s="415">
        <v>2000</v>
      </c>
      <c r="H2012" s="370"/>
    </row>
    <row r="2013" spans="1:8" s="673" customFormat="1">
      <c r="A2013" s="309">
        <v>778</v>
      </c>
      <c r="B2013" s="484" t="s">
        <v>8970</v>
      </c>
      <c r="C2013" s="706" t="s">
        <v>2712</v>
      </c>
      <c r="D2013" s="418" t="str">
        <f t="shared" si="30"/>
        <v>UBND Xã Tân Nhựt</v>
      </c>
      <c r="E2013" s="505" t="s">
        <v>2712</v>
      </c>
      <c r="F2013" s="505" t="s">
        <v>407</v>
      </c>
      <c r="G2013" s="415">
        <v>450</v>
      </c>
      <c r="H2013" s="370"/>
    </row>
    <row r="2014" spans="1:8" s="673" customFormat="1">
      <c r="A2014" s="309">
        <v>779</v>
      </c>
      <c r="B2014" s="484" t="s">
        <v>8971</v>
      </c>
      <c r="C2014" s="706" t="s">
        <v>2712</v>
      </c>
      <c r="D2014" s="418" t="str">
        <f t="shared" si="30"/>
        <v>UBND Xã Tân Nhựt</v>
      </c>
      <c r="E2014" s="505" t="s">
        <v>2712</v>
      </c>
      <c r="F2014" s="505" t="s">
        <v>407</v>
      </c>
      <c r="G2014" s="415">
        <v>236</v>
      </c>
      <c r="H2014" s="370"/>
    </row>
    <row r="2015" spans="1:8" s="673" customFormat="1">
      <c r="A2015" s="309">
        <v>780</v>
      </c>
      <c r="B2015" s="484" t="s">
        <v>73</v>
      </c>
      <c r="C2015" s="706" t="s">
        <v>2712</v>
      </c>
      <c r="D2015" s="418" t="str">
        <f t="shared" si="30"/>
        <v>UBND Xã Tân Nhựt</v>
      </c>
      <c r="E2015" s="505" t="s">
        <v>2712</v>
      </c>
      <c r="F2015" s="505" t="s">
        <v>407</v>
      </c>
      <c r="G2015" s="415">
        <v>1600</v>
      </c>
      <c r="H2015" s="370"/>
    </row>
    <row r="2016" spans="1:8" s="673" customFormat="1">
      <c r="A2016" s="309">
        <v>781</v>
      </c>
      <c r="B2016" s="484" t="s">
        <v>1197</v>
      </c>
      <c r="C2016" s="706" t="s">
        <v>2712</v>
      </c>
      <c r="D2016" s="418" t="str">
        <f t="shared" si="30"/>
        <v>UBND Xã Tân Nhựt</v>
      </c>
      <c r="E2016" s="505" t="s">
        <v>2712</v>
      </c>
      <c r="F2016" s="505" t="s">
        <v>407</v>
      </c>
      <c r="G2016" s="415">
        <v>1250</v>
      </c>
      <c r="H2016" s="370"/>
    </row>
    <row r="2017" spans="1:8" s="673" customFormat="1">
      <c r="A2017" s="309">
        <v>782</v>
      </c>
      <c r="B2017" s="484" t="s">
        <v>8972</v>
      </c>
      <c r="C2017" s="706" t="s">
        <v>2712</v>
      </c>
      <c r="D2017" s="418" t="str">
        <f t="shared" si="30"/>
        <v>UBND Xã Tân Nhựt</v>
      </c>
      <c r="E2017" s="505" t="s">
        <v>2712</v>
      </c>
      <c r="F2017" s="505" t="s">
        <v>407</v>
      </c>
      <c r="G2017" s="415">
        <v>600</v>
      </c>
      <c r="H2017" s="370"/>
    </row>
    <row r="2018" spans="1:8" s="673" customFormat="1">
      <c r="A2018" s="309">
        <v>783</v>
      </c>
      <c r="B2018" s="687" t="s">
        <v>1365</v>
      </c>
      <c r="C2018" s="706" t="s">
        <v>5117</v>
      </c>
      <c r="D2018" s="418" t="str">
        <f t="shared" si="29"/>
        <v>UBND Xã Tân Vĩnh Lộc</v>
      </c>
      <c r="E2018" s="505" t="s">
        <v>1366</v>
      </c>
      <c r="F2018" s="505" t="s">
        <v>407</v>
      </c>
      <c r="G2018" s="415">
        <v>500</v>
      </c>
      <c r="H2018" s="371" t="s">
        <v>164</v>
      </c>
    </row>
    <row r="2019" spans="1:8" s="673" customFormat="1">
      <c r="A2019" s="309">
        <v>784</v>
      </c>
      <c r="B2019" s="687" t="s">
        <v>1368</v>
      </c>
      <c r="C2019" s="706" t="s">
        <v>5117</v>
      </c>
      <c r="D2019" s="418" t="str">
        <f t="shared" si="29"/>
        <v>UBND Xã Tân Vĩnh Lộc</v>
      </c>
      <c r="E2019" s="505" t="s">
        <v>1366</v>
      </c>
      <c r="F2019" s="505" t="s">
        <v>407</v>
      </c>
      <c r="G2019" s="415">
        <v>500</v>
      </c>
      <c r="H2019" s="371" t="s">
        <v>164</v>
      </c>
    </row>
    <row r="2020" spans="1:8" s="673" customFormat="1">
      <c r="A2020" s="309">
        <v>785</v>
      </c>
      <c r="B2020" s="687" t="s">
        <v>1370</v>
      </c>
      <c r="C2020" s="706" t="s">
        <v>5117</v>
      </c>
      <c r="D2020" s="418" t="str">
        <f t="shared" si="29"/>
        <v>UBND Xã Tân Vĩnh Lộc</v>
      </c>
      <c r="E2020" s="505" t="s">
        <v>1366</v>
      </c>
      <c r="F2020" s="505" t="s">
        <v>407</v>
      </c>
      <c r="G2020" s="415">
        <v>500</v>
      </c>
      <c r="H2020" s="371" t="s">
        <v>164</v>
      </c>
    </row>
    <row r="2021" spans="1:8" s="673" customFormat="1">
      <c r="A2021" s="309">
        <v>786</v>
      </c>
      <c r="B2021" s="687" t="s">
        <v>1372</v>
      </c>
      <c r="C2021" s="706" t="s">
        <v>5117</v>
      </c>
      <c r="D2021" s="418" t="str">
        <f t="shared" si="29"/>
        <v>UBND Xã Tân Vĩnh Lộc</v>
      </c>
      <c r="E2021" s="505" t="s">
        <v>1366</v>
      </c>
      <c r="F2021" s="505" t="s">
        <v>407</v>
      </c>
      <c r="G2021" s="415">
        <v>500</v>
      </c>
      <c r="H2021" s="371" t="s">
        <v>164</v>
      </c>
    </row>
    <row r="2022" spans="1:8" s="673" customFormat="1">
      <c r="A2022" s="309">
        <v>787</v>
      </c>
      <c r="B2022" s="687" t="s">
        <v>1374</v>
      </c>
      <c r="C2022" s="706" t="s">
        <v>5117</v>
      </c>
      <c r="D2022" s="418" t="str">
        <f t="shared" si="29"/>
        <v>UBND Xã Tân Vĩnh Lộc</v>
      </c>
      <c r="E2022" s="505" t="s">
        <v>1375</v>
      </c>
      <c r="F2022" s="505" t="s">
        <v>407</v>
      </c>
      <c r="G2022" s="415">
        <v>500</v>
      </c>
      <c r="H2022" s="371" t="s">
        <v>164</v>
      </c>
    </row>
    <row r="2023" spans="1:8" s="673" customFormat="1">
      <c r="A2023" s="309">
        <v>788</v>
      </c>
      <c r="B2023" s="687" t="s">
        <v>1376</v>
      </c>
      <c r="C2023" s="706" t="s">
        <v>5117</v>
      </c>
      <c r="D2023" s="418" t="str">
        <f t="shared" si="29"/>
        <v>UBND Xã Tân Vĩnh Lộc</v>
      </c>
      <c r="E2023" s="505" t="s">
        <v>1375</v>
      </c>
      <c r="F2023" s="505" t="s">
        <v>407</v>
      </c>
      <c r="G2023" s="415">
        <v>500</v>
      </c>
      <c r="H2023" s="371" t="s">
        <v>164</v>
      </c>
    </row>
    <row r="2024" spans="1:8" s="673" customFormat="1">
      <c r="A2024" s="309">
        <v>789</v>
      </c>
      <c r="B2024" s="687" t="s">
        <v>1378</v>
      </c>
      <c r="C2024" s="706" t="s">
        <v>5117</v>
      </c>
      <c r="D2024" s="418" t="str">
        <f t="shared" si="29"/>
        <v>UBND Xã Tân Vĩnh Lộc</v>
      </c>
      <c r="E2024" s="505" t="s">
        <v>1375</v>
      </c>
      <c r="F2024" s="505" t="s">
        <v>407</v>
      </c>
      <c r="G2024" s="415">
        <v>500</v>
      </c>
      <c r="H2024" s="371" t="s">
        <v>164</v>
      </c>
    </row>
    <row r="2025" spans="1:8" s="673" customFormat="1">
      <c r="A2025" s="309">
        <v>790</v>
      </c>
      <c r="B2025" s="687" t="s">
        <v>1380</v>
      </c>
      <c r="C2025" s="706" t="s">
        <v>5117</v>
      </c>
      <c r="D2025" s="418" t="str">
        <f t="shared" si="29"/>
        <v>UBND Xã Tân Vĩnh Lộc</v>
      </c>
      <c r="E2025" s="505" t="s">
        <v>1375</v>
      </c>
      <c r="F2025" s="505" t="s">
        <v>407</v>
      </c>
      <c r="G2025" s="415">
        <v>500</v>
      </c>
      <c r="H2025" s="371" t="s">
        <v>164</v>
      </c>
    </row>
    <row r="2026" spans="1:8" s="673" customFormat="1">
      <c r="A2026" s="309">
        <v>791</v>
      </c>
      <c r="B2026" s="687" t="s">
        <v>1382</v>
      </c>
      <c r="C2026" s="706" t="s">
        <v>5117</v>
      </c>
      <c r="D2026" s="418" t="str">
        <f t="shared" si="29"/>
        <v>UBND Xã Tân Vĩnh Lộc</v>
      </c>
      <c r="E2026" s="505" t="s">
        <v>1375</v>
      </c>
      <c r="F2026" s="505" t="s">
        <v>407</v>
      </c>
      <c r="G2026" s="415">
        <v>500</v>
      </c>
      <c r="H2026" s="371" t="s">
        <v>164</v>
      </c>
    </row>
    <row r="2027" spans="1:8" s="673" customFormat="1">
      <c r="A2027" s="309">
        <v>792</v>
      </c>
      <c r="B2027" s="687" t="s">
        <v>1384</v>
      </c>
      <c r="C2027" s="706" t="s">
        <v>5117</v>
      </c>
      <c r="D2027" s="418" t="str">
        <f t="shared" si="29"/>
        <v>UBND Xã Tân Vĩnh Lộc</v>
      </c>
      <c r="E2027" s="505" t="s">
        <v>1385</v>
      </c>
      <c r="F2027" s="505" t="s">
        <v>407</v>
      </c>
      <c r="G2027" s="415">
        <v>500</v>
      </c>
      <c r="H2027" s="371" t="s">
        <v>183</v>
      </c>
    </row>
    <row r="2028" spans="1:8" s="673" customFormat="1">
      <c r="A2028" s="309">
        <v>793</v>
      </c>
      <c r="B2028" s="687" t="s">
        <v>1394</v>
      </c>
      <c r="C2028" s="706" t="s">
        <v>5117</v>
      </c>
      <c r="D2028" s="418" t="str">
        <f t="shared" si="29"/>
        <v>UBND Xã Tân Vĩnh Lộc</v>
      </c>
      <c r="E2028" s="505" t="s">
        <v>1395</v>
      </c>
      <c r="F2028" s="505" t="s">
        <v>407</v>
      </c>
      <c r="G2028" s="415">
        <v>500</v>
      </c>
      <c r="H2028" s="371" t="s">
        <v>183</v>
      </c>
    </row>
    <row r="2029" spans="1:8" s="673" customFormat="1">
      <c r="A2029" s="309">
        <v>794</v>
      </c>
      <c r="B2029" s="687" t="s">
        <v>1245</v>
      </c>
      <c r="C2029" s="706" t="s">
        <v>5117</v>
      </c>
      <c r="D2029" s="418" t="str">
        <f t="shared" si="29"/>
        <v>UBND Xã Tân Vĩnh Lộc</v>
      </c>
      <c r="E2029" s="505" t="s">
        <v>1246</v>
      </c>
      <c r="F2029" s="505" t="s">
        <v>407</v>
      </c>
      <c r="G2029" s="415">
        <v>500</v>
      </c>
      <c r="H2029" s="371" t="s">
        <v>164</v>
      </c>
    </row>
    <row r="2030" spans="1:8" s="673" customFormat="1">
      <c r="A2030" s="309">
        <v>795</v>
      </c>
      <c r="B2030" s="687" t="s">
        <v>1247</v>
      </c>
      <c r="C2030" s="706" t="s">
        <v>5117</v>
      </c>
      <c r="D2030" s="418" t="str">
        <f t="shared" si="29"/>
        <v>UBND Xã Tân Vĩnh Lộc</v>
      </c>
      <c r="E2030" s="505" t="s">
        <v>1246</v>
      </c>
      <c r="F2030" s="505" t="s">
        <v>407</v>
      </c>
      <c r="G2030" s="415">
        <v>500</v>
      </c>
      <c r="H2030" s="371" t="s">
        <v>164</v>
      </c>
    </row>
    <row r="2031" spans="1:8" s="673" customFormat="1">
      <c r="A2031" s="309">
        <v>796</v>
      </c>
      <c r="B2031" s="687" t="s">
        <v>1248</v>
      </c>
      <c r="C2031" s="706" t="s">
        <v>5117</v>
      </c>
      <c r="D2031" s="418" t="str">
        <f t="shared" ref="D2031:D2094" si="31">"UBND "&amp;C2031</f>
        <v>UBND Xã Tân Vĩnh Lộc</v>
      </c>
      <c r="E2031" s="505" t="s">
        <v>1246</v>
      </c>
      <c r="F2031" s="505" t="s">
        <v>407</v>
      </c>
      <c r="G2031" s="415">
        <v>500</v>
      </c>
      <c r="H2031" s="371" t="s">
        <v>164</v>
      </c>
    </row>
    <row r="2032" spans="1:8" s="673" customFormat="1">
      <c r="A2032" s="309">
        <v>797</v>
      </c>
      <c r="B2032" s="687" t="s">
        <v>1249</v>
      </c>
      <c r="C2032" s="706" t="s">
        <v>5117</v>
      </c>
      <c r="D2032" s="418" t="str">
        <f t="shared" si="31"/>
        <v>UBND Xã Tân Vĩnh Lộc</v>
      </c>
      <c r="E2032" s="505" t="s">
        <v>1246</v>
      </c>
      <c r="F2032" s="505" t="s">
        <v>407</v>
      </c>
      <c r="G2032" s="415">
        <v>500</v>
      </c>
      <c r="H2032" s="371" t="s">
        <v>164</v>
      </c>
    </row>
    <row r="2033" spans="1:8" s="673" customFormat="1">
      <c r="A2033" s="309">
        <v>798</v>
      </c>
      <c r="B2033" s="687" t="s">
        <v>1250</v>
      </c>
      <c r="C2033" s="706" t="s">
        <v>5117</v>
      </c>
      <c r="D2033" s="418" t="str">
        <f t="shared" si="31"/>
        <v>UBND Xã Tân Vĩnh Lộc</v>
      </c>
      <c r="E2033" s="505" t="s">
        <v>1246</v>
      </c>
      <c r="F2033" s="505" t="s">
        <v>407</v>
      </c>
      <c r="G2033" s="415">
        <v>500</v>
      </c>
      <c r="H2033" s="371" t="s">
        <v>164</v>
      </c>
    </row>
    <row r="2034" spans="1:8" s="673" customFormat="1">
      <c r="A2034" s="309">
        <v>799</v>
      </c>
      <c r="B2034" s="687" t="s">
        <v>1251</v>
      </c>
      <c r="C2034" s="706" t="s">
        <v>5117</v>
      </c>
      <c r="D2034" s="418" t="str">
        <f t="shared" si="31"/>
        <v>UBND Xã Tân Vĩnh Lộc</v>
      </c>
      <c r="E2034" s="505" t="s">
        <v>1246</v>
      </c>
      <c r="F2034" s="505" t="s">
        <v>407</v>
      </c>
      <c r="G2034" s="415">
        <v>500</v>
      </c>
      <c r="H2034" s="371" t="s">
        <v>164</v>
      </c>
    </row>
    <row r="2035" spans="1:8" s="673" customFormat="1">
      <c r="A2035" s="309">
        <v>800</v>
      </c>
      <c r="B2035" s="687" t="s">
        <v>1252</v>
      </c>
      <c r="C2035" s="706" t="s">
        <v>5117</v>
      </c>
      <c r="D2035" s="418" t="str">
        <f t="shared" si="31"/>
        <v>UBND Xã Tân Vĩnh Lộc</v>
      </c>
      <c r="E2035" s="505" t="s">
        <v>1246</v>
      </c>
      <c r="F2035" s="505" t="s">
        <v>407</v>
      </c>
      <c r="G2035" s="415">
        <v>500</v>
      </c>
      <c r="H2035" s="371" t="s">
        <v>164</v>
      </c>
    </row>
    <row r="2036" spans="1:8" s="673" customFormat="1">
      <c r="A2036" s="309">
        <v>801</v>
      </c>
      <c r="B2036" s="687" t="s">
        <v>1253</v>
      </c>
      <c r="C2036" s="706" t="s">
        <v>5117</v>
      </c>
      <c r="D2036" s="418" t="str">
        <f t="shared" si="31"/>
        <v>UBND Xã Tân Vĩnh Lộc</v>
      </c>
      <c r="E2036" s="505" t="s">
        <v>1246</v>
      </c>
      <c r="F2036" s="505" t="s">
        <v>407</v>
      </c>
      <c r="G2036" s="415">
        <v>500</v>
      </c>
      <c r="H2036" s="371" t="s">
        <v>164</v>
      </c>
    </row>
    <row r="2037" spans="1:8" s="673" customFormat="1">
      <c r="A2037" s="309">
        <v>802</v>
      </c>
      <c r="B2037" s="687" t="s">
        <v>1254</v>
      </c>
      <c r="C2037" s="706" t="s">
        <v>5117</v>
      </c>
      <c r="D2037" s="418" t="str">
        <f t="shared" si="31"/>
        <v>UBND Xã Tân Vĩnh Lộc</v>
      </c>
      <c r="E2037" s="505" t="s">
        <v>1255</v>
      </c>
      <c r="F2037" s="505" t="s">
        <v>407</v>
      </c>
      <c r="G2037" s="415">
        <v>500</v>
      </c>
      <c r="H2037" s="371" t="s">
        <v>164</v>
      </c>
    </row>
    <row r="2038" spans="1:8" s="673" customFormat="1">
      <c r="A2038" s="309">
        <v>803</v>
      </c>
      <c r="B2038" s="687" t="s">
        <v>1256</v>
      </c>
      <c r="C2038" s="706" t="s">
        <v>5117</v>
      </c>
      <c r="D2038" s="418" t="str">
        <f t="shared" si="31"/>
        <v>UBND Xã Tân Vĩnh Lộc</v>
      </c>
      <c r="E2038" s="505" t="s">
        <v>1255</v>
      </c>
      <c r="F2038" s="505" t="s">
        <v>407</v>
      </c>
      <c r="G2038" s="415">
        <v>500</v>
      </c>
      <c r="H2038" s="371" t="s">
        <v>164</v>
      </c>
    </row>
    <row r="2039" spans="1:8" s="673" customFormat="1">
      <c r="A2039" s="309">
        <v>804</v>
      </c>
      <c r="B2039" s="687" t="s">
        <v>1257</v>
      </c>
      <c r="C2039" s="706" t="s">
        <v>5117</v>
      </c>
      <c r="D2039" s="418" t="str">
        <f t="shared" si="31"/>
        <v>UBND Xã Tân Vĩnh Lộc</v>
      </c>
      <c r="E2039" s="505" t="s">
        <v>1255</v>
      </c>
      <c r="F2039" s="505" t="s">
        <v>407</v>
      </c>
      <c r="G2039" s="415">
        <v>500</v>
      </c>
      <c r="H2039" s="371" t="s">
        <v>164</v>
      </c>
    </row>
    <row r="2040" spans="1:8" s="673" customFormat="1">
      <c r="A2040" s="309">
        <v>805</v>
      </c>
      <c r="B2040" s="687" t="s">
        <v>1258</v>
      </c>
      <c r="C2040" s="706" t="s">
        <v>5117</v>
      </c>
      <c r="D2040" s="418" t="str">
        <f t="shared" si="31"/>
        <v>UBND Xã Tân Vĩnh Lộc</v>
      </c>
      <c r="E2040" s="505" t="s">
        <v>1255</v>
      </c>
      <c r="F2040" s="505" t="s">
        <v>407</v>
      </c>
      <c r="G2040" s="415">
        <v>500</v>
      </c>
      <c r="H2040" s="371" t="s">
        <v>164</v>
      </c>
    </row>
    <row r="2041" spans="1:8" s="673" customFormat="1">
      <c r="A2041" s="309">
        <v>806</v>
      </c>
      <c r="B2041" s="687" t="s">
        <v>1259</v>
      </c>
      <c r="C2041" s="706" t="s">
        <v>5117</v>
      </c>
      <c r="D2041" s="418" t="str">
        <f t="shared" si="31"/>
        <v>UBND Xã Tân Vĩnh Lộc</v>
      </c>
      <c r="E2041" s="505" t="s">
        <v>1255</v>
      </c>
      <c r="F2041" s="505" t="s">
        <v>407</v>
      </c>
      <c r="G2041" s="415">
        <v>500</v>
      </c>
      <c r="H2041" s="371" t="s">
        <v>164</v>
      </c>
    </row>
    <row r="2042" spans="1:8" s="673" customFormat="1">
      <c r="A2042" s="309">
        <v>807</v>
      </c>
      <c r="B2042" s="687" t="s">
        <v>1260</v>
      </c>
      <c r="C2042" s="706" t="s">
        <v>5117</v>
      </c>
      <c r="D2042" s="418" t="str">
        <f t="shared" si="31"/>
        <v>UBND Xã Tân Vĩnh Lộc</v>
      </c>
      <c r="E2042" s="505" t="s">
        <v>1255</v>
      </c>
      <c r="F2042" s="505" t="s">
        <v>407</v>
      </c>
      <c r="G2042" s="415">
        <v>500</v>
      </c>
      <c r="H2042" s="371" t="s">
        <v>164</v>
      </c>
    </row>
    <row r="2043" spans="1:8" s="673" customFormat="1">
      <c r="A2043" s="309">
        <v>808</v>
      </c>
      <c r="B2043" s="687" t="s">
        <v>1261</v>
      </c>
      <c r="C2043" s="706" t="s">
        <v>5117</v>
      </c>
      <c r="D2043" s="418" t="str">
        <f t="shared" si="31"/>
        <v>UBND Xã Tân Vĩnh Lộc</v>
      </c>
      <c r="E2043" s="505" t="s">
        <v>1255</v>
      </c>
      <c r="F2043" s="505" t="s">
        <v>407</v>
      </c>
      <c r="G2043" s="415">
        <v>500</v>
      </c>
      <c r="H2043" s="371" t="s">
        <v>164</v>
      </c>
    </row>
    <row r="2044" spans="1:8" s="673" customFormat="1">
      <c r="A2044" s="309">
        <v>809</v>
      </c>
      <c r="B2044" s="687" t="s">
        <v>1262</v>
      </c>
      <c r="C2044" s="706" t="s">
        <v>5117</v>
      </c>
      <c r="D2044" s="418" t="str">
        <f t="shared" si="31"/>
        <v>UBND Xã Tân Vĩnh Lộc</v>
      </c>
      <c r="E2044" s="505" t="s">
        <v>1255</v>
      </c>
      <c r="F2044" s="505" t="s">
        <v>407</v>
      </c>
      <c r="G2044" s="415">
        <v>500</v>
      </c>
      <c r="H2044" s="371" t="s">
        <v>164</v>
      </c>
    </row>
    <row r="2045" spans="1:8" s="673" customFormat="1">
      <c r="A2045" s="309">
        <v>810</v>
      </c>
      <c r="B2045" s="687" t="s">
        <v>1263</v>
      </c>
      <c r="C2045" s="706" t="s">
        <v>5117</v>
      </c>
      <c r="D2045" s="418" t="str">
        <f t="shared" si="31"/>
        <v>UBND Xã Tân Vĩnh Lộc</v>
      </c>
      <c r="E2045" s="505" t="s">
        <v>1255</v>
      </c>
      <c r="F2045" s="505" t="s">
        <v>407</v>
      </c>
      <c r="G2045" s="415">
        <v>500</v>
      </c>
      <c r="H2045" s="371" t="s">
        <v>164</v>
      </c>
    </row>
    <row r="2046" spans="1:8" s="673" customFormat="1">
      <c r="A2046" s="309">
        <v>811</v>
      </c>
      <c r="B2046" s="687" t="s">
        <v>1264</v>
      </c>
      <c r="C2046" s="706" t="s">
        <v>5117</v>
      </c>
      <c r="D2046" s="418" t="str">
        <f t="shared" si="31"/>
        <v>UBND Xã Tân Vĩnh Lộc</v>
      </c>
      <c r="E2046" s="505" t="s">
        <v>1255</v>
      </c>
      <c r="F2046" s="505" t="s">
        <v>407</v>
      </c>
      <c r="G2046" s="415">
        <v>500</v>
      </c>
      <c r="H2046" s="371" t="s">
        <v>164</v>
      </c>
    </row>
    <row r="2047" spans="1:8" s="673" customFormat="1">
      <c r="A2047" s="309">
        <v>812</v>
      </c>
      <c r="B2047" s="687" t="s">
        <v>1265</v>
      </c>
      <c r="C2047" s="706" t="s">
        <v>5117</v>
      </c>
      <c r="D2047" s="418" t="str">
        <f t="shared" si="31"/>
        <v>UBND Xã Tân Vĩnh Lộc</v>
      </c>
      <c r="E2047" s="505" t="s">
        <v>1255</v>
      </c>
      <c r="F2047" s="505" t="s">
        <v>407</v>
      </c>
      <c r="G2047" s="415">
        <v>500</v>
      </c>
      <c r="H2047" s="371" t="s">
        <v>164</v>
      </c>
    </row>
    <row r="2048" spans="1:8" s="673" customFormat="1">
      <c r="A2048" s="309">
        <v>813</v>
      </c>
      <c r="B2048" s="687" t="s">
        <v>1266</v>
      </c>
      <c r="C2048" s="706" t="s">
        <v>5117</v>
      </c>
      <c r="D2048" s="418" t="str">
        <f t="shared" si="31"/>
        <v>UBND Xã Tân Vĩnh Lộc</v>
      </c>
      <c r="E2048" s="505" t="s">
        <v>1255</v>
      </c>
      <c r="F2048" s="505" t="s">
        <v>407</v>
      </c>
      <c r="G2048" s="415">
        <v>500</v>
      </c>
      <c r="H2048" s="371" t="s">
        <v>164</v>
      </c>
    </row>
    <row r="2049" spans="1:8" s="673" customFormat="1">
      <c r="A2049" s="309">
        <v>814</v>
      </c>
      <c r="B2049" s="687" t="s">
        <v>1267</v>
      </c>
      <c r="C2049" s="706" t="s">
        <v>5117</v>
      </c>
      <c r="D2049" s="418" t="str">
        <f t="shared" si="31"/>
        <v>UBND Xã Tân Vĩnh Lộc</v>
      </c>
      <c r="E2049" s="505" t="s">
        <v>1255</v>
      </c>
      <c r="F2049" s="505" t="s">
        <v>407</v>
      </c>
      <c r="G2049" s="415">
        <v>500</v>
      </c>
      <c r="H2049" s="371" t="s">
        <v>164</v>
      </c>
    </row>
    <row r="2050" spans="1:8" s="673" customFormat="1">
      <c r="A2050" s="309">
        <v>815</v>
      </c>
      <c r="B2050" s="687" t="s">
        <v>1268</v>
      </c>
      <c r="C2050" s="706" t="s">
        <v>5117</v>
      </c>
      <c r="D2050" s="418" t="str">
        <f t="shared" si="31"/>
        <v>UBND Xã Tân Vĩnh Lộc</v>
      </c>
      <c r="E2050" s="505" t="s">
        <v>1255</v>
      </c>
      <c r="F2050" s="505" t="s">
        <v>407</v>
      </c>
      <c r="G2050" s="415">
        <v>500</v>
      </c>
      <c r="H2050" s="371" t="s">
        <v>164</v>
      </c>
    </row>
    <row r="2051" spans="1:8" s="673" customFormat="1">
      <c r="A2051" s="309">
        <v>816</v>
      </c>
      <c r="B2051" s="687" t="s">
        <v>1269</v>
      </c>
      <c r="C2051" s="706" t="s">
        <v>5117</v>
      </c>
      <c r="D2051" s="418" t="str">
        <f t="shared" si="31"/>
        <v>UBND Xã Tân Vĩnh Lộc</v>
      </c>
      <c r="E2051" s="505" t="s">
        <v>1255</v>
      </c>
      <c r="F2051" s="505" t="s">
        <v>407</v>
      </c>
      <c r="G2051" s="415">
        <v>500</v>
      </c>
      <c r="H2051" s="371" t="s">
        <v>164</v>
      </c>
    </row>
    <row r="2052" spans="1:8" s="673" customFormat="1">
      <c r="A2052" s="309">
        <v>817</v>
      </c>
      <c r="B2052" s="687" t="s">
        <v>1270</v>
      </c>
      <c r="C2052" s="706" t="s">
        <v>5117</v>
      </c>
      <c r="D2052" s="418" t="str">
        <f t="shared" si="31"/>
        <v>UBND Xã Tân Vĩnh Lộc</v>
      </c>
      <c r="E2052" s="505" t="s">
        <v>1255</v>
      </c>
      <c r="F2052" s="505" t="s">
        <v>407</v>
      </c>
      <c r="G2052" s="415">
        <v>500</v>
      </c>
      <c r="H2052" s="371" t="s">
        <v>164</v>
      </c>
    </row>
    <row r="2053" spans="1:8" s="673" customFormat="1">
      <c r="A2053" s="309">
        <v>818</v>
      </c>
      <c r="B2053" s="687" t="s">
        <v>1271</v>
      </c>
      <c r="C2053" s="706" t="s">
        <v>5117</v>
      </c>
      <c r="D2053" s="418" t="str">
        <f t="shared" si="31"/>
        <v>UBND Xã Tân Vĩnh Lộc</v>
      </c>
      <c r="E2053" s="505" t="s">
        <v>1272</v>
      </c>
      <c r="F2053" s="505" t="s">
        <v>407</v>
      </c>
      <c r="G2053" s="415">
        <v>500</v>
      </c>
      <c r="H2053" s="371" t="s">
        <v>164</v>
      </c>
    </row>
    <row r="2054" spans="1:8" s="673" customFormat="1">
      <c r="A2054" s="309">
        <v>819</v>
      </c>
      <c r="B2054" s="687" t="s">
        <v>1273</v>
      </c>
      <c r="C2054" s="706" t="s">
        <v>5117</v>
      </c>
      <c r="D2054" s="418" t="str">
        <f t="shared" si="31"/>
        <v>UBND Xã Tân Vĩnh Lộc</v>
      </c>
      <c r="E2054" s="505" t="s">
        <v>1272</v>
      </c>
      <c r="F2054" s="505" t="s">
        <v>407</v>
      </c>
      <c r="G2054" s="415">
        <v>500</v>
      </c>
      <c r="H2054" s="371" t="s">
        <v>164</v>
      </c>
    </row>
    <row r="2055" spans="1:8" s="673" customFormat="1">
      <c r="A2055" s="309">
        <v>820</v>
      </c>
      <c r="B2055" s="687" t="s">
        <v>1274</v>
      </c>
      <c r="C2055" s="706" t="s">
        <v>5117</v>
      </c>
      <c r="D2055" s="418" t="str">
        <f t="shared" si="31"/>
        <v>UBND Xã Tân Vĩnh Lộc</v>
      </c>
      <c r="E2055" s="505" t="s">
        <v>1272</v>
      </c>
      <c r="F2055" s="505" t="s">
        <v>407</v>
      </c>
      <c r="G2055" s="415">
        <v>500</v>
      </c>
      <c r="H2055" s="371" t="s">
        <v>164</v>
      </c>
    </row>
    <row r="2056" spans="1:8" s="673" customFormat="1">
      <c r="A2056" s="309">
        <v>821</v>
      </c>
      <c r="B2056" s="687" t="s">
        <v>1275</v>
      </c>
      <c r="C2056" s="706" t="s">
        <v>5117</v>
      </c>
      <c r="D2056" s="418" t="str">
        <f t="shared" si="31"/>
        <v>UBND Xã Tân Vĩnh Lộc</v>
      </c>
      <c r="E2056" s="505" t="s">
        <v>1272</v>
      </c>
      <c r="F2056" s="505" t="s">
        <v>407</v>
      </c>
      <c r="G2056" s="415">
        <v>500</v>
      </c>
      <c r="H2056" s="371" t="s">
        <v>164</v>
      </c>
    </row>
    <row r="2057" spans="1:8" s="673" customFormat="1">
      <c r="A2057" s="309">
        <v>822</v>
      </c>
      <c r="B2057" s="687" t="s">
        <v>1276</v>
      </c>
      <c r="C2057" s="706" t="s">
        <v>5117</v>
      </c>
      <c r="D2057" s="418" t="str">
        <f t="shared" si="31"/>
        <v>UBND Xã Tân Vĩnh Lộc</v>
      </c>
      <c r="E2057" s="505" t="s">
        <v>1272</v>
      </c>
      <c r="F2057" s="505" t="s">
        <v>407</v>
      </c>
      <c r="G2057" s="415">
        <v>500</v>
      </c>
      <c r="H2057" s="371" t="s">
        <v>164</v>
      </c>
    </row>
    <row r="2058" spans="1:8" s="673" customFormat="1">
      <c r="A2058" s="309">
        <v>823</v>
      </c>
      <c r="B2058" s="687" t="s">
        <v>1277</v>
      </c>
      <c r="C2058" s="706" t="s">
        <v>5117</v>
      </c>
      <c r="D2058" s="418" t="str">
        <f t="shared" si="31"/>
        <v>UBND Xã Tân Vĩnh Lộc</v>
      </c>
      <c r="E2058" s="505" t="s">
        <v>1272</v>
      </c>
      <c r="F2058" s="505" t="s">
        <v>407</v>
      </c>
      <c r="G2058" s="415">
        <v>500</v>
      </c>
      <c r="H2058" s="371" t="s">
        <v>164</v>
      </c>
    </row>
    <row r="2059" spans="1:8" s="673" customFormat="1">
      <c r="A2059" s="309">
        <v>824</v>
      </c>
      <c r="B2059" s="687" t="s">
        <v>1279</v>
      </c>
      <c r="C2059" s="706" t="s">
        <v>5117</v>
      </c>
      <c r="D2059" s="418" t="str">
        <f t="shared" si="31"/>
        <v>UBND Xã Tân Vĩnh Lộc</v>
      </c>
      <c r="E2059" s="505" t="s">
        <v>1272</v>
      </c>
      <c r="F2059" s="505" t="s">
        <v>407</v>
      </c>
      <c r="G2059" s="415">
        <v>500</v>
      </c>
      <c r="H2059" s="371" t="s">
        <v>164</v>
      </c>
    </row>
    <row r="2060" spans="1:8" s="673" customFormat="1">
      <c r="A2060" s="309">
        <v>825</v>
      </c>
      <c r="B2060" s="687" t="s">
        <v>1281</v>
      </c>
      <c r="C2060" s="706" t="s">
        <v>5117</v>
      </c>
      <c r="D2060" s="418" t="str">
        <f t="shared" si="31"/>
        <v>UBND Xã Tân Vĩnh Lộc</v>
      </c>
      <c r="E2060" s="505" t="s">
        <v>1272</v>
      </c>
      <c r="F2060" s="505" t="s">
        <v>407</v>
      </c>
      <c r="G2060" s="415">
        <v>500</v>
      </c>
      <c r="H2060" s="371" t="s">
        <v>164</v>
      </c>
    </row>
    <row r="2061" spans="1:8" s="673" customFormat="1">
      <c r="A2061" s="309">
        <v>826</v>
      </c>
      <c r="B2061" s="687" t="s">
        <v>1283</v>
      </c>
      <c r="C2061" s="706" t="s">
        <v>5117</v>
      </c>
      <c r="D2061" s="418" t="str">
        <f t="shared" si="31"/>
        <v>UBND Xã Tân Vĩnh Lộc</v>
      </c>
      <c r="E2061" s="505" t="s">
        <v>1272</v>
      </c>
      <c r="F2061" s="505" t="s">
        <v>407</v>
      </c>
      <c r="G2061" s="415">
        <v>500</v>
      </c>
      <c r="H2061" s="371" t="s">
        <v>164</v>
      </c>
    </row>
    <row r="2062" spans="1:8" s="673" customFormat="1">
      <c r="A2062" s="309">
        <v>827</v>
      </c>
      <c r="B2062" s="687" t="s">
        <v>1285</v>
      </c>
      <c r="C2062" s="706" t="s">
        <v>5117</v>
      </c>
      <c r="D2062" s="418" t="str">
        <f t="shared" si="31"/>
        <v>UBND Xã Tân Vĩnh Lộc</v>
      </c>
      <c r="E2062" s="505" t="s">
        <v>1272</v>
      </c>
      <c r="F2062" s="505" t="s">
        <v>407</v>
      </c>
      <c r="G2062" s="415">
        <v>500</v>
      </c>
      <c r="H2062" s="371" t="s">
        <v>164</v>
      </c>
    </row>
    <row r="2063" spans="1:8" s="673" customFormat="1">
      <c r="A2063" s="309">
        <v>828</v>
      </c>
      <c r="B2063" s="687" t="s">
        <v>1287</v>
      </c>
      <c r="C2063" s="706" t="s">
        <v>5117</v>
      </c>
      <c r="D2063" s="418" t="str">
        <f t="shared" si="31"/>
        <v>UBND Xã Tân Vĩnh Lộc</v>
      </c>
      <c r="E2063" s="505" t="s">
        <v>1272</v>
      </c>
      <c r="F2063" s="505" t="s">
        <v>407</v>
      </c>
      <c r="G2063" s="415">
        <v>500</v>
      </c>
      <c r="H2063" s="371" t="s">
        <v>164</v>
      </c>
    </row>
    <row r="2064" spans="1:8" s="673" customFormat="1">
      <c r="A2064" s="309">
        <v>829</v>
      </c>
      <c r="B2064" s="687" t="s">
        <v>1288</v>
      </c>
      <c r="C2064" s="706" t="s">
        <v>5117</v>
      </c>
      <c r="D2064" s="418" t="str">
        <f t="shared" si="31"/>
        <v>UBND Xã Tân Vĩnh Lộc</v>
      </c>
      <c r="E2064" s="505" t="s">
        <v>1289</v>
      </c>
      <c r="F2064" s="505" t="s">
        <v>407</v>
      </c>
      <c r="G2064" s="415">
        <v>500</v>
      </c>
      <c r="H2064" s="371" t="s">
        <v>164</v>
      </c>
    </row>
    <row r="2065" spans="1:8" s="673" customFormat="1">
      <c r="A2065" s="309">
        <v>830</v>
      </c>
      <c r="B2065" s="687" t="s">
        <v>1290</v>
      </c>
      <c r="C2065" s="706" t="s">
        <v>5117</v>
      </c>
      <c r="D2065" s="418" t="str">
        <f t="shared" si="31"/>
        <v>UBND Xã Tân Vĩnh Lộc</v>
      </c>
      <c r="E2065" s="505" t="s">
        <v>1289</v>
      </c>
      <c r="F2065" s="505" t="s">
        <v>407</v>
      </c>
      <c r="G2065" s="415">
        <v>500</v>
      </c>
      <c r="H2065" s="371" t="s">
        <v>164</v>
      </c>
    </row>
    <row r="2066" spans="1:8" s="673" customFormat="1">
      <c r="A2066" s="309">
        <v>831</v>
      </c>
      <c r="B2066" s="687" t="s">
        <v>1291</v>
      </c>
      <c r="C2066" s="706" t="s">
        <v>5117</v>
      </c>
      <c r="D2066" s="418" t="str">
        <f t="shared" si="31"/>
        <v>UBND Xã Tân Vĩnh Lộc</v>
      </c>
      <c r="E2066" s="505" t="s">
        <v>1289</v>
      </c>
      <c r="F2066" s="505" t="s">
        <v>407</v>
      </c>
      <c r="G2066" s="415">
        <v>500</v>
      </c>
      <c r="H2066" s="371" t="s">
        <v>164</v>
      </c>
    </row>
    <row r="2067" spans="1:8" s="673" customFormat="1">
      <c r="A2067" s="309">
        <v>832</v>
      </c>
      <c r="B2067" s="687" t="s">
        <v>1292</v>
      </c>
      <c r="C2067" s="706" t="s">
        <v>5117</v>
      </c>
      <c r="D2067" s="418" t="str">
        <f t="shared" si="31"/>
        <v>UBND Xã Tân Vĩnh Lộc</v>
      </c>
      <c r="E2067" s="505" t="s">
        <v>1289</v>
      </c>
      <c r="F2067" s="505" t="s">
        <v>407</v>
      </c>
      <c r="G2067" s="415">
        <v>500</v>
      </c>
      <c r="H2067" s="371" t="s">
        <v>164</v>
      </c>
    </row>
    <row r="2068" spans="1:8" s="673" customFormat="1">
      <c r="A2068" s="309">
        <v>833</v>
      </c>
      <c r="B2068" s="687" t="s">
        <v>1293</v>
      </c>
      <c r="C2068" s="706" t="s">
        <v>5117</v>
      </c>
      <c r="D2068" s="418" t="str">
        <f t="shared" si="31"/>
        <v>UBND Xã Tân Vĩnh Lộc</v>
      </c>
      <c r="E2068" s="505" t="s">
        <v>1289</v>
      </c>
      <c r="F2068" s="505" t="s">
        <v>407</v>
      </c>
      <c r="G2068" s="415">
        <v>500</v>
      </c>
      <c r="H2068" s="371" t="s">
        <v>164</v>
      </c>
    </row>
    <row r="2069" spans="1:8" s="673" customFormat="1">
      <c r="A2069" s="309">
        <v>834</v>
      </c>
      <c r="B2069" s="687" t="s">
        <v>1294</v>
      </c>
      <c r="C2069" s="706" t="s">
        <v>5117</v>
      </c>
      <c r="D2069" s="418" t="str">
        <f t="shared" si="31"/>
        <v>UBND Xã Tân Vĩnh Lộc</v>
      </c>
      <c r="E2069" s="505" t="s">
        <v>1289</v>
      </c>
      <c r="F2069" s="505" t="s">
        <v>407</v>
      </c>
      <c r="G2069" s="415">
        <v>500</v>
      </c>
      <c r="H2069" s="371" t="s">
        <v>164</v>
      </c>
    </row>
    <row r="2070" spans="1:8" s="673" customFormat="1">
      <c r="A2070" s="309">
        <v>835</v>
      </c>
      <c r="B2070" s="687" t="s">
        <v>1307</v>
      </c>
      <c r="C2070" s="706" t="s">
        <v>5117</v>
      </c>
      <c r="D2070" s="418" t="str">
        <f t="shared" si="31"/>
        <v>UBND Xã Tân Vĩnh Lộc</v>
      </c>
      <c r="E2070" s="505" t="s">
        <v>1306</v>
      </c>
      <c r="F2070" s="505" t="s">
        <v>407</v>
      </c>
      <c r="G2070" s="415">
        <v>500</v>
      </c>
      <c r="H2070" s="371" t="s">
        <v>164</v>
      </c>
    </row>
    <row r="2071" spans="1:8" s="673" customFormat="1">
      <c r="A2071" s="309">
        <v>836</v>
      </c>
      <c r="B2071" s="687" t="s">
        <v>1309</v>
      </c>
      <c r="C2071" s="706" t="s">
        <v>5117</v>
      </c>
      <c r="D2071" s="418" t="str">
        <f t="shared" si="31"/>
        <v>UBND Xã Tân Vĩnh Lộc</v>
      </c>
      <c r="E2071" s="505" t="s">
        <v>1306</v>
      </c>
      <c r="F2071" s="505" t="s">
        <v>407</v>
      </c>
      <c r="G2071" s="415">
        <v>500</v>
      </c>
      <c r="H2071" s="371" t="s">
        <v>164</v>
      </c>
    </row>
    <row r="2072" spans="1:8" s="673" customFormat="1">
      <c r="A2072" s="309">
        <v>837</v>
      </c>
      <c r="B2072" s="687" t="s">
        <v>1311</v>
      </c>
      <c r="C2072" s="706" t="s">
        <v>5117</v>
      </c>
      <c r="D2072" s="418" t="str">
        <f t="shared" si="31"/>
        <v>UBND Xã Tân Vĩnh Lộc</v>
      </c>
      <c r="E2072" s="505" t="s">
        <v>1306</v>
      </c>
      <c r="F2072" s="505" t="s">
        <v>407</v>
      </c>
      <c r="G2072" s="415">
        <v>500</v>
      </c>
      <c r="H2072" s="371" t="s">
        <v>164</v>
      </c>
    </row>
    <row r="2073" spans="1:8" s="673" customFormat="1">
      <c r="A2073" s="309">
        <v>838</v>
      </c>
      <c r="B2073" s="687" t="s">
        <v>1398</v>
      </c>
      <c r="C2073" s="706" t="s">
        <v>5117</v>
      </c>
      <c r="D2073" s="418" t="str">
        <f t="shared" si="31"/>
        <v>UBND Xã Tân Vĩnh Lộc</v>
      </c>
      <c r="E2073" s="505" t="s">
        <v>1399</v>
      </c>
      <c r="F2073" s="505" t="s">
        <v>407</v>
      </c>
      <c r="G2073" s="415">
        <v>200</v>
      </c>
      <c r="H2073" s="371" t="s">
        <v>164</v>
      </c>
    </row>
    <row r="2074" spans="1:8" s="673" customFormat="1">
      <c r="A2074" s="309">
        <v>839</v>
      </c>
      <c r="B2074" s="687" t="s">
        <v>1400</v>
      </c>
      <c r="C2074" s="706" t="s">
        <v>5117</v>
      </c>
      <c r="D2074" s="418" t="str">
        <f t="shared" si="31"/>
        <v>UBND Xã Tân Vĩnh Lộc</v>
      </c>
      <c r="E2074" s="505" t="s">
        <v>1399</v>
      </c>
      <c r="F2074" s="505" t="s">
        <v>407</v>
      </c>
      <c r="G2074" s="415">
        <v>400</v>
      </c>
      <c r="H2074" s="371" t="s">
        <v>164</v>
      </c>
    </row>
    <row r="2075" spans="1:8" s="673" customFormat="1">
      <c r="A2075" s="309">
        <v>840</v>
      </c>
      <c r="B2075" s="687" t="s">
        <v>1401</v>
      </c>
      <c r="C2075" s="706" t="s">
        <v>5117</v>
      </c>
      <c r="D2075" s="418" t="str">
        <f t="shared" si="31"/>
        <v>UBND Xã Tân Vĩnh Lộc</v>
      </c>
      <c r="E2075" s="505" t="s">
        <v>1399</v>
      </c>
      <c r="F2075" s="505" t="s">
        <v>407</v>
      </c>
      <c r="G2075" s="415">
        <v>200</v>
      </c>
      <c r="H2075" s="371" t="s">
        <v>164</v>
      </c>
    </row>
    <row r="2076" spans="1:8" s="673" customFormat="1">
      <c r="A2076" s="309">
        <v>841</v>
      </c>
      <c r="B2076" s="687" t="s">
        <v>1402</v>
      </c>
      <c r="C2076" s="706" t="s">
        <v>5117</v>
      </c>
      <c r="D2076" s="418" t="str">
        <f t="shared" si="31"/>
        <v>UBND Xã Tân Vĩnh Lộc</v>
      </c>
      <c r="E2076" s="505" t="s">
        <v>1399</v>
      </c>
      <c r="F2076" s="505" t="s">
        <v>407</v>
      </c>
      <c r="G2076" s="415">
        <v>400</v>
      </c>
      <c r="H2076" s="371" t="s">
        <v>164</v>
      </c>
    </row>
    <row r="2077" spans="1:8" s="673" customFormat="1">
      <c r="A2077" s="309">
        <v>842</v>
      </c>
      <c r="B2077" s="687" t="s">
        <v>1403</v>
      </c>
      <c r="C2077" s="706" t="s">
        <v>5117</v>
      </c>
      <c r="D2077" s="418" t="str">
        <f t="shared" si="31"/>
        <v>UBND Xã Tân Vĩnh Lộc</v>
      </c>
      <c r="E2077" s="505" t="s">
        <v>1399</v>
      </c>
      <c r="F2077" s="505" t="s">
        <v>407</v>
      </c>
      <c r="G2077" s="415">
        <v>200</v>
      </c>
      <c r="H2077" s="371" t="s">
        <v>164</v>
      </c>
    </row>
    <row r="2078" spans="1:8" s="673" customFormat="1">
      <c r="A2078" s="309">
        <v>843</v>
      </c>
      <c r="B2078" s="687" t="s">
        <v>1404</v>
      </c>
      <c r="C2078" s="706" t="s">
        <v>5117</v>
      </c>
      <c r="D2078" s="418" t="str">
        <f t="shared" si="31"/>
        <v>UBND Xã Tân Vĩnh Lộc</v>
      </c>
      <c r="E2078" s="505" t="s">
        <v>240</v>
      </c>
      <c r="F2078" s="505" t="s">
        <v>407</v>
      </c>
      <c r="G2078" s="415">
        <v>230</v>
      </c>
      <c r="H2078" s="371" t="s">
        <v>164</v>
      </c>
    </row>
    <row r="2079" spans="1:8" s="673" customFormat="1">
      <c r="A2079" s="309">
        <v>844</v>
      </c>
      <c r="B2079" s="687" t="s">
        <v>1405</v>
      </c>
      <c r="C2079" s="706" t="s">
        <v>5117</v>
      </c>
      <c r="D2079" s="418" t="str">
        <f t="shared" si="31"/>
        <v>UBND Xã Tân Vĩnh Lộc</v>
      </c>
      <c r="E2079" s="505" t="s">
        <v>240</v>
      </c>
      <c r="F2079" s="505" t="s">
        <v>407</v>
      </c>
      <c r="G2079" s="415">
        <v>200</v>
      </c>
      <c r="H2079" s="371" t="s">
        <v>164</v>
      </c>
    </row>
    <row r="2080" spans="1:8" s="673" customFormat="1">
      <c r="A2080" s="309">
        <v>845</v>
      </c>
      <c r="B2080" s="687" t="s">
        <v>1406</v>
      </c>
      <c r="C2080" s="706" t="s">
        <v>5117</v>
      </c>
      <c r="D2080" s="418" t="str">
        <f t="shared" si="31"/>
        <v>UBND Xã Tân Vĩnh Lộc</v>
      </c>
      <c r="E2080" s="505" t="s">
        <v>240</v>
      </c>
      <c r="F2080" s="505" t="s">
        <v>407</v>
      </c>
      <c r="G2080" s="415">
        <v>250</v>
      </c>
      <c r="H2080" s="371" t="s">
        <v>164</v>
      </c>
    </row>
    <row r="2081" spans="1:8" s="673" customFormat="1">
      <c r="A2081" s="309">
        <v>846</v>
      </c>
      <c r="B2081" s="687" t="s">
        <v>1407</v>
      </c>
      <c r="C2081" s="706" t="s">
        <v>5117</v>
      </c>
      <c r="D2081" s="418" t="str">
        <f t="shared" si="31"/>
        <v>UBND Xã Tân Vĩnh Lộc</v>
      </c>
      <c r="E2081" s="505" t="s">
        <v>240</v>
      </c>
      <c r="F2081" s="505" t="s">
        <v>407</v>
      </c>
      <c r="G2081" s="415">
        <v>200</v>
      </c>
      <c r="H2081" s="371" t="s">
        <v>164</v>
      </c>
    </row>
    <row r="2082" spans="1:8" s="673" customFormat="1">
      <c r="A2082" s="309">
        <v>847</v>
      </c>
      <c r="B2082" s="687" t="s">
        <v>1408</v>
      </c>
      <c r="C2082" s="706" t="s">
        <v>5117</v>
      </c>
      <c r="D2082" s="418" t="str">
        <f t="shared" si="31"/>
        <v>UBND Xã Tân Vĩnh Lộc</v>
      </c>
      <c r="E2082" s="505" t="s">
        <v>240</v>
      </c>
      <c r="F2082" s="505" t="s">
        <v>407</v>
      </c>
      <c r="G2082" s="415">
        <v>300</v>
      </c>
      <c r="H2082" s="371" t="s">
        <v>164</v>
      </c>
    </row>
    <row r="2083" spans="1:8" s="673" customFormat="1">
      <c r="A2083" s="309">
        <v>848</v>
      </c>
      <c r="B2083" s="687" t="s">
        <v>1409</v>
      </c>
      <c r="C2083" s="706" t="s">
        <v>5117</v>
      </c>
      <c r="D2083" s="418" t="str">
        <f t="shared" si="31"/>
        <v>UBND Xã Tân Vĩnh Lộc</v>
      </c>
      <c r="E2083" s="505" t="s">
        <v>240</v>
      </c>
      <c r="F2083" s="505" t="s">
        <v>407</v>
      </c>
      <c r="G2083" s="415">
        <v>200</v>
      </c>
      <c r="H2083" s="371" t="s">
        <v>164</v>
      </c>
    </row>
    <row r="2084" spans="1:8" s="673" customFormat="1">
      <c r="A2084" s="309">
        <v>849</v>
      </c>
      <c r="B2084" s="687" t="s">
        <v>1410</v>
      </c>
      <c r="C2084" s="706" t="s">
        <v>5117</v>
      </c>
      <c r="D2084" s="418" t="str">
        <f t="shared" si="31"/>
        <v>UBND Xã Tân Vĩnh Lộc</v>
      </c>
      <c r="E2084" s="505" t="s">
        <v>1411</v>
      </c>
      <c r="F2084" s="505" t="s">
        <v>407</v>
      </c>
      <c r="G2084" s="415">
        <v>150</v>
      </c>
      <c r="H2084" s="371" t="s">
        <v>164</v>
      </c>
    </row>
    <row r="2085" spans="1:8" s="673" customFormat="1">
      <c r="A2085" s="309">
        <v>850</v>
      </c>
      <c r="B2085" s="687" t="s">
        <v>1412</v>
      </c>
      <c r="C2085" s="706" t="s">
        <v>5117</v>
      </c>
      <c r="D2085" s="418" t="str">
        <f t="shared" si="31"/>
        <v>UBND Xã Tân Vĩnh Lộc</v>
      </c>
      <c r="E2085" s="505" t="s">
        <v>1411</v>
      </c>
      <c r="F2085" s="505" t="s">
        <v>407</v>
      </c>
      <c r="G2085" s="415">
        <v>250</v>
      </c>
      <c r="H2085" s="371" t="s">
        <v>164</v>
      </c>
    </row>
    <row r="2086" spans="1:8" s="673" customFormat="1">
      <c r="A2086" s="309">
        <v>851</v>
      </c>
      <c r="B2086" s="687" t="s">
        <v>1413</v>
      </c>
      <c r="C2086" s="706" t="s">
        <v>5117</v>
      </c>
      <c r="D2086" s="418" t="str">
        <f t="shared" si="31"/>
        <v>UBND Xã Tân Vĩnh Lộc</v>
      </c>
      <c r="E2086" s="505" t="s">
        <v>1411</v>
      </c>
      <c r="F2086" s="505" t="s">
        <v>407</v>
      </c>
      <c r="G2086" s="415">
        <v>250</v>
      </c>
      <c r="H2086" s="371" t="s">
        <v>164</v>
      </c>
    </row>
    <row r="2087" spans="1:8" s="673" customFormat="1">
      <c r="A2087" s="309">
        <v>852</v>
      </c>
      <c r="B2087" s="687" t="s">
        <v>1414</v>
      </c>
      <c r="C2087" s="706" t="s">
        <v>5117</v>
      </c>
      <c r="D2087" s="418" t="str">
        <f t="shared" si="31"/>
        <v>UBND Xã Tân Vĩnh Lộc</v>
      </c>
      <c r="E2087" s="505" t="s">
        <v>1411</v>
      </c>
      <c r="F2087" s="505" t="s">
        <v>407</v>
      </c>
      <c r="G2087" s="415">
        <v>300</v>
      </c>
      <c r="H2087" s="371" t="s">
        <v>164</v>
      </c>
    </row>
    <row r="2088" spans="1:8" s="673" customFormat="1">
      <c r="A2088" s="309">
        <v>853</v>
      </c>
      <c r="B2088" s="686" t="s">
        <v>43</v>
      </c>
      <c r="C2088" s="706" t="s">
        <v>5117</v>
      </c>
      <c r="D2088" s="418" t="str">
        <f t="shared" si="31"/>
        <v>UBND Xã Tân Vĩnh Lộc</v>
      </c>
      <c r="E2088" s="505" t="s">
        <v>2725</v>
      </c>
      <c r="F2088" s="505" t="s">
        <v>407</v>
      </c>
      <c r="G2088" s="415">
        <v>1600</v>
      </c>
      <c r="H2088" s="370"/>
    </row>
    <row r="2089" spans="1:8" s="673" customFormat="1">
      <c r="A2089" s="309">
        <v>854</v>
      </c>
      <c r="B2089" s="278" t="s">
        <v>2812</v>
      </c>
      <c r="C2089" s="706" t="s">
        <v>5127</v>
      </c>
      <c r="D2089" s="418" t="str">
        <f t="shared" si="31"/>
        <v>UBND Xã Thái Mỹ</v>
      </c>
      <c r="E2089" s="505" t="s">
        <v>2813</v>
      </c>
      <c r="F2089" s="505" t="s">
        <v>1111</v>
      </c>
      <c r="G2089" s="711">
        <v>1020</v>
      </c>
      <c r="H2089" s="370"/>
    </row>
    <row r="2090" spans="1:8" s="673" customFormat="1">
      <c r="A2090" s="309">
        <v>855</v>
      </c>
      <c r="B2090" s="277" t="s">
        <v>2814</v>
      </c>
      <c r="C2090" s="706" t="s">
        <v>5127</v>
      </c>
      <c r="D2090" s="418" t="str">
        <f t="shared" si="31"/>
        <v>UBND Xã Thái Mỹ</v>
      </c>
      <c r="E2090" s="505" t="s">
        <v>2815</v>
      </c>
      <c r="F2090" s="505" t="s">
        <v>2816</v>
      </c>
      <c r="G2090" s="415">
        <v>1000</v>
      </c>
      <c r="H2090" s="370"/>
    </row>
    <row r="2091" spans="1:8" s="673" customFormat="1" ht="33">
      <c r="A2091" s="309">
        <v>856</v>
      </c>
      <c r="B2091" s="277" t="s">
        <v>2817</v>
      </c>
      <c r="C2091" s="706" t="s">
        <v>5127</v>
      </c>
      <c r="D2091" s="418" t="str">
        <f t="shared" si="31"/>
        <v>UBND Xã Thái Mỹ</v>
      </c>
      <c r="E2091" s="505" t="s">
        <v>2818</v>
      </c>
      <c r="F2091" s="505" t="s">
        <v>2818</v>
      </c>
      <c r="G2091" s="415">
        <v>900</v>
      </c>
      <c r="H2091" s="370"/>
    </row>
    <row r="2092" spans="1:8" s="673" customFormat="1">
      <c r="A2092" s="309">
        <v>857</v>
      </c>
      <c r="B2092" s="277" t="s">
        <v>761</v>
      </c>
      <c r="C2092" s="706" t="s">
        <v>5123</v>
      </c>
      <c r="D2092" s="418" t="str">
        <f t="shared" si="31"/>
        <v>UBND Xã Thạnh An</v>
      </c>
      <c r="E2092" s="505" t="s">
        <v>757</v>
      </c>
      <c r="F2092" s="505" t="s">
        <v>407</v>
      </c>
      <c r="G2092" s="415">
        <v>2254</v>
      </c>
      <c r="H2092" s="370"/>
    </row>
    <row r="2093" spans="1:8" s="673" customFormat="1">
      <c r="A2093" s="309">
        <v>858</v>
      </c>
      <c r="B2093" s="277" t="s">
        <v>767</v>
      </c>
      <c r="C2093" s="706" t="s">
        <v>5123</v>
      </c>
      <c r="D2093" s="418" t="str">
        <f t="shared" si="31"/>
        <v>UBND Xã Thạnh An</v>
      </c>
      <c r="E2093" s="505" t="s">
        <v>766</v>
      </c>
      <c r="F2093" s="505" t="s">
        <v>732</v>
      </c>
      <c r="G2093" s="415">
        <v>1860</v>
      </c>
      <c r="H2093" s="370"/>
    </row>
    <row r="2094" spans="1:8" s="673" customFormat="1">
      <c r="A2094" s="309">
        <v>859</v>
      </c>
      <c r="B2094" s="277" t="s">
        <v>765</v>
      </c>
      <c r="C2094" s="706" t="s">
        <v>5123</v>
      </c>
      <c r="D2094" s="418" t="str">
        <f t="shared" si="31"/>
        <v>UBND Xã Thạnh An</v>
      </c>
      <c r="E2094" s="505" t="s">
        <v>754</v>
      </c>
      <c r="F2094" s="505" t="s">
        <v>407</v>
      </c>
      <c r="G2094" s="415">
        <v>1170</v>
      </c>
      <c r="H2094" s="370"/>
    </row>
    <row r="2095" spans="1:8" s="673" customFormat="1">
      <c r="A2095" s="309">
        <v>860</v>
      </c>
      <c r="B2095" s="277" t="s">
        <v>764</v>
      </c>
      <c r="C2095" s="706" t="s">
        <v>5123</v>
      </c>
      <c r="D2095" s="418" t="str">
        <f t="shared" ref="D2095:D2158" si="32">"UBND "&amp;C2095</f>
        <v>UBND Xã Thạnh An</v>
      </c>
      <c r="E2095" s="505" t="s">
        <v>738</v>
      </c>
      <c r="F2095" s="505" t="s">
        <v>2806</v>
      </c>
      <c r="G2095" s="415">
        <v>930</v>
      </c>
      <c r="H2095" s="370"/>
    </row>
    <row r="2096" spans="1:8" s="673" customFormat="1">
      <c r="A2096" s="309">
        <v>861</v>
      </c>
      <c r="B2096" s="277" t="s">
        <v>762</v>
      </c>
      <c r="C2096" s="706" t="s">
        <v>5123</v>
      </c>
      <c r="D2096" s="418" t="str">
        <f t="shared" si="32"/>
        <v>UBND Xã Thạnh An</v>
      </c>
      <c r="E2096" s="505" t="s">
        <v>746</v>
      </c>
      <c r="F2096" s="505" t="s">
        <v>3154</v>
      </c>
      <c r="G2096" s="415">
        <v>1940</v>
      </c>
      <c r="H2096" s="370"/>
    </row>
    <row r="2097" spans="1:8" s="673" customFormat="1">
      <c r="A2097" s="309">
        <v>862</v>
      </c>
      <c r="B2097" s="277" t="s">
        <v>3155</v>
      </c>
      <c r="C2097" s="706" t="s">
        <v>5123</v>
      </c>
      <c r="D2097" s="418" t="str">
        <f t="shared" si="32"/>
        <v>UBND Xã Thạnh An</v>
      </c>
      <c r="E2097" s="505" t="s">
        <v>738</v>
      </c>
      <c r="F2097" s="505" t="s">
        <v>761</v>
      </c>
      <c r="G2097" s="415">
        <v>150</v>
      </c>
      <c r="H2097" s="370"/>
    </row>
    <row r="2098" spans="1:8" s="673" customFormat="1">
      <c r="A2098" s="309">
        <v>863</v>
      </c>
      <c r="B2098" s="277" t="s">
        <v>756</v>
      </c>
      <c r="C2098" s="706" t="s">
        <v>5123</v>
      </c>
      <c r="D2098" s="418" t="str">
        <f t="shared" si="32"/>
        <v>UBND Xã Thạnh An</v>
      </c>
      <c r="E2098" s="505" t="s">
        <v>732</v>
      </c>
      <c r="F2098" s="505" t="s">
        <v>407</v>
      </c>
      <c r="G2098" s="415">
        <v>890</v>
      </c>
      <c r="H2098" s="370"/>
    </row>
    <row r="2099" spans="1:8" s="673" customFormat="1">
      <c r="A2099" s="309">
        <v>864</v>
      </c>
      <c r="B2099" s="277" t="s">
        <v>755</v>
      </c>
      <c r="C2099" s="706" t="s">
        <v>5123</v>
      </c>
      <c r="D2099" s="418" t="str">
        <f t="shared" si="32"/>
        <v>UBND Xã Thạnh An</v>
      </c>
      <c r="E2099" s="505" t="s">
        <v>754</v>
      </c>
      <c r="F2099" s="505" t="s">
        <v>757</v>
      </c>
      <c r="G2099" s="415">
        <v>1580</v>
      </c>
      <c r="H2099" s="370"/>
    </row>
    <row r="2100" spans="1:8" s="673" customFormat="1">
      <c r="A2100" s="309">
        <v>865</v>
      </c>
      <c r="B2100" s="277" t="s">
        <v>752</v>
      </c>
      <c r="C2100" s="706" t="s">
        <v>5123</v>
      </c>
      <c r="D2100" s="418" t="str">
        <f t="shared" si="32"/>
        <v>UBND Xã Thạnh An</v>
      </c>
      <c r="E2100" s="505" t="s">
        <v>751</v>
      </c>
      <c r="F2100" s="505" t="s">
        <v>407</v>
      </c>
      <c r="G2100" s="415">
        <v>2560</v>
      </c>
      <c r="H2100" s="370"/>
    </row>
    <row r="2101" spans="1:8" s="673" customFormat="1">
      <c r="A2101" s="309">
        <v>866</v>
      </c>
      <c r="B2101" s="277" t="s">
        <v>749</v>
      </c>
      <c r="C2101" s="706" t="s">
        <v>5123</v>
      </c>
      <c r="D2101" s="418" t="str">
        <f t="shared" si="32"/>
        <v>UBND Xã Thạnh An</v>
      </c>
      <c r="E2101" s="505" t="s">
        <v>748</v>
      </c>
      <c r="F2101" s="505" t="s">
        <v>407</v>
      </c>
      <c r="G2101" s="415">
        <v>1540</v>
      </c>
      <c r="H2101" s="370"/>
    </row>
    <row r="2102" spans="1:8" s="673" customFormat="1">
      <c r="A2102" s="309">
        <v>867</v>
      </c>
      <c r="B2102" s="277" t="s">
        <v>747</v>
      </c>
      <c r="C2102" s="706" t="s">
        <v>5123</v>
      </c>
      <c r="D2102" s="418" t="str">
        <f t="shared" si="32"/>
        <v>UBND Xã Thạnh An</v>
      </c>
      <c r="E2102" s="505" t="s">
        <v>732</v>
      </c>
      <c r="F2102" s="505" t="s">
        <v>746</v>
      </c>
      <c r="G2102" s="415">
        <v>1330</v>
      </c>
      <c r="H2102" s="370"/>
    </row>
    <row r="2103" spans="1:8" s="673" customFormat="1">
      <c r="A2103" s="309">
        <v>868</v>
      </c>
      <c r="B2103" s="277" t="s">
        <v>3156</v>
      </c>
      <c r="C2103" s="706" t="s">
        <v>5123</v>
      </c>
      <c r="D2103" s="418" t="str">
        <f t="shared" si="32"/>
        <v>UBND Xã Thạnh An</v>
      </c>
      <c r="E2103" s="505" t="s">
        <v>743</v>
      </c>
      <c r="F2103" s="505" t="s">
        <v>3154</v>
      </c>
      <c r="G2103" s="415">
        <v>1210</v>
      </c>
      <c r="H2103" s="370"/>
    </row>
    <row r="2104" spans="1:8" s="673" customFormat="1">
      <c r="A2104" s="309">
        <v>869</v>
      </c>
      <c r="B2104" s="277" t="s">
        <v>744</v>
      </c>
      <c r="C2104" s="706" t="s">
        <v>5123</v>
      </c>
      <c r="D2104" s="418" t="str">
        <f t="shared" si="32"/>
        <v>UBND Xã Thạnh An</v>
      </c>
      <c r="E2104" s="505" t="s">
        <v>743</v>
      </c>
      <c r="F2104" s="505" t="s">
        <v>3157</v>
      </c>
      <c r="G2104" s="415">
        <v>2130</v>
      </c>
      <c r="H2104" s="370"/>
    </row>
    <row r="2105" spans="1:8" s="673" customFormat="1">
      <c r="A2105" s="309">
        <v>870</v>
      </c>
      <c r="B2105" s="277" t="s">
        <v>740</v>
      </c>
      <c r="C2105" s="706" t="s">
        <v>5123</v>
      </c>
      <c r="D2105" s="418" t="str">
        <f t="shared" si="32"/>
        <v>UBND Xã Thạnh An</v>
      </c>
      <c r="E2105" s="505" t="s">
        <v>739</v>
      </c>
      <c r="F2105" s="505" t="s">
        <v>738</v>
      </c>
      <c r="G2105" s="415">
        <v>3300</v>
      </c>
      <c r="H2105" s="370"/>
    </row>
    <row r="2106" spans="1:8" s="673" customFormat="1">
      <c r="A2106" s="309">
        <v>871</v>
      </c>
      <c r="B2106" s="277" t="s">
        <v>737</v>
      </c>
      <c r="C2106" s="706" t="s">
        <v>5123</v>
      </c>
      <c r="D2106" s="418" t="str">
        <f t="shared" si="32"/>
        <v>UBND Xã Thạnh An</v>
      </c>
      <c r="E2106" s="505" t="s">
        <v>736</v>
      </c>
      <c r="F2106" s="505" t="s">
        <v>732</v>
      </c>
      <c r="G2106" s="415">
        <v>3690</v>
      </c>
      <c r="H2106" s="370"/>
    </row>
    <row r="2107" spans="1:8" s="673" customFormat="1">
      <c r="A2107" s="309">
        <v>872</v>
      </c>
      <c r="B2107" s="277" t="s">
        <v>734</v>
      </c>
      <c r="C2107" s="706" t="s">
        <v>5123</v>
      </c>
      <c r="D2107" s="418" t="str">
        <f t="shared" si="32"/>
        <v>UBND Xã Thạnh An</v>
      </c>
      <c r="E2107" s="505" t="s">
        <v>733</v>
      </c>
      <c r="F2107" s="505" t="s">
        <v>732</v>
      </c>
      <c r="G2107" s="415">
        <v>3500</v>
      </c>
      <c r="H2107" s="370"/>
    </row>
    <row r="2108" spans="1:8" s="673" customFormat="1">
      <c r="A2108" s="309">
        <v>873</v>
      </c>
      <c r="B2108" s="277" t="s">
        <v>732</v>
      </c>
      <c r="C2108" s="706" t="s">
        <v>5123</v>
      </c>
      <c r="D2108" s="418" t="str">
        <f t="shared" si="32"/>
        <v>UBND Xã Thạnh An</v>
      </c>
      <c r="E2108" s="505" t="s">
        <v>1132</v>
      </c>
      <c r="F2108" s="505" t="s">
        <v>738</v>
      </c>
      <c r="G2108" s="415">
        <v>9750</v>
      </c>
      <c r="H2108" s="370"/>
    </row>
    <row r="2109" spans="1:8" s="673" customFormat="1">
      <c r="A2109" s="309">
        <v>874</v>
      </c>
      <c r="B2109" s="277" t="s">
        <v>3545</v>
      </c>
      <c r="C2109" s="706" t="s">
        <v>5115</v>
      </c>
      <c r="D2109" s="418" t="str">
        <f t="shared" si="32"/>
        <v>UBND Xã Vĩnh Lộc</v>
      </c>
      <c r="E2109" s="505" t="s">
        <v>3546</v>
      </c>
      <c r="F2109" s="505" t="s">
        <v>1498</v>
      </c>
      <c r="G2109" s="415">
        <v>4650</v>
      </c>
      <c r="H2109" s="370"/>
    </row>
    <row r="2110" spans="1:8" s="673" customFormat="1">
      <c r="A2110" s="309">
        <v>875</v>
      </c>
      <c r="B2110" s="687" t="s">
        <v>1633</v>
      </c>
      <c r="C2110" s="706" t="s">
        <v>5115</v>
      </c>
      <c r="D2110" s="418" t="str">
        <f t="shared" si="32"/>
        <v>UBND Xã Vĩnh Lộc</v>
      </c>
      <c r="E2110" s="505" t="s">
        <v>1634</v>
      </c>
      <c r="F2110" s="505" t="s">
        <v>407</v>
      </c>
      <c r="G2110" s="415">
        <v>500</v>
      </c>
      <c r="H2110" s="371" t="s">
        <v>164</v>
      </c>
    </row>
    <row r="2111" spans="1:8" s="673" customFormat="1">
      <c r="A2111" s="309">
        <v>876</v>
      </c>
      <c r="B2111" s="687" t="s">
        <v>1635</v>
      </c>
      <c r="C2111" s="706" t="s">
        <v>5115</v>
      </c>
      <c r="D2111" s="418" t="str">
        <f t="shared" si="32"/>
        <v>UBND Xã Vĩnh Lộc</v>
      </c>
      <c r="E2111" s="505" t="s">
        <v>1634</v>
      </c>
      <c r="F2111" s="505" t="s">
        <v>407</v>
      </c>
      <c r="G2111" s="415">
        <v>500</v>
      </c>
      <c r="H2111" s="371" t="s">
        <v>164</v>
      </c>
    </row>
    <row r="2112" spans="1:8" s="673" customFormat="1">
      <c r="A2112" s="309">
        <v>877</v>
      </c>
      <c r="B2112" s="687" t="s">
        <v>1636</v>
      </c>
      <c r="C2112" s="706" t="s">
        <v>5115</v>
      </c>
      <c r="D2112" s="418" t="str">
        <f t="shared" si="32"/>
        <v>UBND Xã Vĩnh Lộc</v>
      </c>
      <c r="E2112" s="505" t="s">
        <v>1634</v>
      </c>
      <c r="F2112" s="505" t="s">
        <v>407</v>
      </c>
      <c r="G2112" s="415">
        <v>500</v>
      </c>
      <c r="H2112" s="371" t="s">
        <v>164</v>
      </c>
    </row>
    <row r="2113" spans="1:8" s="673" customFormat="1">
      <c r="A2113" s="309">
        <v>878</v>
      </c>
      <c r="B2113" s="687" t="s">
        <v>1637</v>
      </c>
      <c r="C2113" s="706" t="s">
        <v>5115</v>
      </c>
      <c r="D2113" s="418" t="str">
        <f t="shared" si="32"/>
        <v>UBND Xã Vĩnh Lộc</v>
      </c>
      <c r="E2113" s="505" t="s">
        <v>1634</v>
      </c>
      <c r="F2113" s="505" t="s">
        <v>407</v>
      </c>
      <c r="G2113" s="415">
        <v>500</v>
      </c>
      <c r="H2113" s="371" t="s">
        <v>164</v>
      </c>
    </row>
    <row r="2114" spans="1:8" s="673" customFormat="1">
      <c r="A2114" s="309">
        <v>879</v>
      </c>
      <c r="B2114" s="687" t="s">
        <v>1638</v>
      </c>
      <c r="C2114" s="706" t="s">
        <v>5115</v>
      </c>
      <c r="D2114" s="418" t="str">
        <f t="shared" si="32"/>
        <v>UBND Xã Vĩnh Lộc</v>
      </c>
      <c r="E2114" s="505" t="s">
        <v>1634</v>
      </c>
      <c r="F2114" s="505" t="s">
        <v>407</v>
      </c>
      <c r="G2114" s="415">
        <v>500</v>
      </c>
      <c r="H2114" s="371" t="s">
        <v>164</v>
      </c>
    </row>
    <row r="2115" spans="1:8" s="673" customFormat="1">
      <c r="A2115" s="309">
        <v>880</v>
      </c>
      <c r="B2115" s="687" t="s">
        <v>1639</v>
      </c>
      <c r="C2115" s="706" t="s">
        <v>5115</v>
      </c>
      <c r="D2115" s="418" t="str">
        <f t="shared" si="32"/>
        <v>UBND Xã Vĩnh Lộc</v>
      </c>
      <c r="E2115" s="505" t="s">
        <v>1634</v>
      </c>
      <c r="F2115" s="505" t="s">
        <v>407</v>
      </c>
      <c r="G2115" s="415">
        <v>500</v>
      </c>
      <c r="H2115" s="371" t="s">
        <v>164</v>
      </c>
    </row>
    <row r="2116" spans="1:8" s="673" customFormat="1">
      <c r="A2116" s="309">
        <v>881</v>
      </c>
      <c r="B2116" s="687" t="s">
        <v>1640</v>
      </c>
      <c r="C2116" s="706" t="s">
        <v>5115</v>
      </c>
      <c r="D2116" s="418" t="str">
        <f t="shared" si="32"/>
        <v>UBND Xã Vĩnh Lộc</v>
      </c>
      <c r="E2116" s="505" t="s">
        <v>1634</v>
      </c>
      <c r="F2116" s="505" t="s">
        <v>407</v>
      </c>
      <c r="G2116" s="415">
        <v>500</v>
      </c>
      <c r="H2116" s="371" t="s">
        <v>164</v>
      </c>
    </row>
    <row r="2117" spans="1:8" s="673" customFormat="1">
      <c r="A2117" s="309">
        <v>882</v>
      </c>
      <c r="B2117" s="687" t="s">
        <v>1641</v>
      </c>
      <c r="C2117" s="706" t="s">
        <v>5115</v>
      </c>
      <c r="D2117" s="418" t="str">
        <f t="shared" si="32"/>
        <v>UBND Xã Vĩnh Lộc</v>
      </c>
      <c r="E2117" s="505" t="s">
        <v>1634</v>
      </c>
      <c r="F2117" s="505" t="s">
        <v>407</v>
      </c>
      <c r="G2117" s="415">
        <v>500</v>
      </c>
      <c r="H2117" s="371" t="s">
        <v>164</v>
      </c>
    </row>
    <row r="2118" spans="1:8" s="673" customFormat="1">
      <c r="A2118" s="309">
        <v>883</v>
      </c>
      <c r="B2118" s="687" t="s">
        <v>1642</v>
      </c>
      <c r="C2118" s="706" t="s">
        <v>5115</v>
      </c>
      <c r="D2118" s="418" t="str">
        <f t="shared" si="32"/>
        <v>UBND Xã Vĩnh Lộc</v>
      </c>
      <c r="E2118" s="505" t="s">
        <v>1643</v>
      </c>
      <c r="F2118" s="505" t="s">
        <v>407</v>
      </c>
      <c r="G2118" s="415">
        <v>500</v>
      </c>
      <c r="H2118" s="371" t="s">
        <v>164</v>
      </c>
    </row>
    <row r="2119" spans="1:8" s="673" customFormat="1">
      <c r="A2119" s="309">
        <v>884</v>
      </c>
      <c r="B2119" s="687" t="s">
        <v>1644</v>
      </c>
      <c r="C2119" s="706" t="s">
        <v>5115</v>
      </c>
      <c r="D2119" s="418" t="str">
        <f t="shared" si="32"/>
        <v>UBND Xã Vĩnh Lộc</v>
      </c>
      <c r="E2119" s="505" t="s">
        <v>1643</v>
      </c>
      <c r="F2119" s="505" t="s">
        <v>407</v>
      </c>
      <c r="G2119" s="415">
        <v>500</v>
      </c>
      <c r="H2119" s="371" t="s">
        <v>164</v>
      </c>
    </row>
    <row r="2120" spans="1:8" s="673" customFormat="1">
      <c r="A2120" s="309">
        <v>885</v>
      </c>
      <c r="B2120" s="687" t="s">
        <v>1645</v>
      </c>
      <c r="C2120" s="706" t="s">
        <v>5115</v>
      </c>
      <c r="D2120" s="418" t="str">
        <f t="shared" si="32"/>
        <v>UBND Xã Vĩnh Lộc</v>
      </c>
      <c r="E2120" s="505" t="s">
        <v>1643</v>
      </c>
      <c r="F2120" s="505" t="s">
        <v>407</v>
      </c>
      <c r="G2120" s="415">
        <v>500</v>
      </c>
      <c r="H2120" s="371" t="s">
        <v>164</v>
      </c>
    </row>
    <row r="2121" spans="1:8" s="673" customFormat="1">
      <c r="A2121" s="309">
        <v>886</v>
      </c>
      <c r="B2121" s="687" t="s">
        <v>1646</v>
      </c>
      <c r="C2121" s="706" t="s">
        <v>5115</v>
      </c>
      <c r="D2121" s="418" t="str">
        <f t="shared" si="32"/>
        <v>UBND Xã Vĩnh Lộc</v>
      </c>
      <c r="E2121" s="505" t="s">
        <v>1643</v>
      </c>
      <c r="F2121" s="505" t="s">
        <v>407</v>
      </c>
      <c r="G2121" s="415">
        <v>500</v>
      </c>
      <c r="H2121" s="371" t="s">
        <v>164</v>
      </c>
    </row>
    <row r="2122" spans="1:8" s="673" customFormat="1">
      <c r="A2122" s="309">
        <v>887</v>
      </c>
      <c r="B2122" s="687" t="s">
        <v>1647</v>
      </c>
      <c r="C2122" s="706" t="s">
        <v>5115</v>
      </c>
      <c r="D2122" s="418" t="str">
        <f t="shared" si="32"/>
        <v>UBND Xã Vĩnh Lộc</v>
      </c>
      <c r="E2122" s="505" t="s">
        <v>1643</v>
      </c>
      <c r="F2122" s="505" t="s">
        <v>407</v>
      </c>
      <c r="G2122" s="415">
        <v>500</v>
      </c>
      <c r="H2122" s="371" t="s">
        <v>164</v>
      </c>
    </row>
    <row r="2123" spans="1:8" s="673" customFormat="1">
      <c r="A2123" s="309">
        <v>888</v>
      </c>
      <c r="B2123" s="687" t="s">
        <v>1648</v>
      </c>
      <c r="C2123" s="706" t="s">
        <v>5115</v>
      </c>
      <c r="D2123" s="418" t="str">
        <f t="shared" si="32"/>
        <v>UBND Xã Vĩnh Lộc</v>
      </c>
      <c r="E2123" s="505" t="s">
        <v>1643</v>
      </c>
      <c r="F2123" s="505" t="s">
        <v>407</v>
      </c>
      <c r="G2123" s="415">
        <v>500</v>
      </c>
      <c r="H2123" s="371" t="s">
        <v>164</v>
      </c>
    </row>
    <row r="2124" spans="1:8" s="673" customFormat="1">
      <c r="A2124" s="309">
        <v>889</v>
      </c>
      <c r="B2124" s="687" t="s">
        <v>1649</v>
      </c>
      <c r="C2124" s="706" t="s">
        <v>5115</v>
      </c>
      <c r="D2124" s="418" t="str">
        <f t="shared" si="32"/>
        <v>UBND Xã Vĩnh Lộc</v>
      </c>
      <c r="E2124" s="505" t="s">
        <v>1643</v>
      </c>
      <c r="F2124" s="505" t="s">
        <v>407</v>
      </c>
      <c r="G2124" s="415">
        <v>500</v>
      </c>
      <c r="H2124" s="371" t="s">
        <v>164</v>
      </c>
    </row>
    <row r="2125" spans="1:8" s="673" customFormat="1">
      <c r="A2125" s="309">
        <v>890</v>
      </c>
      <c r="B2125" s="687" t="s">
        <v>1650</v>
      </c>
      <c r="C2125" s="706" t="s">
        <v>5115</v>
      </c>
      <c r="D2125" s="418" t="str">
        <f t="shared" si="32"/>
        <v>UBND Xã Vĩnh Lộc</v>
      </c>
      <c r="E2125" s="505" t="s">
        <v>1643</v>
      </c>
      <c r="F2125" s="505" t="s">
        <v>407</v>
      </c>
      <c r="G2125" s="415">
        <v>500</v>
      </c>
      <c r="H2125" s="371" t="s">
        <v>164</v>
      </c>
    </row>
    <row r="2126" spans="1:8" s="673" customFormat="1">
      <c r="A2126" s="309">
        <v>891</v>
      </c>
      <c r="B2126" s="687" t="s">
        <v>1651</v>
      </c>
      <c r="C2126" s="706" t="s">
        <v>5115</v>
      </c>
      <c r="D2126" s="418" t="str">
        <f t="shared" si="32"/>
        <v>UBND Xã Vĩnh Lộc</v>
      </c>
      <c r="E2126" s="505" t="s">
        <v>1652</v>
      </c>
      <c r="F2126" s="505" t="s">
        <v>407</v>
      </c>
      <c r="G2126" s="415">
        <v>500</v>
      </c>
      <c r="H2126" s="371" t="s">
        <v>164</v>
      </c>
    </row>
    <row r="2127" spans="1:8" s="673" customFormat="1">
      <c r="A2127" s="309">
        <v>892</v>
      </c>
      <c r="B2127" s="687" t="s">
        <v>1653</v>
      </c>
      <c r="C2127" s="706" t="s">
        <v>5115</v>
      </c>
      <c r="D2127" s="418" t="str">
        <f t="shared" si="32"/>
        <v>UBND Xã Vĩnh Lộc</v>
      </c>
      <c r="E2127" s="505" t="s">
        <v>1652</v>
      </c>
      <c r="F2127" s="505" t="s">
        <v>407</v>
      </c>
      <c r="G2127" s="415">
        <v>500</v>
      </c>
      <c r="H2127" s="371" t="s">
        <v>164</v>
      </c>
    </row>
    <row r="2128" spans="1:8" s="673" customFormat="1">
      <c r="A2128" s="309">
        <v>893</v>
      </c>
      <c r="B2128" s="687" t="s">
        <v>1654</v>
      </c>
      <c r="C2128" s="706" t="s">
        <v>5115</v>
      </c>
      <c r="D2128" s="418" t="str">
        <f t="shared" si="32"/>
        <v>UBND Xã Vĩnh Lộc</v>
      </c>
      <c r="E2128" s="505" t="s">
        <v>1652</v>
      </c>
      <c r="F2128" s="505" t="s">
        <v>407</v>
      </c>
      <c r="G2128" s="415">
        <v>500</v>
      </c>
      <c r="H2128" s="371" t="s">
        <v>164</v>
      </c>
    </row>
    <row r="2129" spans="1:8" s="673" customFormat="1">
      <c r="A2129" s="309">
        <v>894</v>
      </c>
      <c r="B2129" s="687" t="s">
        <v>1655</v>
      </c>
      <c r="C2129" s="706" t="s">
        <v>5115</v>
      </c>
      <c r="D2129" s="418" t="str">
        <f t="shared" si="32"/>
        <v>UBND Xã Vĩnh Lộc</v>
      </c>
      <c r="E2129" s="505" t="s">
        <v>1652</v>
      </c>
      <c r="F2129" s="505" t="s">
        <v>407</v>
      </c>
      <c r="G2129" s="415">
        <v>500</v>
      </c>
      <c r="H2129" s="371" t="s">
        <v>164</v>
      </c>
    </row>
    <row r="2130" spans="1:8" s="673" customFormat="1">
      <c r="A2130" s="309">
        <v>895</v>
      </c>
      <c r="B2130" s="687" t="s">
        <v>1656</v>
      </c>
      <c r="C2130" s="706" t="s">
        <v>5115</v>
      </c>
      <c r="D2130" s="418" t="str">
        <f t="shared" si="32"/>
        <v>UBND Xã Vĩnh Lộc</v>
      </c>
      <c r="E2130" s="505" t="s">
        <v>1652</v>
      </c>
      <c r="F2130" s="505" t="s">
        <v>407</v>
      </c>
      <c r="G2130" s="415">
        <v>500</v>
      </c>
      <c r="H2130" s="371" t="s">
        <v>164</v>
      </c>
    </row>
    <row r="2131" spans="1:8" s="673" customFormat="1">
      <c r="A2131" s="309">
        <v>896</v>
      </c>
      <c r="B2131" s="687" t="s">
        <v>1657</v>
      </c>
      <c r="C2131" s="706" t="s">
        <v>5115</v>
      </c>
      <c r="D2131" s="418" t="str">
        <f t="shared" si="32"/>
        <v>UBND Xã Vĩnh Lộc</v>
      </c>
      <c r="E2131" s="505" t="s">
        <v>1652</v>
      </c>
      <c r="F2131" s="505" t="s">
        <v>407</v>
      </c>
      <c r="G2131" s="415">
        <v>500</v>
      </c>
      <c r="H2131" s="371" t="s">
        <v>164</v>
      </c>
    </row>
    <row r="2132" spans="1:8" s="673" customFormat="1">
      <c r="A2132" s="309">
        <v>897</v>
      </c>
      <c r="B2132" s="687" t="s">
        <v>1658</v>
      </c>
      <c r="C2132" s="706" t="s">
        <v>5115</v>
      </c>
      <c r="D2132" s="418" t="str">
        <f t="shared" si="32"/>
        <v>UBND Xã Vĩnh Lộc</v>
      </c>
      <c r="E2132" s="505" t="s">
        <v>1652</v>
      </c>
      <c r="F2132" s="505" t="s">
        <v>407</v>
      </c>
      <c r="G2132" s="415">
        <v>500</v>
      </c>
      <c r="H2132" s="371" t="s">
        <v>164</v>
      </c>
    </row>
    <row r="2133" spans="1:8" s="673" customFormat="1">
      <c r="A2133" s="309">
        <v>898</v>
      </c>
      <c r="B2133" s="687" t="s">
        <v>1659</v>
      </c>
      <c r="C2133" s="706" t="s">
        <v>5115</v>
      </c>
      <c r="D2133" s="418" t="str">
        <f t="shared" si="32"/>
        <v>UBND Xã Vĩnh Lộc</v>
      </c>
      <c r="E2133" s="505" t="s">
        <v>1652</v>
      </c>
      <c r="F2133" s="505" t="s">
        <v>407</v>
      </c>
      <c r="G2133" s="415">
        <v>500</v>
      </c>
      <c r="H2133" s="371" t="s">
        <v>164</v>
      </c>
    </row>
    <row r="2134" spans="1:8" s="673" customFormat="1">
      <c r="A2134" s="309">
        <v>899</v>
      </c>
      <c r="B2134" s="687" t="s">
        <v>1356</v>
      </c>
      <c r="C2134" s="706" t="s">
        <v>5115</v>
      </c>
      <c r="D2134" s="418" t="str">
        <f t="shared" si="32"/>
        <v>UBND Xã Vĩnh Lộc</v>
      </c>
      <c r="E2134" s="505" t="s">
        <v>1357</v>
      </c>
      <c r="F2134" s="505" t="s">
        <v>407</v>
      </c>
      <c r="G2134" s="415">
        <v>500</v>
      </c>
      <c r="H2134" s="371" t="s">
        <v>164</v>
      </c>
    </row>
    <row r="2135" spans="1:8" s="673" customFormat="1">
      <c r="A2135" s="309">
        <v>900</v>
      </c>
      <c r="B2135" s="687" t="s">
        <v>1358</v>
      </c>
      <c r="C2135" s="706" t="s">
        <v>5115</v>
      </c>
      <c r="D2135" s="418" t="str">
        <f t="shared" si="32"/>
        <v>UBND Xã Vĩnh Lộc</v>
      </c>
      <c r="E2135" s="505" t="s">
        <v>1357</v>
      </c>
      <c r="F2135" s="505" t="s">
        <v>407</v>
      </c>
      <c r="G2135" s="415">
        <v>500</v>
      </c>
      <c r="H2135" s="371" t="s">
        <v>164</v>
      </c>
    </row>
    <row r="2136" spans="1:8" s="673" customFormat="1">
      <c r="A2136" s="309">
        <v>901</v>
      </c>
      <c r="B2136" s="687" t="s">
        <v>1359</v>
      </c>
      <c r="C2136" s="706" t="s">
        <v>5115</v>
      </c>
      <c r="D2136" s="418" t="str">
        <f t="shared" si="32"/>
        <v>UBND Xã Vĩnh Lộc</v>
      </c>
      <c r="E2136" s="505" t="s">
        <v>1357</v>
      </c>
      <c r="F2136" s="505" t="s">
        <v>407</v>
      </c>
      <c r="G2136" s="415">
        <v>500</v>
      </c>
      <c r="H2136" s="371" t="s">
        <v>164</v>
      </c>
    </row>
    <row r="2137" spans="1:8" s="673" customFormat="1">
      <c r="A2137" s="309">
        <v>902</v>
      </c>
      <c r="B2137" s="687" t="s">
        <v>1360</v>
      </c>
      <c r="C2137" s="706" t="s">
        <v>5115</v>
      </c>
      <c r="D2137" s="418" t="str">
        <f t="shared" si="32"/>
        <v>UBND Xã Vĩnh Lộc</v>
      </c>
      <c r="E2137" s="505" t="s">
        <v>1357</v>
      </c>
      <c r="F2137" s="505" t="s">
        <v>407</v>
      </c>
      <c r="G2137" s="415">
        <v>500</v>
      </c>
      <c r="H2137" s="371" t="s">
        <v>164</v>
      </c>
    </row>
    <row r="2138" spans="1:8" s="673" customFormat="1">
      <c r="A2138" s="309">
        <v>903</v>
      </c>
      <c r="B2138" s="687" t="s">
        <v>1361</v>
      </c>
      <c r="C2138" s="706" t="s">
        <v>5115</v>
      </c>
      <c r="D2138" s="418" t="str">
        <f t="shared" si="32"/>
        <v>UBND Xã Vĩnh Lộc</v>
      </c>
      <c r="E2138" s="505" t="s">
        <v>1357</v>
      </c>
      <c r="F2138" s="505" t="s">
        <v>407</v>
      </c>
      <c r="G2138" s="415">
        <v>500</v>
      </c>
      <c r="H2138" s="371" t="s">
        <v>164</v>
      </c>
    </row>
    <row r="2139" spans="1:8" s="673" customFormat="1">
      <c r="A2139" s="309">
        <v>904</v>
      </c>
      <c r="B2139" s="687" t="s">
        <v>1362</v>
      </c>
      <c r="C2139" s="706" t="s">
        <v>5115</v>
      </c>
      <c r="D2139" s="418" t="str">
        <f t="shared" si="32"/>
        <v>UBND Xã Vĩnh Lộc</v>
      </c>
      <c r="E2139" s="505" t="s">
        <v>1357</v>
      </c>
      <c r="F2139" s="505" t="s">
        <v>407</v>
      </c>
      <c r="G2139" s="415">
        <v>500</v>
      </c>
      <c r="H2139" s="371" t="s">
        <v>164</v>
      </c>
    </row>
    <row r="2140" spans="1:8" s="673" customFormat="1">
      <c r="A2140" s="309">
        <v>905</v>
      </c>
      <c r="B2140" s="687" t="s">
        <v>1363</v>
      </c>
      <c r="C2140" s="706" t="s">
        <v>5115</v>
      </c>
      <c r="D2140" s="418" t="str">
        <f t="shared" si="32"/>
        <v>UBND Xã Vĩnh Lộc</v>
      </c>
      <c r="E2140" s="505" t="s">
        <v>1357</v>
      </c>
      <c r="F2140" s="505" t="s">
        <v>407</v>
      </c>
      <c r="G2140" s="415">
        <v>500</v>
      </c>
      <c r="H2140" s="371" t="s">
        <v>164</v>
      </c>
    </row>
    <row r="2141" spans="1:8" s="673" customFormat="1">
      <c r="A2141" s="309">
        <v>906</v>
      </c>
      <c r="B2141" s="687" t="s">
        <v>1364</v>
      </c>
      <c r="C2141" s="706" t="s">
        <v>5115</v>
      </c>
      <c r="D2141" s="418" t="str">
        <f t="shared" si="32"/>
        <v>UBND Xã Vĩnh Lộc</v>
      </c>
      <c r="E2141" s="505" t="s">
        <v>1357</v>
      </c>
      <c r="F2141" s="505" t="s">
        <v>407</v>
      </c>
      <c r="G2141" s="415">
        <v>500</v>
      </c>
      <c r="H2141" s="371" t="s">
        <v>164</v>
      </c>
    </row>
    <row r="2142" spans="1:8" s="673" customFormat="1">
      <c r="A2142" s="309">
        <v>907</v>
      </c>
      <c r="B2142" s="687" t="s">
        <v>1367</v>
      </c>
      <c r="C2142" s="706" t="s">
        <v>5115</v>
      </c>
      <c r="D2142" s="418" t="str">
        <f t="shared" si="32"/>
        <v>UBND Xã Vĩnh Lộc</v>
      </c>
      <c r="E2142" s="505" t="s">
        <v>1366</v>
      </c>
      <c r="F2142" s="505" t="s">
        <v>407</v>
      </c>
      <c r="G2142" s="415">
        <v>500</v>
      </c>
      <c r="H2142" s="371" t="s">
        <v>164</v>
      </c>
    </row>
    <row r="2143" spans="1:8" s="673" customFormat="1">
      <c r="A2143" s="309">
        <v>908</v>
      </c>
      <c r="B2143" s="687" t="s">
        <v>1369</v>
      </c>
      <c r="C2143" s="706" t="s">
        <v>5115</v>
      </c>
      <c r="D2143" s="418" t="str">
        <f t="shared" si="32"/>
        <v>UBND Xã Vĩnh Lộc</v>
      </c>
      <c r="E2143" s="505" t="s">
        <v>1366</v>
      </c>
      <c r="F2143" s="505" t="s">
        <v>407</v>
      </c>
      <c r="G2143" s="415">
        <v>500</v>
      </c>
      <c r="H2143" s="371" t="s">
        <v>164</v>
      </c>
    </row>
    <row r="2144" spans="1:8" s="673" customFormat="1">
      <c r="A2144" s="309">
        <v>909</v>
      </c>
      <c r="B2144" s="687" t="s">
        <v>1371</v>
      </c>
      <c r="C2144" s="706" t="s">
        <v>5115</v>
      </c>
      <c r="D2144" s="418" t="str">
        <f t="shared" si="32"/>
        <v>UBND Xã Vĩnh Lộc</v>
      </c>
      <c r="E2144" s="505" t="s">
        <v>1366</v>
      </c>
      <c r="F2144" s="505" t="s">
        <v>407</v>
      </c>
      <c r="G2144" s="415">
        <v>500</v>
      </c>
      <c r="H2144" s="371" t="s">
        <v>164</v>
      </c>
    </row>
    <row r="2145" spans="1:8" s="673" customFormat="1">
      <c r="A2145" s="309">
        <v>910</v>
      </c>
      <c r="B2145" s="687" t="s">
        <v>1373</v>
      </c>
      <c r="C2145" s="706" t="s">
        <v>5115</v>
      </c>
      <c r="D2145" s="418" t="str">
        <f t="shared" si="32"/>
        <v>UBND Xã Vĩnh Lộc</v>
      </c>
      <c r="E2145" s="505" t="s">
        <v>1366</v>
      </c>
      <c r="F2145" s="505" t="s">
        <v>407</v>
      </c>
      <c r="G2145" s="415">
        <v>500</v>
      </c>
      <c r="H2145" s="371" t="s">
        <v>164</v>
      </c>
    </row>
    <row r="2146" spans="1:8" s="673" customFormat="1">
      <c r="A2146" s="309">
        <v>911</v>
      </c>
      <c r="B2146" s="687" t="s">
        <v>1419</v>
      </c>
      <c r="C2146" s="706" t="s">
        <v>5115</v>
      </c>
      <c r="D2146" s="418" t="str">
        <f t="shared" si="32"/>
        <v>UBND Xã Vĩnh Lộc</v>
      </c>
      <c r="E2146" s="505" t="s">
        <v>1187</v>
      </c>
      <c r="F2146" s="505" t="s">
        <v>407</v>
      </c>
      <c r="G2146" s="415">
        <v>200</v>
      </c>
      <c r="H2146" s="371" t="s">
        <v>183</v>
      </c>
    </row>
    <row r="2147" spans="1:8" s="673" customFormat="1">
      <c r="A2147" s="309">
        <v>912</v>
      </c>
      <c r="B2147" s="687" t="s">
        <v>1421</v>
      </c>
      <c r="C2147" s="706" t="s">
        <v>5115</v>
      </c>
      <c r="D2147" s="418" t="str">
        <f t="shared" si="32"/>
        <v>UBND Xã Vĩnh Lộc</v>
      </c>
      <c r="E2147" s="505" t="s">
        <v>1188</v>
      </c>
      <c r="F2147" s="505" t="s">
        <v>407</v>
      </c>
      <c r="G2147" s="415">
        <v>500</v>
      </c>
      <c r="H2147" s="371" t="s">
        <v>183</v>
      </c>
    </row>
    <row r="2148" spans="1:8" s="673" customFormat="1">
      <c r="A2148" s="309">
        <v>913</v>
      </c>
      <c r="B2148" s="687" t="s">
        <v>1422</v>
      </c>
      <c r="C2148" s="706" t="s">
        <v>5115</v>
      </c>
      <c r="D2148" s="418" t="str">
        <f t="shared" si="32"/>
        <v>UBND Xã Vĩnh Lộc</v>
      </c>
      <c r="E2148" s="505" t="s">
        <v>1188</v>
      </c>
      <c r="F2148" s="505" t="s">
        <v>407</v>
      </c>
      <c r="G2148" s="415">
        <v>500</v>
      </c>
      <c r="H2148" s="371" t="s">
        <v>183</v>
      </c>
    </row>
    <row r="2149" spans="1:8" s="673" customFormat="1">
      <c r="A2149" s="309">
        <v>914</v>
      </c>
      <c r="B2149" s="687" t="s">
        <v>1423</v>
      </c>
      <c r="C2149" s="706" t="s">
        <v>5115</v>
      </c>
      <c r="D2149" s="418" t="str">
        <f t="shared" si="32"/>
        <v>UBND Xã Vĩnh Lộc</v>
      </c>
      <c r="E2149" s="505" t="s">
        <v>1188</v>
      </c>
      <c r="F2149" s="505" t="s">
        <v>407</v>
      </c>
      <c r="G2149" s="415">
        <v>150</v>
      </c>
      <c r="H2149" s="371" t="s">
        <v>183</v>
      </c>
    </row>
    <row r="2150" spans="1:8" s="673" customFormat="1">
      <c r="A2150" s="309">
        <v>915</v>
      </c>
      <c r="B2150" s="687" t="s">
        <v>1424</v>
      </c>
      <c r="C2150" s="706" t="s">
        <v>5115</v>
      </c>
      <c r="D2150" s="418" t="str">
        <f t="shared" si="32"/>
        <v>UBND Xã Vĩnh Lộc</v>
      </c>
      <c r="E2150" s="505" t="s">
        <v>1188</v>
      </c>
      <c r="F2150" s="505" t="s">
        <v>407</v>
      </c>
      <c r="G2150" s="415">
        <v>150</v>
      </c>
      <c r="H2150" s="371" t="s">
        <v>183</v>
      </c>
    </row>
    <row r="2151" spans="1:8" s="673" customFormat="1">
      <c r="A2151" s="309">
        <v>916</v>
      </c>
      <c r="B2151" s="687" t="s">
        <v>1426</v>
      </c>
      <c r="C2151" s="706" t="s">
        <v>5115</v>
      </c>
      <c r="D2151" s="418" t="str">
        <f t="shared" si="32"/>
        <v>UBND Xã Vĩnh Lộc</v>
      </c>
      <c r="E2151" s="505" t="s">
        <v>1189</v>
      </c>
      <c r="F2151" s="505" t="s">
        <v>407</v>
      </c>
      <c r="G2151" s="415">
        <v>500</v>
      </c>
      <c r="H2151" s="371" t="s">
        <v>183</v>
      </c>
    </row>
    <row r="2152" spans="1:8" s="673" customFormat="1">
      <c r="A2152" s="309">
        <v>917</v>
      </c>
      <c r="B2152" s="687" t="s">
        <v>1429</v>
      </c>
      <c r="C2152" s="706" t="s">
        <v>5115</v>
      </c>
      <c r="D2152" s="418" t="str">
        <f t="shared" si="32"/>
        <v>UBND Xã Vĩnh Lộc</v>
      </c>
      <c r="E2152" s="505" t="s">
        <v>1190</v>
      </c>
      <c r="F2152" s="505" t="s">
        <v>407</v>
      </c>
      <c r="G2152" s="415">
        <v>200</v>
      </c>
      <c r="H2152" s="371" t="s">
        <v>183</v>
      </c>
    </row>
    <row r="2153" spans="1:8" s="673" customFormat="1">
      <c r="A2153" s="309">
        <v>918</v>
      </c>
      <c r="B2153" s="687" t="s">
        <v>1432</v>
      </c>
      <c r="C2153" s="706" t="s">
        <v>5115</v>
      </c>
      <c r="D2153" s="418" t="str">
        <f t="shared" si="32"/>
        <v>UBND Xã Vĩnh Lộc</v>
      </c>
      <c r="E2153" s="505" t="s">
        <v>1190</v>
      </c>
      <c r="F2153" s="505" t="s">
        <v>407</v>
      </c>
      <c r="G2153" s="415">
        <v>200</v>
      </c>
      <c r="H2153" s="371" t="s">
        <v>183</v>
      </c>
    </row>
    <row r="2154" spans="1:8" s="673" customFormat="1">
      <c r="A2154" s="309">
        <v>919</v>
      </c>
      <c r="B2154" s="687" t="s">
        <v>1433</v>
      </c>
      <c r="C2154" s="706" t="s">
        <v>5115</v>
      </c>
      <c r="D2154" s="418" t="str">
        <f t="shared" si="32"/>
        <v>UBND Xã Vĩnh Lộc</v>
      </c>
      <c r="E2154" s="505" t="s">
        <v>1191</v>
      </c>
      <c r="F2154" s="505" t="s">
        <v>407</v>
      </c>
      <c r="G2154" s="415">
        <v>200</v>
      </c>
      <c r="H2154" s="371" t="s">
        <v>183</v>
      </c>
    </row>
    <row r="2155" spans="1:8" s="673" customFormat="1">
      <c r="A2155" s="309">
        <v>920</v>
      </c>
      <c r="B2155" s="687" t="s">
        <v>1280</v>
      </c>
      <c r="C2155" s="706" t="s">
        <v>5115</v>
      </c>
      <c r="D2155" s="418" t="str">
        <f t="shared" si="32"/>
        <v>UBND Xã Vĩnh Lộc</v>
      </c>
      <c r="E2155" s="505" t="s">
        <v>1272</v>
      </c>
      <c r="F2155" s="505" t="s">
        <v>407</v>
      </c>
      <c r="G2155" s="415">
        <v>500</v>
      </c>
      <c r="H2155" s="371" t="s">
        <v>164</v>
      </c>
    </row>
    <row r="2156" spans="1:8" s="673" customFormat="1">
      <c r="A2156" s="309">
        <v>921</v>
      </c>
      <c r="B2156" s="687" t="s">
        <v>1282</v>
      </c>
      <c r="C2156" s="706" t="s">
        <v>5115</v>
      </c>
      <c r="D2156" s="418" t="str">
        <f t="shared" si="32"/>
        <v>UBND Xã Vĩnh Lộc</v>
      </c>
      <c r="E2156" s="505" t="s">
        <v>1272</v>
      </c>
      <c r="F2156" s="505" t="s">
        <v>407</v>
      </c>
      <c r="G2156" s="415">
        <v>500</v>
      </c>
      <c r="H2156" s="371" t="s">
        <v>164</v>
      </c>
    </row>
    <row r="2157" spans="1:8" s="673" customFormat="1">
      <c r="A2157" s="309">
        <v>922</v>
      </c>
      <c r="B2157" s="687" t="s">
        <v>1284</v>
      </c>
      <c r="C2157" s="706" t="s">
        <v>5115</v>
      </c>
      <c r="D2157" s="418" t="str">
        <f t="shared" si="32"/>
        <v>UBND Xã Vĩnh Lộc</v>
      </c>
      <c r="E2157" s="505" t="s">
        <v>1272</v>
      </c>
      <c r="F2157" s="505" t="s">
        <v>407</v>
      </c>
      <c r="G2157" s="415">
        <v>500</v>
      </c>
      <c r="H2157" s="371" t="s">
        <v>164</v>
      </c>
    </row>
    <row r="2158" spans="1:8" s="673" customFormat="1">
      <c r="A2158" s="309">
        <v>923</v>
      </c>
      <c r="B2158" s="687" t="s">
        <v>1286</v>
      </c>
      <c r="C2158" s="706" t="s">
        <v>5115</v>
      </c>
      <c r="D2158" s="418" t="str">
        <f t="shared" si="32"/>
        <v>UBND Xã Vĩnh Lộc</v>
      </c>
      <c r="E2158" s="505" t="s">
        <v>1272</v>
      </c>
      <c r="F2158" s="505" t="s">
        <v>407</v>
      </c>
      <c r="G2158" s="415">
        <v>500</v>
      </c>
      <c r="H2158" s="371" t="s">
        <v>164</v>
      </c>
    </row>
    <row r="2159" spans="1:8" s="673" customFormat="1">
      <c r="A2159" s="309">
        <v>924</v>
      </c>
      <c r="B2159" s="687" t="s">
        <v>1295</v>
      </c>
      <c r="C2159" s="706" t="s">
        <v>5115</v>
      </c>
      <c r="D2159" s="418" t="str">
        <f t="shared" ref="D2159:D2222" si="33">"UBND "&amp;C2159</f>
        <v>UBND Xã Vĩnh Lộc</v>
      </c>
      <c r="E2159" s="505" t="s">
        <v>1289</v>
      </c>
      <c r="F2159" s="505" t="s">
        <v>407</v>
      </c>
      <c r="G2159" s="415">
        <v>500</v>
      </c>
      <c r="H2159" s="371" t="s">
        <v>164</v>
      </c>
    </row>
    <row r="2160" spans="1:8" s="673" customFormat="1">
      <c r="A2160" s="309">
        <v>925</v>
      </c>
      <c r="B2160" s="687" t="s">
        <v>1296</v>
      </c>
      <c r="C2160" s="706" t="s">
        <v>5115</v>
      </c>
      <c r="D2160" s="418" t="str">
        <f t="shared" si="33"/>
        <v>UBND Xã Vĩnh Lộc</v>
      </c>
      <c r="E2160" s="505" t="s">
        <v>1289</v>
      </c>
      <c r="F2160" s="505" t="s">
        <v>407</v>
      </c>
      <c r="G2160" s="415">
        <v>500</v>
      </c>
      <c r="H2160" s="371" t="s">
        <v>164</v>
      </c>
    </row>
    <row r="2161" spans="1:8" s="673" customFormat="1">
      <c r="A2161" s="309">
        <v>926</v>
      </c>
      <c r="B2161" s="687" t="s">
        <v>1297</v>
      </c>
      <c r="C2161" s="706" t="s">
        <v>5115</v>
      </c>
      <c r="D2161" s="418" t="str">
        <f t="shared" si="33"/>
        <v>UBND Xã Vĩnh Lộc</v>
      </c>
      <c r="E2161" s="505" t="s">
        <v>1289</v>
      </c>
      <c r="F2161" s="505" t="s">
        <v>407</v>
      </c>
      <c r="G2161" s="415">
        <v>500</v>
      </c>
      <c r="H2161" s="371" t="s">
        <v>164</v>
      </c>
    </row>
    <row r="2162" spans="1:8" s="673" customFormat="1">
      <c r="A2162" s="309">
        <v>927</v>
      </c>
      <c r="B2162" s="687" t="s">
        <v>1298</v>
      </c>
      <c r="C2162" s="706" t="s">
        <v>5115</v>
      </c>
      <c r="D2162" s="418" t="str">
        <f t="shared" si="33"/>
        <v>UBND Xã Vĩnh Lộc</v>
      </c>
      <c r="E2162" s="505" t="s">
        <v>1289</v>
      </c>
      <c r="F2162" s="505" t="s">
        <v>407</v>
      </c>
      <c r="G2162" s="415">
        <v>500</v>
      </c>
      <c r="H2162" s="371" t="s">
        <v>164</v>
      </c>
    </row>
    <row r="2163" spans="1:8" s="673" customFormat="1">
      <c r="A2163" s="309">
        <v>928</v>
      </c>
      <c r="B2163" s="687" t="s">
        <v>1299</v>
      </c>
      <c r="C2163" s="706" t="s">
        <v>5115</v>
      </c>
      <c r="D2163" s="418" t="str">
        <f t="shared" si="33"/>
        <v>UBND Xã Vĩnh Lộc</v>
      </c>
      <c r="E2163" s="505" t="s">
        <v>1289</v>
      </c>
      <c r="F2163" s="505" t="s">
        <v>407</v>
      </c>
      <c r="G2163" s="415">
        <v>500</v>
      </c>
      <c r="H2163" s="371" t="s">
        <v>164</v>
      </c>
    </row>
    <row r="2164" spans="1:8" s="673" customFormat="1">
      <c r="A2164" s="309">
        <v>929</v>
      </c>
      <c r="B2164" s="687" t="s">
        <v>1300</v>
      </c>
      <c r="C2164" s="706" t="s">
        <v>5115</v>
      </c>
      <c r="D2164" s="418" t="str">
        <f t="shared" si="33"/>
        <v>UBND Xã Vĩnh Lộc</v>
      </c>
      <c r="E2164" s="505" t="s">
        <v>1289</v>
      </c>
      <c r="F2164" s="505" t="s">
        <v>407</v>
      </c>
      <c r="G2164" s="415">
        <v>500</v>
      </c>
      <c r="H2164" s="371" t="s">
        <v>164</v>
      </c>
    </row>
    <row r="2165" spans="1:8" s="673" customFormat="1">
      <c r="A2165" s="309">
        <v>930</v>
      </c>
      <c r="B2165" s="687" t="s">
        <v>1301</v>
      </c>
      <c r="C2165" s="706" t="s">
        <v>5115</v>
      </c>
      <c r="D2165" s="418" t="str">
        <f t="shared" si="33"/>
        <v>UBND Xã Vĩnh Lộc</v>
      </c>
      <c r="E2165" s="505" t="s">
        <v>1289</v>
      </c>
      <c r="F2165" s="505" t="s">
        <v>407</v>
      </c>
      <c r="G2165" s="415">
        <v>500</v>
      </c>
      <c r="H2165" s="371" t="s">
        <v>164</v>
      </c>
    </row>
    <row r="2166" spans="1:8" s="673" customFormat="1">
      <c r="A2166" s="309">
        <v>931</v>
      </c>
      <c r="B2166" s="687" t="s">
        <v>1302</v>
      </c>
      <c r="C2166" s="706" t="s">
        <v>5115</v>
      </c>
      <c r="D2166" s="418" t="str">
        <f t="shared" si="33"/>
        <v>UBND Xã Vĩnh Lộc</v>
      </c>
      <c r="E2166" s="505" t="s">
        <v>1289</v>
      </c>
      <c r="F2166" s="505" t="s">
        <v>407</v>
      </c>
      <c r="G2166" s="415">
        <v>500</v>
      </c>
      <c r="H2166" s="371" t="s">
        <v>164</v>
      </c>
    </row>
    <row r="2167" spans="1:8" s="673" customFormat="1">
      <c r="A2167" s="309">
        <v>932</v>
      </c>
      <c r="B2167" s="687" t="s">
        <v>1303</v>
      </c>
      <c r="C2167" s="706" t="s">
        <v>5115</v>
      </c>
      <c r="D2167" s="418" t="str">
        <f t="shared" si="33"/>
        <v>UBND Xã Vĩnh Lộc</v>
      </c>
      <c r="E2167" s="505" t="s">
        <v>1289</v>
      </c>
      <c r="F2167" s="505" t="s">
        <v>407</v>
      </c>
      <c r="G2167" s="415">
        <v>500</v>
      </c>
      <c r="H2167" s="371" t="s">
        <v>164</v>
      </c>
    </row>
    <row r="2168" spans="1:8" s="673" customFormat="1">
      <c r="A2168" s="309">
        <v>933</v>
      </c>
      <c r="B2168" s="687" t="s">
        <v>1304</v>
      </c>
      <c r="C2168" s="706" t="s">
        <v>5115</v>
      </c>
      <c r="D2168" s="418" t="str">
        <f t="shared" si="33"/>
        <v>UBND Xã Vĩnh Lộc</v>
      </c>
      <c r="E2168" s="505" t="s">
        <v>1289</v>
      </c>
      <c r="F2168" s="505" t="s">
        <v>407</v>
      </c>
      <c r="G2168" s="415">
        <v>500</v>
      </c>
      <c r="H2168" s="371" t="s">
        <v>164</v>
      </c>
    </row>
    <row r="2169" spans="1:8" s="673" customFormat="1">
      <c r="A2169" s="309">
        <v>934</v>
      </c>
      <c r="B2169" s="687" t="s">
        <v>1305</v>
      </c>
      <c r="C2169" s="706" t="s">
        <v>5115</v>
      </c>
      <c r="D2169" s="418" t="str">
        <f t="shared" si="33"/>
        <v>UBND Xã Vĩnh Lộc</v>
      </c>
      <c r="E2169" s="505" t="s">
        <v>1306</v>
      </c>
      <c r="F2169" s="505" t="s">
        <v>407</v>
      </c>
      <c r="G2169" s="415">
        <v>500</v>
      </c>
      <c r="H2169" s="371" t="s">
        <v>164</v>
      </c>
    </row>
    <row r="2170" spans="1:8" s="673" customFormat="1">
      <c r="A2170" s="309">
        <v>935</v>
      </c>
      <c r="B2170" s="687" t="s">
        <v>1308</v>
      </c>
      <c r="C2170" s="706" t="s">
        <v>5115</v>
      </c>
      <c r="D2170" s="418" t="str">
        <f t="shared" si="33"/>
        <v>UBND Xã Vĩnh Lộc</v>
      </c>
      <c r="E2170" s="505" t="s">
        <v>1306</v>
      </c>
      <c r="F2170" s="505" t="s">
        <v>407</v>
      </c>
      <c r="G2170" s="415">
        <v>500</v>
      </c>
      <c r="H2170" s="371" t="s">
        <v>164</v>
      </c>
    </row>
    <row r="2171" spans="1:8" s="673" customFormat="1">
      <c r="A2171" s="309">
        <v>936</v>
      </c>
      <c r="B2171" s="687" t="s">
        <v>1310</v>
      </c>
      <c r="C2171" s="706" t="s">
        <v>5115</v>
      </c>
      <c r="D2171" s="418" t="str">
        <f t="shared" si="33"/>
        <v>UBND Xã Vĩnh Lộc</v>
      </c>
      <c r="E2171" s="505" t="s">
        <v>1306</v>
      </c>
      <c r="F2171" s="505" t="s">
        <v>407</v>
      </c>
      <c r="G2171" s="415">
        <v>500</v>
      </c>
      <c r="H2171" s="371" t="s">
        <v>164</v>
      </c>
    </row>
    <row r="2172" spans="1:8" s="673" customFormat="1">
      <c r="A2172" s="309">
        <v>937</v>
      </c>
      <c r="B2172" s="687" t="s">
        <v>1312</v>
      </c>
      <c r="C2172" s="706" t="s">
        <v>5115</v>
      </c>
      <c r="D2172" s="418" t="str">
        <f t="shared" si="33"/>
        <v>UBND Xã Vĩnh Lộc</v>
      </c>
      <c r="E2172" s="505" t="s">
        <v>1306</v>
      </c>
      <c r="F2172" s="505" t="s">
        <v>407</v>
      </c>
      <c r="G2172" s="415">
        <v>500</v>
      </c>
      <c r="H2172" s="371" t="s">
        <v>164</v>
      </c>
    </row>
    <row r="2173" spans="1:8" s="673" customFormat="1">
      <c r="A2173" s="309">
        <v>938</v>
      </c>
      <c r="B2173" s="687" t="s">
        <v>1313</v>
      </c>
      <c r="C2173" s="706" t="s">
        <v>5115</v>
      </c>
      <c r="D2173" s="418" t="str">
        <f t="shared" si="33"/>
        <v>UBND Xã Vĩnh Lộc</v>
      </c>
      <c r="E2173" s="505" t="s">
        <v>1306</v>
      </c>
      <c r="F2173" s="505" t="s">
        <v>407</v>
      </c>
      <c r="G2173" s="415">
        <v>500</v>
      </c>
      <c r="H2173" s="371" t="s">
        <v>164</v>
      </c>
    </row>
    <row r="2174" spans="1:8" s="673" customFormat="1">
      <c r="A2174" s="309">
        <v>939</v>
      </c>
      <c r="B2174" s="687" t="s">
        <v>1314</v>
      </c>
      <c r="C2174" s="706" t="s">
        <v>5115</v>
      </c>
      <c r="D2174" s="418" t="str">
        <f t="shared" si="33"/>
        <v>UBND Xã Vĩnh Lộc</v>
      </c>
      <c r="E2174" s="505" t="s">
        <v>1306</v>
      </c>
      <c r="F2174" s="505" t="s">
        <v>407</v>
      </c>
      <c r="G2174" s="415">
        <v>500</v>
      </c>
      <c r="H2174" s="371" t="s">
        <v>164</v>
      </c>
    </row>
    <row r="2175" spans="1:8" s="673" customFormat="1">
      <c r="A2175" s="309">
        <v>940</v>
      </c>
      <c r="B2175" s="687" t="s">
        <v>1315</v>
      </c>
      <c r="C2175" s="706" t="s">
        <v>5115</v>
      </c>
      <c r="D2175" s="418" t="str">
        <f t="shared" si="33"/>
        <v>UBND Xã Vĩnh Lộc</v>
      </c>
      <c r="E2175" s="505" t="s">
        <v>1306</v>
      </c>
      <c r="F2175" s="505" t="s">
        <v>407</v>
      </c>
      <c r="G2175" s="415">
        <v>500</v>
      </c>
      <c r="H2175" s="371" t="s">
        <v>164</v>
      </c>
    </row>
    <row r="2176" spans="1:8" s="673" customFormat="1">
      <c r="A2176" s="309">
        <v>941</v>
      </c>
      <c r="B2176" s="687" t="s">
        <v>1316</v>
      </c>
      <c r="C2176" s="706" t="s">
        <v>5115</v>
      </c>
      <c r="D2176" s="418" t="str">
        <f t="shared" si="33"/>
        <v>UBND Xã Vĩnh Lộc</v>
      </c>
      <c r="E2176" s="505" t="s">
        <v>1306</v>
      </c>
      <c r="F2176" s="505" t="s">
        <v>407</v>
      </c>
      <c r="G2176" s="415">
        <v>500</v>
      </c>
      <c r="H2176" s="371" t="s">
        <v>164</v>
      </c>
    </row>
    <row r="2177" spans="1:8" s="673" customFormat="1">
      <c r="A2177" s="309">
        <v>942</v>
      </c>
      <c r="B2177" s="687" t="s">
        <v>1317</v>
      </c>
      <c r="C2177" s="706" t="s">
        <v>5115</v>
      </c>
      <c r="D2177" s="418" t="str">
        <f t="shared" si="33"/>
        <v>UBND Xã Vĩnh Lộc</v>
      </c>
      <c r="E2177" s="505" t="s">
        <v>1306</v>
      </c>
      <c r="F2177" s="505" t="s">
        <v>407</v>
      </c>
      <c r="G2177" s="415">
        <v>500</v>
      </c>
      <c r="H2177" s="371" t="s">
        <v>164</v>
      </c>
    </row>
    <row r="2178" spans="1:8" s="673" customFormat="1">
      <c r="A2178" s="309">
        <v>943</v>
      </c>
      <c r="B2178" s="687" t="s">
        <v>1318</v>
      </c>
      <c r="C2178" s="706" t="s">
        <v>5115</v>
      </c>
      <c r="D2178" s="418" t="str">
        <f t="shared" si="33"/>
        <v>UBND Xã Vĩnh Lộc</v>
      </c>
      <c r="E2178" s="505" t="s">
        <v>1306</v>
      </c>
      <c r="F2178" s="505" t="s">
        <v>407</v>
      </c>
      <c r="G2178" s="415">
        <v>500</v>
      </c>
      <c r="H2178" s="371" t="s">
        <v>164</v>
      </c>
    </row>
    <row r="2179" spans="1:8" s="673" customFormat="1">
      <c r="A2179" s="309">
        <v>944</v>
      </c>
      <c r="B2179" s="687" t="s">
        <v>1319</v>
      </c>
      <c r="C2179" s="706" t="s">
        <v>5115</v>
      </c>
      <c r="D2179" s="418" t="str">
        <f t="shared" si="33"/>
        <v>UBND Xã Vĩnh Lộc</v>
      </c>
      <c r="E2179" s="505" t="s">
        <v>1306</v>
      </c>
      <c r="F2179" s="505" t="s">
        <v>407</v>
      </c>
      <c r="G2179" s="415">
        <v>500</v>
      </c>
      <c r="H2179" s="371" t="s">
        <v>164</v>
      </c>
    </row>
    <row r="2180" spans="1:8" s="673" customFormat="1">
      <c r="A2180" s="309">
        <v>945</v>
      </c>
      <c r="B2180" s="687" t="s">
        <v>1320</v>
      </c>
      <c r="C2180" s="706" t="s">
        <v>5115</v>
      </c>
      <c r="D2180" s="418" t="str">
        <f t="shared" si="33"/>
        <v>UBND Xã Vĩnh Lộc</v>
      </c>
      <c r="E2180" s="505" t="s">
        <v>1306</v>
      </c>
      <c r="F2180" s="505" t="s">
        <v>407</v>
      </c>
      <c r="G2180" s="415">
        <v>500</v>
      </c>
      <c r="H2180" s="371" t="s">
        <v>164</v>
      </c>
    </row>
    <row r="2181" spans="1:8" s="673" customFormat="1">
      <c r="A2181" s="309">
        <v>946</v>
      </c>
      <c r="B2181" s="687" t="s">
        <v>1321</v>
      </c>
      <c r="C2181" s="706" t="s">
        <v>5115</v>
      </c>
      <c r="D2181" s="418" t="str">
        <f t="shared" si="33"/>
        <v>UBND Xã Vĩnh Lộc</v>
      </c>
      <c r="E2181" s="505" t="s">
        <v>1306</v>
      </c>
      <c r="F2181" s="505" t="s">
        <v>407</v>
      </c>
      <c r="G2181" s="415">
        <v>500</v>
      </c>
      <c r="H2181" s="371" t="s">
        <v>164</v>
      </c>
    </row>
    <row r="2182" spans="1:8" s="673" customFormat="1">
      <c r="A2182" s="309">
        <v>947</v>
      </c>
      <c r="B2182" s="687" t="s">
        <v>1322</v>
      </c>
      <c r="C2182" s="706" t="s">
        <v>5115</v>
      </c>
      <c r="D2182" s="418" t="str">
        <f t="shared" si="33"/>
        <v>UBND Xã Vĩnh Lộc</v>
      </c>
      <c r="E2182" s="505" t="s">
        <v>1323</v>
      </c>
      <c r="F2182" s="505" t="s">
        <v>407</v>
      </c>
      <c r="G2182" s="415">
        <v>500</v>
      </c>
      <c r="H2182" s="371" t="s">
        <v>164</v>
      </c>
    </row>
    <row r="2183" spans="1:8" s="673" customFormat="1">
      <c r="A2183" s="309">
        <v>948</v>
      </c>
      <c r="B2183" s="687" t="s">
        <v>1324</v>
      </c>
      <c r="C2183" s="706" t="s">
        <v>5115</v>
      </c>
      <c r="D2183" s="418" t="str">
        <f t="shared" si="33"/>
        <v>UBND Xã Vĩnh Lộc</v>
      </c>
      <c r="E2183" s="505" t="s">
        <v>1323</v>
      </c>
      <c r="F2183" s="505" t="s">
        <v>407</v>
      </c>
      <c r="G2183" s="415">
        <v>500</v>
      </c>
      <c r="H2183" s="371" t="s">
        <v>164</v>
      </c>
    </row>
    <row r="2184" spans="1:8" s="673" customFormat="1">
      <c r="A2184" s="309">
        <v>949</v>
      </c>
      <c r="B2184" s="687" t="s">
        <v>1325</v>
      </c>
      <c r="C2184" s="706" t="s">
        <v>5115</v>
      </c>
      <c r="D2184" s="418" t="str">
        <f t="shared" si="33"/>
        <v>UBND Xã Vĩnh Lộc</v>
      </c>
      <c r="E2184" s="505" t="s">
        <v>1323</v>
      </c>
      <c r="F2184" s="505" t="s">
        <v>407</v>
      </c>
      <c r="G2184" s="415">
        <v>500</v>
      </c>
      <c r="H2184" s="371" t="s">
        <v>164</v>
      </c>
    </row>
    <row r="2185" spans="1:8" s="673" customFormat="1">
      <c r="A2185" s="309">
        <v>950</v>
      </c>
      <c r="B2185" s="687" t="s">
        <v>1326</v>
      </c>
      <c r="C2185" s="706" t="s">
        <v>5115</v>
      </c>
      <c r="D2185" s="418" t="str">
        <f t="shared" si="33"/>
        <v>UBND Xã Vĩnh Lộc</v>
      </c>
      <c r="E2185" s="505" t="s">
        <v>1323</v>
      </c>
      <c r="F2185" s="505" t="s">
        <v>407</v>
      </c>
      <c r="G2185" s="415">
        <v>500</v>
      </c>
      <c r="H2185" s="371" t="s">
        <v>164</v>
      </c>
    </row>
    <row r="2186" spans="1:8" s="673" customFormat="1">
      <c r="A2186" s="309">
        <v>951</v>
      </c>
      <c r="B2186" s="687" t="s">
        <v>1327</v>
      </c>
      <c r="C2186" s="706" t="s">
        <v>5115</v>
      </c>
      <c r="D2186" s="418" t="str">
        <f t="shared" si="33"/>
        <v>UBND Xã Vĩnh Lộc</v>
      </c>
      <c r="E2186" s="505" t="s">
        <v>1323</v>
      </c>
      <c r="F2186" s="505" t="s">
        <v>407</v>
      </c>
      <c r="G2186" s="415">
        <v>500</v>
      </c>
      <c r="H2186" s="371" t="s">
        <v>164</v>
      </c>
    </row>
    <row r="2187" spans="1:8" s="673" customFormat="1">
      <c r="A2187" s="309">
        <v>952</v>
      </c>
      <c r="B2187" s="687" t="s">
        <v>1328</v>
      </c>
      <c r="C2187" s="706" t="s">
        <v>5115</v>
      </c>
      <c r="D2187" s="418" t="str">
        <f t="shared" si="33"/>
        <v>UBND Xã Vĩnh Lộc</v>
      </c>
      <c r="E2187" s="505" t="s">
        <v>1323</v>
      </c>
      <c r="F2187" s="505" t="s">
        <v>407</v>
      </c>
      <c r="G2187" s="415">
        <v>500</v>
      </c>
      <c r="H2187" s="371" t="s">
        <v>164</v>
      </c>
    </row>
    <row r="2188" spans="1:8" s="673" customFormat="1">
      <c r="A2188" s="309">
        <v>953</v>
      </c>
      <c r="B2188" s="687" t="s">
        <v>1329</v>
      </c>
      <c r="C2188" s="706" t="s">
        <v>5115</v>
      </c>
      <c r="D2188" s="418" t="str">
        <f t="shared" si="33"/>
        <v>UBND Xã Vĩnh Lộc</v>
      </c>
      <c r="E2188" s="505" t="s">
        <v>1323</v>
      </c>
      <c r="F2188" s="505" t="s">
        <v>407</v>
      </c>
      <c r="G2188" s="415">
        <v>500</v>
      </c>
      <c r="H2188" s="371" t="s">
        <v>164</v>
      </c>
    </row>
    <row r="2189" spans="1:8" s="673" customFormat="1">
      <c r="A2189" s="309">
        <v>954</v>
      </c>
      <c r="B2189" s="687" t="s">
        <v>1330</v>
      </c>
      <c r="C2189" s="706" t="s">
        <v>5115</v>
      </c>
      <c r="D2189" s="418" t="str">
        <f t="shared" si="33"/>
        <v>UBND Xã Vĩnh Lộc</v>
      </c>
      <c r="E2189" s="505" t="s">
        <v>1323</v>
      </c>
      <c r="F2189" s="505" t="s">
        <v>407</v>
      </c>
      <c r="G2189" s="415">
        <v>500</v>
      </c>
      <c r="H2189" s="371" t="s">
        <v>164</v>
      </c>
    </row>
    <row r="2190" spans="1:8" s="673" customFormat="1">
      <c r="A2190" s="309">
        <v>955</v>
      </c>
      <c r="B2190" s="687" t="s">
        <v>1331</v>
      </c>
      <c r="C2190" s="706" t="s">
        <v>5115</v>
      </c>
      <c r="D2190" s="418" t="str">
        <f t="shared" si="33"/>
        <v>UBND Xã Vĩnh Lộc</v>
      </c>
      <c r="E2190" s="505" t="s">
        <v>1323</v>
      </c>
      <c r="F2190" s="505" t="s">
        <v>407</v>
      </c>
      <c r="G2190" s="415">
        <v>500</v>
      </c>
      <c r="H2190" s="371" t="s">
        <v>164</v>
      </c>
    </row>
    <row r="2191" spans="1:8" s="673" customFormat="1">
      <c r="A2191" s="309">
        <v>956</v>
      </c>
      <c r="B2191" s="687" t="s">
        <v>1332</v>
      </c>
      <c r="C2191" s="706" t="s">
        <v>5115</v>
      </c>
      <c r="D2191" s="418" t="str">
        <f t="shared" si="33"/>
        <v>UBND Xã Vĩnh Lộc</v>
      </c>
      <c r="E2191" s="505" t="s">
        <v>1323</v>
      </c>
      <c r="F2191" s="505" t="s">
        <v>407</v>
      </c>
      <c r="G2191" s="415">
        <v>500</v>
      </c>
      <c r="H2191" s="371" t="s">
        <v>164</v>
      </c>
    </row>
    <row r="2192" spans="1:8" s="673" customFormat="1">
      <c r="A2192" s="309">
        <v>957</v>
      </c>
      <c r="B2192" s="687" t="s">
        <v>1333</v>
      </c>
      <c r="C2192" s="706" t="s">
        <v>5115</v>
      </c>
      <c r="D2192" s="418" t="str">
        <f t="shared" si="33"/>
        <v>UBND Xã Vĩnh Lộc</v>
      </c>
      <c r="E2192" s="505" t="s">
        <v>1323</v>
      </c>
      <c r="F2192" s="505" t="s">
        <v>407</v>
      </c>
      <c r="G2192" s="415">
        <v>500</v>
      </c>
      <c r="H2192" s="371" t="s">
        <v>164</v>
      </c>
    </row>
    <row r="2193" spans="1:8" s="673" customFormat="1">
      <c r="A2193" s="309">
        <v>958</v>
      </c>
      <c r="B2193" s="687" t="s">
        <v>1334</v>
      </c>
      <c r="C2193" s="706" t="s">
        <v>5115</v>
      </c>
      <c r="D2193" s="418" t="str">
        <f t="shared" si="33"/>
        <v>UBND Xã Vĩnh Lộc</v>
      </c>
      <c r="E2193" s="505" t="s">
        <v>1323</v>
      </c>
      <c r="F2193" s="505" t="s">
        <v>407</v>
      </c>
      <c r="G2193" s="415">
        <v>500</v>
      </c>
      <c r="H2193" s="371" t="s">
        <v>164</v>
      </c>
    </row>
    <row r="2194" spans="1:8" s="673" customFormat="1">
      <c r="A2194" s="309">
        <v>959</v>
      </c>
      <c r="B2194" s="687" t="s">
        <v>1335</v>
      </c>
      <c r="C2194" s="706" t="s">
        <v>5115</v>
      </c>
      <c r="D2194" s="418" t="str">
        <f t="shared" si="33"/>
        <v>UBND Xã Vĩnh Lộc</v>
      </c>
      <c r="E2194" s="505" t="s">
        <v>1323</v>
      </c>
      <c r="F2194" s="505" t="s">
        <v>407</v>
      </c>
      <c r="G2194" s="415">
        <v>500</v>
      </c>
      <c r="H2194" s="371" t="s">
        <v>164</v>
      </c>
    </row>
    <row r="2195" spans="1:8" s="673" customFormat="1">
      <c r="A2195" s="309">
        <v>960</v>
      </c>
      <c r="B2195" s="687" t="s">
        <v>1336</v>
      </c>
      <c r="C2195" s="706" t="s">
        <v>5115</v>
      </c>
      <c r="D2195" s="418" t="str">
        <f t="shared" si="33"/>
        <v>UBND Xã Vĩnh Lộc</v>
      </c>
      <c r="E2195" s="505" t="s">
        <v>1323</v>
      </c>
      <c r="F2195" s="505" t="s">
        <v>407</v>
      </c>
      <c r="G2195" s="415">
        <v>500</v>
      </c>
      <c r="H2195" s="371" t="s">
        <v>164</v>
      </c>
    </row>
    <row r="2196" spans="1:8" s="673" customFormat="1">
      <c r="A2196" s="309">
        <v>961</v>
      </c>
      <c r="B2196" s="687" t="s">
        <v>1337</v>
      </c>
      <c r="C2196" s="706" t="s">
        <v>5115</v>
      </c>
      <c r="D2196" s="418" t="str">
        <f t="shared" si="33"/>
        <v>UBND Xã Vĩnh Lộc</v>
      </c>
      <c r="E2196" s="505" t="s">
        <v>1323</v>
      </c>
      <c r="F2196" s="505" t="s">
        <v>407</v>
      </c>
      <c r="G2196" s="415">
        <v>500</v>
      </c>
      <c r="H2196" s="371" t="s">
        <v>164</v>
      </c>
    </row>
    <row r="2197" spans="1:8" s="673" customFormat="1">
      <c r="A2197" s="309">
        <v>962</v>
      </c>
      <c r="B2197" s="687" t="s">
        <v>1338</v>
      </c>
      <c r="C2197" s="706" t="s">
        <v>5115</v>
      </c>
      <c r="D2197" s="418" t="str">
        <f t="shared" si="33"/>
        <v>UBND Xã Vĩnh Lộc</v>
      </c>
      <c r="E2197" s="505" t="s">
        <v>1323</v>
      </c>
      <c r="F2197" s="505" t="s">
        <v>407</v>
      </c>
      <c r="G2197" s="415">
        <v>500</v>
      </c>
      <c r="H2197" s="371" t="s">
        <v>164</v>
      </c>
    </row>
    <row r="2198" spans="1:8" s="673" customFormat="1">
      <c r="A2198" s="309">
        <v>963</v>
      </c>
      <c r="B2198" s="687" t="s">
        <v>1341</v>
      </c>
      <c r="C2198" s="706" t="s">
        <v>5115</v>
      </c>
      <c r="D2198" s="418" t="str">
        <f t="shared" si="33"/>
        <v>UBND Xã Vĩnh Lộc</v>
      </c>
      <c r="E2198" s="505" t="s">
        <v>1340</v>
      </c>
      <c r="F2198" s="505" t="s">
        <v>407</v>
      </c>
      <c r="G2198" s="415">
        <v>500</v>
      </c>
      <c r="H2198" s="371" t="s">
        <v>164</v>
      </c>
    </row>
    <row r="2199" spans="1:8" s="673" customFormat="1">
      <c r="A2199" s="309">
        <v>964</v>
      </c>
      <c r="B2199" s="687" t="s">
        <v>1343</v>
      </c>
      <c r="C2199" s="706" t="s">
        <v>5115</v>
      </c>
      <c r="D2199" s="418" t="str">
        <f t="shared" si="33"/>
        <v>UBND Xã Vĩnh Lộc</v>
      </c>
      <c r="E2199" s="505" t="s">
        <v>1340</v>
      </c>
      <c r="F2199" s="505" t="s">
        <v>407</v>
      </c>
      <c r="G2199" s="415">
        <v>500</v>
      </c>
      <c r="H2199" s="371" t="s">
        <v>164</v>
      </c>
    </row>
    <row r="2200" spans="1:8" s="673" customFormat="1">
      <c r="A2200" s="309">
        <v>965</v>
      </c>
      <c r="B2200" s="687" t="s">
        <v>1345</v>
      </c>
      <c r="C2200" s="706" t="s">
        <v>5115</v>
      </c>
      <c r="D2200" s="418" t="str">
        <f t="shared" si="33"/>
        <v>UBND Xã Vĩnh Lộc</v>
      </c>
      <c r="E2200" s="505" t="s">
        <v>1340</v>
      </c>
      <c r="F2200" s="505" t="s">
        <v>407</v>
      </c>
      <c r="G2200" s="415">
        <v>500</v>
      </c>
      <c r="H2200" s="371" t="s">
        <v>164</v>
      </c>
    </row>
    <row r="2201" spans="1:8" s="673" customFormat="1">
      <c r="A2201" s="309">
        <v>966</v>
      </c>
      <c r="B2201" s="687" t="s">
        <v>1347</v>
      </c>
      <c r="C2201" s="706" t="s">
        <v>5115</v>
      </c>
      <c r="D2201" s="418" t="str">
        <f t="shared" si="33"/>
        <v>UBND Xã Vĩnh Lộc</v>
      </c>
      <c r="E2201" s="505" t="s">
        <v>1340</v>
      </c>
      <c r="F2201" s="505" t="s">
        <v>407</v>
      </c>
      <c r="G2201" s="415">
        <v>500</v>
      </c>
      <c r="H2201" s="371" t="s">
        <v>164</v>
      </c>
    </row>
    <row r="2202" spans="1:8" s="673" customFormat="1">
      <c r="A2202" s="309">
        <v>967</v>
      </c>
      <c r="B2202" s="687" t="s">
        <v>1349</v>
      </c>
      <c r="C2202" s="706" t="s">
        <v>5115</v>
      </c>
      <c r="D2202" s="418" t="str">
        <f t="shared" si="33"/>
        <v>UBND Xã Vĩnh Lộc</v>
      </c>
      <c r="E2202" s="505" t="s">
        <v>1340</v>
      </c>
      <c r="F2202" s="505" t="s">
        <v>407</v>
      </c>
      <c r="G2202" s="415">
        <v>500</v>
      </c>
      <c r="H2202" s="371" t="s">
        <v>164</v>
      </c>
    </row>
    <row r="2203" spans="1:8" s="673" customFormat="1">
      <c r="A2203" s="309">
        <v>968</v>
      </c>
      <c r="B2203" s="687" t="s">
        <v>1351</v>
      </c>
      <c r="C2203" s="706" t="s">
        <v>5115</v>
      </c>
      <c r="D2203" s="418" t="str">
        <f t="shared" si="33"/>
        <v>UBND Xã Vĩnh Lộc</v>
      </c>
      <c r="E2203" s="505" t="s">
        <v>1340</v>
      </c>
      <c r="F2203" s="505" t="s">
        <v>407</v>
      </c>
      <c r="G2203" s="415">
        <v>500</v>
      </c>
      <c r="H2203" s="371" t="s">
        <v>164</v>
      </c>
    </row>
    <row r="2204" spans="1:8" s="673" customFormat="1">
      <c r="A2204" s="309">
        <v>969</v>
      </c>
      <c r="B2204" s="687" t="s">
        <v>1353</v>
      </c>
      <c r="C2204" s="706" t="s">
        <v>5115</v>
      </c>
      <c r="D2204" s="418" t="str">
        <f t="shared" si="33"/>
        <v>UBND Xã Vĩnh Lộc</v>
      </c>
      <c r="E2204" s="505" t="s">
        <v>1340</v>
      </c>
      <c r="F2204" s="505" t="s">
        <v>407</v>
      </c>
      <c r="G2204" s="415">
        <v>500</v>
      </c>
      <c r="H2204" s="371" t="s">
        <v>164</v>
      </c>
    </row>
    <row r="2205" spans="1:8" s="673" customFormat="1">
      <c r="A2205" s="309">
        <v>970</v>
      </c>
      <c r="B2205" s="687" t="s">
        <v>1355</v>
      </c>
      <c r="C2205" s="706" t="s">
        <v>5115</v>
      </c>
      <c r="D2205" s="418" t="str">
        <f t="shared" si="33"/>
        <v>UBND Xã Vĩnh Lộc</v>
      </c>
      <c r="E2205" s="505" t="s">
        <v>1340</v>
      </c>
      <c r="F2205" s="505" t="s">
        <v>407</v>
      </c>
      <c r="G2205" s="415">
        <v>500</v>
      </c>
      <c r="H2205" s="371" t="s">
        <v>164</v>
      </c>
    </row>
    <row r="2206" spans="1:8" s="673" customFormat="1">
      <c r="A2206" s="309">
        <v>971</v>
      </c>
      <c r="B2206" s="686" t="s">
        <v>2703</v>
      </c>
      <c r="C2206" s="706" t="s">
        <v>5115</v>
      </c>
      <c r="D2206" s="418" t="str">
        <f t="shared" si="33"/>
        <v>UBND Xã Vĩnh Lộc</v>
      </c>
      <c r="E2206" s="505" t="s">
        <v>2675</v>
      </c>
      <c r="F2206" s="505" t="s">
        <v>2701</v>
      </c>
      <c r="G2206" s="415">
        <v>158</v>
      </c>
      <c r="H2206" s="370"/>
    </row>
    <row r="2207" spans="1:8" s="673" customFormat="1">
      <c r="A2207" s="309">
        <v>972</v>
      </c>
      <c r="B2207" s="686" t="s">
        <v>2704</v>
      </c>
      <c r="C2207" s="706" t="s">
        <v>5115</v>
      </c>
      <c r="D2207" s="418" t="str">
        <f t="shared" si="33"/>
        <v>UBND Xã Vĩnh Lộc</v>
      </c>
      <c r="E2207" s="505" t="s">
        <v>1102</v>
      </c>
      <c r="F2207" s="505" t="s">
        <v>407</v>
      </c>
      <c r="G2207" s="415">
        <v>141</v>
      </c>
      <c r="H2207" s="370"/>
    </row>
    <row r="2208" spans="1:8" s="673" customFormat="1">
      <c r="A2208" s="309">
        <v>973</v>
      </c>
      <c r="B2208" s="686" t="s">
        <v>2705</v>
      </c>
      <c r="C2208" s="706" t="s">
        <v>5115</v>
      </c>
      <c r="D2208" s="418" t="str">
        <f t="shared" si="33"/>
        <v>UBND Xã Vĩnh Lộc</v>
      </c>
      <c r="E2208" s="505" t="s">
        <v>1102</v>
      </c>
      <c r="F2208" s="505" t="s">
        <v>407</v>
      </c>
      <c r="G2208" s="415">
        <v>107</v>
      </c>
      <c r="H2208" s="370"/>
    </row>
    <row r="2209" spans="1:8" s="673" customFormat="1">
      <c r="A2209" s="309">
        <v>974</v>
      </c>
      <c r="B2209" s="686" t="s">
        <v>2706</v>
      </c>
      <c r="C2209" s="706" t="s">
        <v>5115</v>
      </c>
      <c r="D2209" s="418" t="str">
        <f t="shared" si="33"/>
        <v>UBND Xã Vĩnh Lộc</v>
      </c>
      <c r="E2209" s="505" t="s">
        <v>1102</v>
      </c>
      <c r="F2209" s="505" t="s">
        <v>407</v>
      </c>
      <c r="G2209" s="415">
        <v>189</v>
      </c>
      <c r="H2209" s="370"/>
    </row>
    <row r="2210" spans="1:8" s="673" customFormat="1">
      <c r="A2210" s="309">
        <v>975</v>
      </c>
      <c r="B2210" s="686" t="s">
        <v>2707</v>
      </c>
      <c r="C2210" s="706" t="s">
        <v>5115</v>
      </c>
      <c r="D2210" s="418" t="str">
        <f t="shared" si="33"/>
        <v>UBND Xã Vĩnh Lộc</v>
      </c>
      <c r="E2210" s="505" t="s">
        <v>1102</v>
      </c>
      <c r="F2210" s="505" t="s">
        <v>407</v>
      </c>
      <c r="G2210" s="415">
        <v>204</v>
      </c>
      <c r="H2210" s="370"/>
    </row>
    <row r="2211" spans="1:8" s="673" customFormat="1">
      <c r="A2211" s="309">
        <v>976</v>
      </c>
      <c r="B2211" s="687" t="s">
        <v>4972</v>
      </c>
      <c r="C2211" s="706" t="s">
        <v>5110</v>
      </c>
      <c r="D2211" s="418" t="str">
        <f t="shared" si="33"/>
        <v>UBND Xã Xuân Thới Sơn</v>
      </c>
      <c r="E2211" s="505" t="s">
        <v>1491</v>
      </c>
      <c r="F2211" s="505" t="s">
        <v>407</v>
      </c>
      <c r="G2211" s="415">
        <v>500</v>
      </c>
      <c r="H2211" s="371" t="s">
        <v>164</v>
      </c>
    </row>
    <row r="2212" spans="1:8" s="673" customFormat="1">
      <c r="A2212" s="309">
        <v>977</v>
      </c>
      <c r="B2212" s="687" t="s">
        <v>4973</v>
      </c>
      <c r="C2212" s="706" t="s">
        <v>5110</v>
      </c>
      <c r="D2212" s="418" t="str">
        <f t="shared" si="33"/>
        <v>UBND Xã Xuân Thới Sơn</v>
      </c>
      <c r="E2212" s="505" t="s">
        <v>1491</v>
      </c>
      <c r="F2212" s="505" t="s">
        <v>407</v>
      </c>
      <c r="G2212" s="415">
        <v>500</v>
      </c>
      <c r="H2212" s="371" t="s">
        <v>164</v>
      </c>
    </row>
    <row r="2213" spans="1:8" s="673" customFormat="1">
      <c r="A2213" s="309">
        <v>978</v>
      </c>
      <c r="B2213" s="687" t="s">
        <v>4974</v>
      </c>
      <c r="C2213" s="706" t="s">
        <v>5110</v>
      </c>
      <c r="D2213" s="418" t="str">
        <f t="shared" si="33"/>
        <v>UBND Xã Xuân Thới Sơn</v>
      </c>
      <c r="E2213" s="505" t="s">
        <v>1491</v>
      </c>
      <c r="F2213" s="505" t="s">
        <v>407</v>
      </c>
      <c r="G2213" s="415">
        <v>100</v>
      </c>
      <c r="H2213" s="371" t="s">
        <v>164</v>
      </c>
    </row>
    <row r="2214" spans="1:8" s="673" customFormat="1">
      <c r="A2214" s="309">
        <v>979</v>
      </c>
      <c r="B2214" s="687" t="s">
        <v>4975</v>
      </c>
      <c r="C2214" s="706" t="s">
        <v>5110</v>
      </c>
      <c r="D2214" s="418" t="str">
        <f t="shared" si="33"/>
        <v>UBND Xã Xuân Thới Sơn</v>
      </c>
      <c r="E2214" s="505" t="s">
        <v>4976</v>
      </c>
      <c r="F2214" s="505" t="s">
        <v>407</v>
      </c>
      <c r="G2214" s="415">
        <v>200</v>
      </c>
      <c r="H2214" s="371" t="s">
        <v>164</v>
      </c>
    </row>
    <row r="2215" spans="1:8" s="673" customFormat="1">
      <c r="A2215" s="309">
        <v>980</v>
      </c>
      <c r="B2215" s="687" t="s">
        <v>4977</v>
      </c>
      <c r="C2215" s="706" t="s">
        <v>5110</v>
      </c>
      <c r="D2215" s="418" t="str">
        <f t="shared" si="33"/>
        <v>UBND Xã Xuân Thới Sơn</v>
      </c>
      <c r="E2215" s="505" t="s">
        <v>1604</v>
      </c>
      <c r="F2215" s="505" t="s">
        <v>407</v>
      </c>
      <c r="G2215" s="415">
        <v>500</v>
      </c>
      <c r="H2215" s="371" t="s">
        <v>164</v>
      </c>
    </row>
    <row r="2216" spans="1:8" s="673" customFormat="1">
      <c r="A2216" s="309">
        <v>981</v>
      </c>
      <c r="B2216" s="687" t="s">
        <v>4978</v>
      </c>
      <c r="C2216" s="706" t="s">
        <v>5110</v>
      </c>
      <c r="D2216" s="418" t="str">
        <f t="shared" si="33"/>
        <v>UBND Xã Xuân Thới Sơn</v>
      </c>
      <c r="E2216" s="505" t="s">
        <v>1604</v>
      </c>
      <c r="F2216" s="505" t="s">
        <v>407</v>
      </c>
      <c r="G2216" s="415">
        <v>500</v>
      </c>
      <c r="H2216" s="371" t="s">
        <v>164</v>
      </c>
    </row>
    <row r="2217" spans="1:8" s="673" customFormat="1">
      <c r="A2217" s="309">
        <v>982</v>
      </c>
      <c r="B2217" s="687" t="s">
        <v>4979</v>
      </c>
      <c r="C2217" s="706" t="s">
        <v>5110</v>
      </c>
      <c r="D2217" s="418" t="str">
        <f t="shared" si="33"/>
        <v>UBND Xã Xuân Thới Sơn</v>
      </c>
      <c r="E2217" s="505" t="s">
        <v>1604</v>
      </c>
      <c r="F2217" s="505" t="s">
        <v>407</v>
      </c>
      <c r="G2217" s="415">
        <v>500</v>
      </c>
      <c r="H2217" s="371" t="s">
        <v>164</v>
      </c>
    </row>
    <row r="2218" spans="1:8" s="673" customFormat="1">
      <c r="A2218" s="309">
        <v>983</v>
      </c>
      <c r="B2218" s="687" t="s">
        <v>4980</v>
      </c>
      <c r="C2218" s="706" t="s">
        <v>5110</v>
      </c>
      <c r="D2218" s="418" t="str">
        <f t="shared" si="33"/>
        <v>UBND Xã Xuân Thới Sơn</v>
      </c>
      <c r="E2218" s="505" t="s">
        <v>1604</v>
      </c>
      <c r="F2218" s="505" t="s">
        <v>407</v>
      </c>
      <c r="G2218" s="415">
        <v>500</v>
      </c>
      <c r="H2218" s="371" t="s">
        <v>164</v>
      </c>
    </row>
    <row r="2219" spans="1:8" s="673" customFormat="1">
      <c r="A2219" s="309">
        <v>984</v>
      </c>
      <c r="B2219" s="687" t="s">
        <v>4981</v>
      </c>
      <c r="C2219" s="706" t="s">
        <v>5110</v>
      </c>
      <c r="D2219" s="418" t="str">
        <f t="shared" si="33"/>
        <v>UBND Xã Xuân Thới Sơn</v>
      </c>
      <c r="E2219" s="505" t="s">
        <v>1604</v>
      </c>
      <c r="F2219" s="505" t="s">
        <v>407</v>
      </c>
      <c r="G2219" s="415">
        <v>500</v>
      </c>
      <c r="H2219" s="371" t="s">
        <v>164</v>
      </c>
    </row>
    <row r="2220" spans="1:8" s="673" customFormat="1">
      <c r="A2220" s="309">
        <v>985</v>
      </c>
      <c r="B2220" s="687" t="s">
        <v>4982</v>
      </c>
      <c r="C2220" s="706" t="s">
        <v>5110</v>
      </c>
      <c r="D2220" s="418" t="str">
        <f t="shared" si="33"/>
        <v>UBND Xã Xuân Thới Sơn</v>
      </c>
      <c r="E2220" s="505" t="s">
        <v>1604</v>
      </c>
      <c r="F2220" s="505" t="s">
        <v>407</v>
      </c>
      <c r="G2220" s="415">
        <v>600</v>
      </c>
      <c r="H2220" s="371" t="s">
        <v>164</v>
      </c>
    </row>
    <row r="2221" spans="1:8" s="673" customFormat="1">
      <c r="A2221" s="309">
        <v>986</v>
      </c>
      <c r="B2221" s="687" t="s">
        <v>4983</v>
      </c>
      <c r="C2221" s="706" t="s">
        <v>5110</v>
      </c>
      <c r="D2221" s="418" t="str">
        <f t="shared" si="33"/>
        <v>UBND Xã Xuân Thới Sơn</v>
      </c>
      <c r="E2221" s="505" t="s">
        <v>1604</v>
      </c>
      <c r="F2221" s="505" t="s">
        <v>407</v>
      </c>
      <c r="G2221" s="415">
        <v>350</v>
      </c>
      <c r="H2221" s="371" t="s">
        <v>164</v>
      </c>
    </row>
    <row r="2222" spans="1:8" s="673" customFormat="1">
      <c r="A2222" s="309">
        <v>987</v>
      </c>
      <c r="B2222" s="687" t="s">
        <v>4984</v>
      </c>
      <c r="C2222" s="706" t="s">
        <v>5110</v>
      </c>
      <c r="D2222" s="418" t="str">
        <f t="shared" si="33"/>
        <v>UBND Xã Xuân Thới Sơn</v>
      </c>
      <c r="E2222" s="505" t="s">
        <v>1604</v>
      </c>
      <c r="F2222" s="505" t="s">
        <v>407</v>
      </c>
      <c r="G2222" s="415">
        <v>400</v>
      </c>
      <c r="H2222" s="371" t="s">
        <v>164</v>
      </c>
    </row>
    <row r="2223" spans="1:8" s="673" customFormat="1">
      <c r="A2223" s="309">
        <v>988</v>
      </c>
      <c r="B2223" s="687" t="s">
        <v>1610</v>
      </c>
      <c r="C2223" s="706" t="s">
        <v>5110</v>
      </c>
      <c r="D2223" s="418" t="str">
        <f t="shared" ref="D2223:D2239" si="34">"UBND "&amp;C2223</f>
        <v>UBND Xã Xuân Thới Sơn</v>
      </c>
      <c r="E2223" s="505" t="s">
        <v>1611</v>
      </c>
      <c r="F2223" s="505" t="s">
        <v>407</v>
      </c>
      <c r="G2223" s="415">
        <v>550</v>
      </c>
      <c r="H2223" s="371" t="s">
        <v>164</v>
      </c>
    </row>
    <row r="2224" spans="1:8" s="673" customFormat="1">
      <c r="A2224" s="309">
        <v>989</v>
      </c>
      <c r="B2224" s="687" t="s">
        <v>1613</v>
      </c>
      <c r="C2224" s="706" t="s">
        <v>5110</v>
      </c>
      <c r="D2224" s="418" t="str">
        <f t="shared" si="34"/>
        <v>UBND Xã Xuân Thới Sơn</v>
      </c>
      <c r="E2224" s="505" t="s">
        <v>1611</v>
      </c>
      <c r="F2224" s="505" t="s">
        <v>407</v>
      </c>
      <c r="G2224" s="415">
        <v>600</v>
      </c>
      <c r="H2224" s="371" t="s">
        <v>164</v>
      </c>
    </row>
    <row r="2225" spans="1:8" s="673" customFormat="1">
      <c r="A2225" s="309">
        <v>990</v>
      </c>
      <c r="B2225" s="687" t="s">
        <v>4985</v>
      </c>
      <c r="C2225" s="706" t="s">
        <v>5110</v>
      </c>
      <c r="D2225" s="418" t="str">
        <f t="shared" si="34"/>
        <v>UBND Xã Xuân Thới Sơn</v>
      </c>
      <c r="E2225" s="505" t="s">
        <v>1626</v>
      </c>
      <c r="F2225" s="505" t="s">
        <v>407</v>
      </c>
      <c r="G2225" s="415">
        <v>500</v>
      </c>
      <c r="H2225" s="371" t="s">
        <v>164</v>
      </c>
    </row>
    <row r="2226" spans="1:8" s="673" customFormat="1">
      <c r="A2226" s="309">
        <v>991</v>
      </c>
      <c r="B2226" s="687" t="s">
        <v>4986</v>
      </c>
      <c r="C2226" s="706" t="s">
        <v>5110</v>
      </c>
      <c r="D2226" s="418" t="str">
        <f t="shared" si="34"/>
        <v>UBND Xã Xuân Thới Sơn</v>
      </c>
      <c r="E2226" s="505" t="s">
        <v>1626</v>
      </c>
      <c r="F2226" s="505" t="s">
        <v>407</v>
      </c>
      <c r="G2226" s="415">
        <v>500</v>
      </c>
      <c r="H2226" s="371" t="s">
        <v>164</v>
      </c>
    </row>
    <row r="2227" spans="1:8" s="673" customFormat="1">
      <c r="A2227" s="309">
        <v>992</v>
      </c>
      <c r="B2227" s="687" t="s">
        <v>4987</v>
      </c>
      <c r="C2227" s="706" t="s">
        <v>5110</v>
      </c>
      <c r="D2227" s="418" t="str">
        <f t="shared" si="34"/>
        <v>UBND Xã Xuân Thới Sơn</v>
      </c>
      <c r="E2227" s="505" t="s">
        <v>1626</v>
      </c>
      <c r="F2227" s="505" t="s">
        <v>407</v>
      </c>
      <c r="G2227" s="415">
        <v>500</v>
      </c>
      <c r="H2227" s="371" t="s">
        <v>164</v>
      </c>
    </row>
    <row r="2228" spans="1:8" s="673" customFormat="1">
      <c r="A2228" s="309">
        <v>993</v>
      </c>
      <c r="B2228" s="687" t="s">
        <v>4988</v>
      </c>
      <c r="C2228" s="706" t="s">
        <v>5110</v>
      </c>
      <c r="D2228" s="418" t="str">
        <f t="shared" si="34"/>
        <v>UBND Xã Xuân Thới Sơn</v>
      </c>
      <c r="E2228" s="505" t="s">
        <v>1626</v>
      </c>
      <c r="F2228" s="505" t="s">
        <v>407</v>
      </c>
      <c r="G2228" s="415">
        <v>500</v>
      </c>
      <c r="H2228" s="371" t="s">
        <v>164</v>
      </c>
    </row>
    <row r="2229" spans="1:8" s="673" customFormat="1">
      <c r="A2229" s="309">
        <v>994</v>
      </c>
      <c r="B2229" s="687" t="s">
        <v>1625</v>
      </c>
      <c r="C2229" s="706" t="s">
        <v>5110</v>
      </c>
      <c r="D2229" s="418" t="str">
        <f t="shared" si="34"/>
        <v>UBND Xã Xuân Thới Sơn</v>
      </c>
      <c r="E2229" s="505" t="s">
        <v>1626</v>
      </c>
      <c r="F2229" s="505" t="s">
        <v>407</v>
      </c>
      <c r="G2229" s="415">
        <v>300</v>
      </c>
      <c r="H2229" s="371" t="s">
        <v>164</v>
      </c>
    </row>
    <row r="2230" spans="1:8" s="673" customFormat="1">
      <c r="A2230" s="309">
        <v>995</v>
      </c>
      <c r="B2230" s="687" t="s">
        <v>1627</v>
      </c>
      <c r="C2230" s="706" t="s">
        <v>5110</v>
      </c>
      <c r="D2230" s="418" t="str">
        <f t="shared" si="34"/>
        <v>UBND Xã Xuân Thới Sơn</v>
      </c>
      <c r="E2230" s="505" t="s">
        <v>1626</v>
      </c>
      <c r="F2230" s="505" t="s">
        <v>407</v>
      </c>
      <c r="G2230" s="415">
        <v>500</v>
      </c>
      <c r="H2230" s="371" t="s">
        <v>164</v>
      </c>
    </row>
    <row r="2231" spans="1:8" s="673" customFormat="1">
      <c r="A2231" s="309">
        <v>996</v>
      </c>
      <c r="B2231" s="687" t="s">
        <v>4989</v>
      </c>
      <c r="C2231" s="706" t="s">
        <v>5110</v>
      </c>
      <c r="D2231" s="418" t="str">
        <f t="shared" si="34"/>
        <v>UBND Xã Xuân Thới Sơn</v>
      </c>
      <c r="E2231" s="505" t="s">
        <v>1626</v>
      </c>
      <c r="F2231" s="505" t="s">
        <v>407</v>
      </c>
      <c r="G2231" s="415">
        <v>350</v>
      </c>
      <c r="H2231" s="371" t="s">
        <v>164</v>
      </c>
    </row>
    <row r="2232" spans="1:8" s="673" customFormat="1">
      <c r="A2232" s="309">
        <v>997</v>
      </c>
      <c r="B2232" s="687" t="s">
        <v>1628</v>
      </c>
      <c r="C2232" s="706" t="s">
        <v>5110</v>
      </c>
      <c r="D2232" s="418" t="str">
        <f t="shared" si="34"/>
        <v>UBND Xã Xuân Thới Sơn</v>
      </c>
      <c r="E2232" s="505" t="s">
        <v>1629</v>
      </c>
      <c r="F2232" s="505" t="s">
        <v>407</v>
      </c>
      <c r="G2232" s="415">
        <v>500</v>
      </c>
      <c r="H2232" s="371" t="s">
        <v>164</v>
      </c>
    </row>
    <row r="2233" spans="1:8" s="673" customFormat="1">
      <c r="A2233" s="309">
        <v>998</v>
      </c>
      <c r="B2233" s="687" t="s">
        <v>1515</v>
      </c>
      <c r="C2233" s="706" t="s">
        <v>5110</v>
      </c>
      <c r="D2233" s="418" t="str">
        <f t="shared" si="34"/>
        <v>UBND Xã Xuân Thới Sơn</v>
      </c>
      <c r="E2233" s="505" t="s">
        <v>1511</v>
      </c>
      <c r="F2233" s="505" t="s">
        <v>407</v>
      </c>
      <c r="G2233" s="415">
        <v>500</v>
      </c>
      <c r="H2233" s="371" t="s">
        <v>164</v>
      </c>
    </row>
    <row r="2234" spans="1:8" s="673" customFormat="1">
      <c r="A2234" s="309">
        <v>999</v>
      </c>
      <c r="B2234" s="687" t="s">
        <v>1517</v>
      </c>
      <c r="C2234" s="706" t="s">
        <v>5110</v>
      </c>
      <c r="D2234" s="418" t="str">
        <f t="shared" si="34"/>
        <v>UBND Xã Xuân Thới Sơn</v>
      </c>
      <c r="E2234" s="505" t="s">
        <v>1511</v>
      </c>
      <c r="F2234" s="505" t="s">
        <v>4990</v>
      </c>
      <c r="G2234" s="415">
        <v>500</v>
      </c>
      <c r="H2234" s="371" t="s">
        <v>164</v>
      </c>
    </row>
    <row r="2235" spans="1:8" s="673" customFormat="1">
      <c r="A2235" s="309">
        <v>1000</v>
      </c>
      <c r="B2235" s="687" t="s">
        <v>1518</v>
      </c>
      <c r="C2235" s="706" t="s">
        <v>5110</v>
      </c>
      <c r="D2235" s="418" t="str">
        <f t="shared" si="34"/>
        <v>UBND Xã Xuân Thới Sơn</v>
      </c>
      <c r="E2235" s="505" t="s">
        <v>1511</v>
      </c>
      <c r="F2235" s="505" t="s">
        <v>407</v>
      </c>
      <c r="G2235" s="415">
        <v>500</v>
      </c>
      <c r="H2235" s="371" t="s">
        <v>164</v>
      </c>
    </row>
    <row r="2236" spans="1:8" s="673" customFormat="1">
      <c r="A2236" s="309">
        <v>1001</v>
      </c>
      <c r="B2236" s="687" t="s">
        <v>1521</v>
      </c>
      <c r="C2236" s="706" t="s">
        <v>5110</v>
      </c>
      <c r="D2236" s="418" t="str">
        <f t="shared" si="34"/>
        <v>UBND Xã Xuân Thới Sơn</v>
      </c>
      <c r="E2236" s="505" t="s">
        <v>1512</v>
      </c>
      <c r="F2236" s="505" t="s">
        <v>407</v>
      </c>
      <c r="G2236" s="415">
        <v>400</v>
      </c>
      <c r="H2236" s="371" t="s">
        <v>164</v>
      </c>
    </row>
    <row r="2237" spans="1:8" s="673" customFormat="1">
      <c r="A2237" s="309">
        <v>1002</v>
      </c>
      <c r="B2237" s="687" t="s">
        <v>1523</v>
      </c>
      <c r="C2237" s="706" t="s">
        <v>5110</v>
      </c>
      <c r="D2237" s="418" t="str">
        <f t="shared" si="34"/>
        <v>UBND Xã Xuân Thới Sơn</v>
      </c>
      <c r="E2237" s="505" t="s">
        <v>1512</v>
      </c>
      <c r="F2237" s="505" t="s">
        <v>407</v>
      </c>
      <c r="G2237" s="415">
        <v>300</v>
      </c>
      <c r="H2237" s="371" t="s">
        <v>164</v>
      </c>
    </row>
    <row r="2238" spans="1:8" s="673" customFormat="1">
      <c r="A2238" s="309">
        <v>1003</v>
      </c>
      <c r="B2238" s="687" t="s">
        <v>1524</v>
      </c>
      <c r="C2238" s="706" t="s">
        <v>5110</v>
      </c>
      <c r="D2238" s="418" t="str">
        <f t="shared" si="34"/>
        <v>UBND Xã Xuân Thới Sơn</v>
      </c>
      <c r="E2238" s="505" t="s">
        <v>1513</v>
      </c>
      <c r="F2238" s="505" t="s">
        <v>407</v>
      </c>
      <c r="G2238" s="415">
        <v>200</v>
      </c>
      <c r="H2238" s="371" t="s">
        <v>164</v>
      </c>
    </row>
    <row r="2239" spans="1:8" s="673" customFormat="1">
      <c r="A2239" s="309">
        <v>1004</v>
      </c>
      <c r="B2239" s="687" t="s">
        <v>1525</v>
      </c>
      <c r="C2239" s="706" t="s">
        <v>5110</v>
      </c>
      <c r="D2239" s="418" t="str">
        <f t="shared" si="34"/>
        <v>UBND Xã Xuân Thới Sơn</v>
      </c>
      <c r="E2239" s="505" t="s">
        <v>1513</v>
      </c>
      <c r="F2239" s="505" t="s">
        <v>407</v>
      </c>
      <c r="G2239" s="415">
        <v>500</v>
      </c>
      <c r="H2239" s="371" t="s">
        <v>164</v>
      </c>
    </row>
    <row r="2240" spans="1:8">
      <c r="A2240" s="606" t="s">
        <v>1114</v>
      </c>
      <c r="B2240" s="690" t="s">
        <v>5286</v>
      </c>
      <c r="C2240" s="677"/>
      <c r="D2240" s="601"/>
      <c r="E2240" s="607"/>
      <c r="F2240" s="607"/>
      <c r="G2240" s="672">
        <f>SUM(G2241:G2694)</f>
        <v>587887.54</v>
      </c>
      <c r="H2240" s="691"/>
    </row>
    <row r="2241" spans="1:8">
      <c r="A2241" s="268">
        <v>1</v>
      </c>
      <c r="B2241" s="267" t="s">
        <v>8428</v>
      </c>
      <c r="C2241" s="268" t="s">
        <v>6521</v>
      </c>
      <c r="D2241" s="692" t="s">
        <v>8449</v>
      </c>
      <c r="E2241" s="268" t="s">
        <v>8429</v>
      </c>
      <c r="F2241" s="268" t="s">
        <v>8430</v>
      </c>
      <c r="G2241" s="487">
        <v>5200</v>
      </c>
      <c r="H2241" s="268">
        <v>5</v>
      </c>
    </row>
    <row r="2242" spans="1:8">
      <c r="A2242" s="268">
        <v>2</v>
      </c>
      <c r="B2242" s="267" t="s">
        <v>8431</v>
      </c>
      <c r="C2242" s="268" t="s">
        <v>6521</v>
      </c>
      <c r="D2242" s="692" t="s">
        <v>8449</v>
      </c>
      <c r="E2242" s="268" t="s">
        <v>8432</v>
      </c>
      <c r="F2242" s="268" t="s">
        <v>8433</v>
      </c>
      <c r="G2242" s="487">
        <v>5500</v>
      </c>
      <c r="H2242" s="268">
        <v>6.5</v>
      </c>
    </row>
    <row r="2243" spans="1:8">
      <c r="A2243" s="268">
        <v>3</v>
      </c>
      <c r="B2243" s="267" t="s">
        <v>8434</v>
      </c>
      <c r="C2243" s="268" t="s">
        <v>6521</v>
      </c>
      <c r="D2243" s="692" t="s">
        <v>8449</v>
      </c>
      <c r="E2243" s="268" t="s">
        <v>8435</v>
      </c>
      <c r="F2243" s="268" t="s">
        <v>8436</v>
      </c>
      <c r="G2243" s="487">
        <v>1100</v>
      </c>
      <c r="H2243" s="268">
        <v>4</v>
      </c>
    </row>
    <row r="2244" spans="1:8">
      <c r="A2244" s="268">
        <v>4</v>
      </c>
      <c r="B2244" s="267" t="s">
        <v>8437</v>
      </c>
      <c r="C2244" s="268" t="s">
        <v>6521</v>
      </c>
      <c r="D2244" s="692" t="s">
        <v>8449</v>
      </c>
      <c r="E2244" s="268" t="s">
        <v>8438</v>
      </c>
      <c r="F2244" s="268" t="s">
        <v>8439</v>
      </c>
      <c r="G2244" s="487">
        <v>700</v>
      </c>
      <c r="H2244" s="268">
        <v>4</v>
      </c>
    </row>
    <row r="2245" spans="1:8">
      <c r="A2245" s="268">
        <v>5</v>
      </c>
      <c r="B2245" s="267" t="s">
        <v>8440</v>
      </c>
      <c r="C2245" s="268" t="s">
        <v>6521</v>
      </c>
      <c r="D2245" s="692" t="s">
        <v>8449</v>
      </c>
      <c r="E2245" s="268" t="s">
        <v>8441</v>
      </c>
      <c r="F2245" s="268" t="s">
        <v>8442</v>
      </c>
      <c r="G2245" s="487">
        <v>3000</v>
      </c>
      <c r="H2245" s="268">
        <v>5</v>
      </c>
    </row>
    <row r="2246" spans="1:8">
      <c r="A2246" s="268">
        <v>6</v>
      </c>
      <c r="B2246" s="267" t="s">
        <v>8443</v>
      </c>
      <c r="C2246" s="268" t="s">
        <v>6521</v>
      </c>
      <c r="D2246" s="692" t="s">
        <v>8449</v>
      </c>
      <c r="E2246" s="268" t="s">
        <v>8444</v>
      </c>
      <c r="F2246" s="268" t="s">
        <v>8445</v>
      </c>
      <c r="G2246" s="487">
        <v>6000</v>
      </c>
      <c r="H2246" s="268">
        <v>5</v>
      </c>
    </row>
    <row r="2247" spans="1:8">
      <c r="A2247" s="268">
        <v>7</v>
      </c>
      <c r="B2247" s="267" t="s">
        <v>8446</v>
      </c>
      <c r="C2247" s="268" t="s">
        <v>6521</v>
      </c>
      <c r="D2247" s="692" t="s">
        <v>8449</v>
      </c>
      <c r="E2247" s="268" t="s">
        <v>8447</v>
      </c>
      <c r="F2247" s="268" t="s">
        <v>8448</v>
      </c>
      <c r="G2247" s="487">
        <v>4400</v>
      </c>
      <c r="H2247" s="268">
        <v>4</v>
      </c>
    </row>
    <row r="2248" spans="1:8" ht="33">
      <c r="A2248" s="268">
        <v>8</v>
      </c>
      <c r="B2248" s="423" t="s">
        <v>5906</v>
      </c>
      <c r="C2248" s="290" t="s">
        <v>5928</v>
      </c>
      <c r="D2248" s="427" t="s">
        <v>5903</v>
      </c>
      <c r="E2248" s="290" t="s">
        <v>5907</v>
      </c>
      <c r="F2248" s="290" t="s">
        <v>5908</v>
      </c>
      <c r="G2248" s="415">
        <v>3000</v>
      </c>
      <c r="H2248" s="700" t="s">
        <v>9093</v>
      </c>
    </row>
    <row r="2249" spans="1:8">
      <c r="A2249" s="268">
        <v>9</v>
      </c>
      <c r="B2249" s="271" t="s">
        <v>5909</v>
      </c>
      <c r="C2249" s="290" t="s">
        <v>5928</v>
      </c>
      <c r="D2249" s="427" t="s">
        <v>5903</v>
      </c>
      <c r="E2249" s="290" t="s">
        <v>5910</v>
      </c>
      <c r="F2249" s="290" t="s">
        <v>5911</v>
      </c>
      <c r="G2249" s="415">
        <v>9000</v>
      </c>
      <c r="H2249" s="700" t="s">
        <v>9079</v>
      </c>
    </row>
    <row r="2250" spans="1:8">
      <c r="A2250" s="268">
        <v>10</v>
      </c>
      <c r="B2250" s="271" t="s">
        <v>5912</v>
      </c>
      <c r="C2250" s="290" t="s">
        <v>5928</v>
      </c>
      <c r="D2250" s="427" t="s">
        <v>5903</v>
      </c>
      <c r="E2250" s="290" t="s">
        <v>5913</v>
      </c>
      <c r="F2250" s="290" t="s">
        <v>5914</v>
      </c>
      <c r="G2250" s="415">
        <v>9000</v>
      </c>
      <c r="H2250" s="302">
        <v>10</v>
      </c>
    </row>
    <row r="2251" spans="1:8">
      <c r="A2251" s="268">
        <v>11</v>
      </c>
      <c r="B2251" s="271" t="s">
        <v>5915</v>
      </c>
      <c r="C2251" s="290" t="s">
        <v>5928</v>
      </c>
      <c r="D2251" s="427" t="s">
        <v>5903</v>
      </c>
      <c r="E2251" s="290" t="s">
        <v>5916</v>
      </c>
      <c r="F2251" s="290" t="s">
        <v>5917</v>
      </c>
      <c r="G2251" s="415">
        <v>10000</v>
      </c>
      <c r="H2251" s="302">
        <v>10</v>
      </c>
    </row>
    <row r="2252" spans="1:8" ht="33">
      <c r="A2252" s="268">
        <v>12</v>
      </c>
      <c r="B2252" s="271" t="s">
        <v>5918</v>
      </c>
      <c r="C2252" s="290" t="s">
        <v>5928</v>
      </c>
      <c r="D2252" s="427" t="s">
        <v>5903</v>
      </c>
      <c r="E2252" s="290" t="s">
        <v>5919</v>
      </c>
      <c r="F2252" s="290" t="s">
        <v>5920</v>
      </c>
      <c r="G2252" s="415">
        <v>3300</v>
      </c>
      <c r="H2252" s="700" t="s">
        <v>9079</v>
      </c>
    </row>
    <row r="2253" spans="1:8">
      <c r="A2253" s="268">
        <v>13</v>
      </c>
      <c r="B2253" s="271" t="s">
        <v>5921</v>
      </c>
      <c r="C2253" s="290" t="s">
        <v>5928</v>
      </c>
      <c r="D2253" s="427" t="s">
        <v>5903</v>
      </c>
      <c r="E2253" s="290" t="s">
        <v>5922</v>
      </c>
      <c r="F2253" s="290" t="s">
        <v>5923</v>
      </c>
      <c r="G2253" s="415">
        <v>6510</v>
      </c>
      <c r="H2253" s="693" t="s">
        <v>191</v>
      </c>
    </row>
    <row r="2254" spans="1:8">
      <c r="A2254" s="268">
        <v>14</v>
      </c>
      <c r="B2254" s="271" t="s">
        <v>5924</v>
      </c>
      <c r="C2254" s="290" t="s">
        <v>5928</v>
      </c>
      <c r="D2254" s="427" t="s">
        <v>5903</v>
      </c>
      <c r="E2254" s="290" t="s">
        <v>5925</v>
      </c>
      <c r="F2254" s="290" t="s">
        <v>5926</v>
      </c>
      <c r="G2254" s="415">
        <v>2720</v>
      </c>
      <c r="H2254" s="693" t="s">
        <v>9112</v>
      </c>
    </row>
    <row r="2255" spans="1:8">
      <c r="A2255" s="268">
        <v>15</v>
      </c>
      <c r="B2255" s="271" t="s">
        <v>2957</v>
      </c>
      <c r="C2255" s="290" t="s">
        <v>5083</v>
      </c>
      <c r="D2255" s="290" t="s">
        <v>6206</v>
      </c>
      <c r="E2255" s="290" t="s">
        <v>6160</v>
      </c>
      <c r="F2255" s="290" t="s">
        <v>6161</v>
      </c>
      <c r="G2255" s="415">
        <v>759</v>
      </c>
      <c r="H2255" s="290">
        <v>15</v>
      </c>
    </row>
    <row r="2256" spans="1:8">
      <c r="A2256" s="268">
        <v>16</v>
      </c>
      <c r="B2256" s="271" t="s">
        <v>3428</v>
      </c>
      <c r="C2256" s="290" t="s">
        <v>5083</v>
      </c>
      <c r="D2256" s="290" t="s">
        <v>6206</v>
      </c>
      <c r="E2256" s="290" t="s">
        <v>6162</v>
      </c>
      <c r="F2256" s="290" t="s">
        <v>6163</v>
      </c>
      <c r="G2256" s="415">
        <v>212</v>
      </c>
      <c r="H2256" s="290">
        <v>3</v>
      </c>
    </row>
    <row r="2257" spans="1:8">
      <c r="A2257" s="268">
        <v>17</v>
      </c>
      <c r="B2257" s="271" t="s">
        <v>6164</v>
      </c>
      <c r="C2257" s="290" t="s">
        <v>5083</v>
      </c>
      <c r="D2257" s="290" t="s">
        <v>6206</v>
      </c>
      <c r="E2257" s="290" t="s">
        <v>6165</v>
      </c>
      <c r="F2257" s="290" t="s">
        <v>6163</v>
      </c>
      <c r="G2257" s="415">
        <v>620</v>
      </c>
      <c r="H2257" s="290">
        <v>3</v>
      </c>
    </row>
    <row r="2258" spans="1:8">
      <c r="A2258" s="268">
        <v>18</v>
      </c>
      <c r="B2258" s="271" t="s">
        <v>6166</v>
      </c>
      <c r="C2258" s="290" t="s">
        <v>5083</v>
      </c>
      <c r="D2258" s="290" t="s">
        <v>6206</v>
      </c>
      <c r="E2258" s="290" t="s">
        <v>6167</v>
      </c>
      <c r="F2258" s="290" t="s">
        <v>2957</v>
      </c>
      <c r="G2258" s="415">
        <v>263</v>
      </c>
      <c r="H2258" s="290">
        <v>4</v>
      </c>
    </row>
    <row r="2259" spans="1:8">
      <c r="A2259" s="268">
        <v>19</v>
      </c>
      <c r="B2259" s="271" t="s">
        <v>6168</v>
      </c>
      <c r="C2259" s="290" t="s">
        <v>5083</v>
      </c>
      <c r="D2259" s="290" t="s">
        <v>6206</v>
      </c>
      <c r="E2259" s="290" t="s">
        <v>6169</v>
      </c>
      <c r="F2259" s="290" t="s">
        <v>6170</v>
      </c>
      <c r="G2259" s="415">
        <v>827</v>
      </c>
      <c r="H2259" s="290">
        <v>4</v>
      </c>
    </row>
    <row r="2260" spans="1:8">
      <c r="A2260" s="268">
        <v>20</v>
      </c>
      <c r="B2260" s="271" t="s">
        <v>6171</v>
      </c>
      <c r="C2260" s="290" t="s">
        <v>5083</v>
      </c>
      <c r="D2260" s="290" t="s">
        <v>6206</v>
      </c>
      <c r="E2260" s="290" t="s">
        <v>6172</v>
      </c>
      <c r="F2260" s="290" t="s">
        <v>6163</v>
      </c>
      <c r="G2260" s="415">
        <v>1958</v>
      </c>
      <c r="H2260" s="290">
        <v>8</v>
      </c>
    </row>
    <row r="2261" spans="1:8">
      <c r="A2261" s="268">
        <v>21</v>
      </c>
      <c r="B2261" s="271" t="s">
        <v>6173</v>
      </c>
      <c r="C2261" s="290" t="s">
        <v>5083</v>
      </c>
      <c r="D2261" s="290" t="s">
        <v>6206</v>
      </c>
      <c r="E2261" s="290" t="s">
        <v>433</v>
      </c>
      <c r="F2261" s="290" t="s">
        <v>6174</v>
      </c>
      <c r="G2261" s="415">
        <v>382</v>
      </c>
      <c r="H2261" s="290">
        <v>7</v>
      </c>
    </row>
    <row r="2262" spans="1:8">
      <c r="A2262" s="268">
        <v>22</v>
      </c>
      <c r="B2262" s="271" t="s">
        <v>6175</v>
      </c>
      <c r="C2262" s="290" t="s">
        <v>5083</v>
      </c>
      <c r="D2262" s="290" t="s">
        <v>6206</v>
      </c>
      <c r="E2262" s="290" t="s">
        <v>433</v>
      </c>
      <c r="F2262" s="290" t="s">
        <v>6174</v>
      </c>
      <c r="G2262" s="415">
        <v>172</v>
      </c>
      <c r="H2262" s="290">
        <v>5</v>
      </c>
    </row>
    <row r="2263" spans="1:8">
      <c r="A2263" s="268">
        <v>23</v>
      </c>
      <c r="B2263" s="271" t="s">
        <v>6176</v>
      </c>
      <c r="C2263" s="290" t="s">
        <v>5083</v>
      </c>
      <c r="D2263" s="290" t="s">
        <v>6206</v>
      </c>
      <c r="E2263" s="290" t="s">
        <v>433</v>
      </c>
      <c r="F2263" s="290" t="s">
        <v>6177</v>
      </c>
      <c r="G2263" s="415">
        <v>297</v>
      </c>
      <c r="H2263" s="290">
        <v>8</v>
      </c>
    </row>
    <row r="2264" spans="1:8">
      <c r="A2264" s="268">
        <v>24</v>
      </c>
      <c r="B2264" s="271" t="s">
        <v>6178</v>
      </c>
      <c r="C2264" s="290" t="s">
        <v>5083</v>
      </c>
      <c r="D2264" s="290" t="s">
        <v>6206</v>
      </c>
      <c r="E2264" s="290" t="s">
        <v>433</v>
      </c>
      <c r="F2264" s="290" t="s">
        <v>6179</v>
      </c>
      <c r="G2264" s="415">
        <v>55</v>
      </c>
      <c r="H2264" s="290">
        <v>6</v>
      </c>
    </row>
    <row r="2265" spans="1:8">
      <c r="A2265" s="268">
        <v>25</v>
      </c>
      <c r="B2265" s="271" t="s">
        <v>6180</v>
      </c>
      <c r="C2265" s="290" t="s">
        <v>5083</v>
      </c>
      <c r="D2265" s="290" t="s">
        <v>6206</v>
      </c>
      <c r="E2265" s="290" t="s">
        <v>6181</v>
      </c>
      <c r="F2265" s="290" t="s">
        <v>6182</v>
      </c>
      <c r="G2265" s="415">
        <v>307</v>
      </c>
      <c r="H2265" s="290">
        <v>5</v>
      </c>
    </row>
    <row r="2266" spans="1:8">
      <c r="A2266" s="268">
        <v>26</v>
      </c>
      <c r="B2266" s="271" t="s">
        <v>6183</v>
      </c>
      <c r="C2266" s="290" t="s">
        <v>5083</v>
      </c>
      <c r="D2266" s="290" t="s">
        <v>6206</v>
      </c>
      <c r="E2266" s="290" t="s">
        <v>433</v>
      </c>
      <c r="F2266" s="290" t="s">
        <v>6184</v>
      </c>
      <c r="G2266" s="415">
        <v>368</v>
      </c>
      <c r="H2266" s="290">
        <v>7</v>
      </c>
    </row>
    <row r="2267" spans="1:8">
      <c r="A2267" s="268">
        <v>27</v>
      </c>
      <c r="B2267" s="271" t="s">
        <v>6185</v>
      </c>
      <c r="C2267" s="290" t="s">
        <v>5083</v>
      </c>
      <c r="D2267" s="290" t="s">
        <v>6206</v>
      </c>
      <c r="E2267" s="290" t="s">
        <v>6181</v>
      </c>
      <c r="F2267" s="290" t="s">
        <v>3967</v>
      </c>
      <c r="G2267" s="415">
        <v>397</v>
      </c>
      <c r="H2267" s="290">
        <v>4</v>
      </c>
    </row>
    <row r="2268" spans="1:8">
      <c r="A2268" s="268">
        <v>28</v>
      </c>
      <c r="B2268" s="271" t="s">
        <v>6186</v>
      </c>
      <c r="C2268" s="290" t="s">
        <v>5083</v>
      </c>
      <c r="D2268" s="290" t="s">
        <v>6206</v>
      </c>
      <c r="E2268" s="290" t="s">
        <v>6181</v>
      </c>
      <c r="F2268" s="290" t="s">
        <v>6187</v>
      </c>
      <c r="G2268" s="415">
        <v>350</v>
      </c>
      <c r="H2268" s="290">
        <v>12</v>
      </c>
    </row>
    <row r="2269" spans="1:8">
      <c r="A2269" s="268">
        <v>29</v>
      </c>
      <c r="B2269" s="271" t="s">
        <v>6188</v>
      </c>
      <c r="C2269" s="290" t="s">
        <v>5083</v>
      </c>
      <c r="D2269" s="290" t="s">
        <v>6206</v>
      </c>
      <c r="E2269" s="290" t="s">
        <v>6189</v>
      </c>
      <c r="F2269" s="290" t="s">
        <v>5851</v>
      </c>
      <c r="G2269" s="415">
        <v>863</v>
      </c>
      <c r="H2269" s="290">
        <v>8</v>
      </c>
    </row>
    <row r="2270" spans="1:8">
      <c r="A2270" s="268">
        <v>30</v>
      </c>
      <c r="B2270" s="271" t="s">
        <v>6190</v>
      </c>
      <c r="C2270" s="290" t="s">
        <v>5083</v>
      </c>
      <c r="D2270" s="290" t="s">
        <v>6206</v>
      </c>
      <c r="E2270" s="290" t="s">
        <v>5796</v>
      </c>
      <c r="F2270" s="290" t="s">
        <v>6191</v>
      </c>
      <c r="G2270" s="415">
        <v>198</v>
      </c>
      <c r="H2270" s="290">
        <v>6</v>
      </c>
    </row>
    <row r="2271" spans="1:8">
      <c r="A2271" s="268">
        <v>31</v>
      </c>
      <c r="B2271" s="271" t="s">
        <v>6192</v>
      </c>
      <c r="C2271" s="290" t="s">
        <v>5083</v>
      </c>
      <c r="D2271" s="290" t="s">
        <v>6206</v>
      </c>
      <c r="E2271" s="290" t="s">
        <v>433</v>
      </c>
      <c r="F2271" s="290" t="s">
        <v>6193</v>
      </c>
      <c r="G2271" s="415">
        <v>250</v>
      </c>
      <c r="H2271" s="290">
        <v>6</v>
      </c>
    </row>
    <row r="2272" spans="1:8">
      <c r="A2272" s="268">
        <v>32</v>
      </c>
      <c r="B2272" s="271" t="s">
        <v>6194</v>
      </c>
      <c r="C2272" s="290" t="s">
        <v>5083</v>
      </c>
      <c r="D2272" s="290" t="s">
        <v>6206</v>
      </c>
      <c r="E2272" s="290" t="s">
        <v>433</v>
      </c>
      <c r="F2272" s="290" t="s">
        <v>6195</v>
      </c>
      <c r="G2272" s="415">
        <v>248</v>
      </c>
      <c r="H2272" s="290">
        <v>6</v>
      </c>
    </row>
    <row r="2273" spans="1:8">
      <c r="A2273" s="268">
        <v>33</v>
      </c>
      <c r="B2273" s="271" t="s">
        <v>6196</v>
      </c>
      <c r="C2273" s="290" t="s">
        <v>5083</v>
      </c>
      <c r="D2273" s="290" t="s">
        <v>6206</v>
      </c>
      <c r="E2273" s="290" t="s">
        <v>6197</v>
      </c>
      <c r="F2273" s="290"/>
      <c r="G2273" s="415">
        <v>780</v>
      </c>
      <c r="H2273" s="290">
        <v>8</v>
      </c>
    </row>
    <row r="2274" spans="1:8">
      <c r="A2274" s="268">
        <v>34</v>
      </c>
      <c r="B2274" s="271" t="s">
        <v>6198</v>
      </c>
      <c r="C2274" s="290" t="s">
        <v>5083</v>
      </c>
      <c r="D2274" s="290" t="s">
        <v>6206</v>
      </c>
      <c r="E2274" s="290" t="s">
        <v>433</v>
      </c>
      <c r="F2274" s="290" t="s">
        <v>3967</v>
      </c>
      <c r="G2274" s="415">
        <v>352</v>
      </c>
      <c r="H2274" s="290">
        <v>4</v>
      </c>
    </row>
    <row r="2275" spans="1:8">
      <c r="A2275" s="268">
        <v>35</v>
      </c>
      <c r="B2275" s="271" t="s">
        <v>6187</v>
      </c>
      <c r="C2275" s="290" t="s">
        <v>5083</v>
      </c>
      <c r="D2275" s="290" t="s">
        <v>6206</v>
      </c>
      <c r="E2275" s="290" t="s">
        <v>6199</v>
      </c>
      <c r="F2275" s="290" t="s">
        <v>553</v>
      </c>
      <c r="G2275" s="415">
        <v>1100</v>
      </c>
      <c r="H2275" s="290">
        <v>9</v>
      </c>
    </row>
    <row r="2276" spans="1:8">
      <c r="A2276" s="268">
        <v>36</v>
      </c>
      <c r="B2276" s="271" t="s">
        <v>6200</v>
      </c>
      <c r="C2276" s="290" t="s">
        <v>5083</v>
      </c>
      <c r="D2276" s="290" t="s">
        <v>6206</v>
      </c>
      <c r="E2276" s="290" t="s">
        <v>6201</v>
      </c>
      <c r="F2276" s="290" t="s">
        <v>6202</v>
      </c>
      <c r="G2276" s="415">
        <v>950</v>
      </c>
      <c r="H2276" s="290">
        <v>10</v>
      </c>
    </row>
    <row r="2277" spans="1:8">
      <c r="A2277" s="268">
        <v>37</v>
      </c>
      <c r="B2277" s="271" t="s">
        <v>6203</v>
      </c>
      <c r="C2277" s="290" t="s">
        <v>5083</v>
      </c>
      <c r="D2277" s="290" t="s">
        <v>6206</v>
      </c>
      <c r="E2277" s="290" t="s">
        <v>6181</v>
      </c>
      <c r="F2277" s="290" t="s">
        <v>6204</v>
      </c>
      <c r="G2277" s="415">
        <v>1300</v>
      </c>
      <c r="H2277" s="290">
        <v>10</v>
      </c>
    </row>
    <row r="2278" spans="1:8">
      <c r="A2278" s="268">
        <v>38</v>
      </c>
      <c r="B2278" s="271" t="s">
        <v>6268</v>
      </c>
      <c r="C2278" s="290" t="s">
        <v>5083</v>
      </c>
      <c r="D2278" s="290" t="s">
        <v>6206</v>
      </c>
      <c r="E2278" s="290" t="s">
        <v>6181</v>
      </c>
      <c r="F2278" s="290" t="s">
        <v>6205</v>
      </c>
      <c r="G2278" s="415">
        <v>850</v>
      </c>
      <c r="H2278" s="290">
        <v>12</v>
      </c>
    </row>
    <row r="2279" spans="1:8">
      <c r="A2279" s="268">
        <v>39</v>
      </c>
      <c r="B2279" s="283" t="s">
        <v>6119</v>
      </c>
      <c r="C2279" s="310" t="s">
        <v>6118</v>
      </c>
      <c r="D2279" s="310" t="s">
        <v>6159</v>
      </c>
      <c r="E2279" s="310" t="s">
        <v>6120</v>
      </c>
      <c r="F2279" s="310" t="s">
        <v>6117</v>
      </c>
      <c r="G2279" s="415">
        <v>466</v>
      </c>
      <c r="H2279" s="290">
        <v>3</v>
      </c>
    </row>
    <row r="2280" spans="1:8">
      <c r="A2280" s="268">
        <v>40</v>
      </c>
      <c r="B2280" s="283" t="s">
        <v>2938</v>
      </c>
      <c r="C2280" s="310" t="s">
        <v>6118</v>
      </c>
      <c r="D2280" s="310" t="s">
        <v>6159</v>
      </c>
      <c r="E2280" s="310" t="s">
        <v>6121</v>
      </c>
      <c r="F2280" s="310" t="s">
        <v>433</v>
      </c>
      <c r="G2280" s="415">
        <v>285</v>
      </c>
      <c r="H2280" s="371" t="s">
        <v>9082</v>
      </c>
    </row>
    <row r="2281" spans="1:8">
      <c r="A2281" s="268">
        <v>41</v>
      </c>
      <c r="B2281" s="283" t="s">
        <v>6122</v>
      </c>
      <c r="C2281" s="310" t="s">
        <v>6118</v>
      </c>
      <c r="D2281" s="310" t="s">
        <v>6159</v>
      </c>
      <c r="E2281" s="310" t="s">
        <v>6123</v>
      </c>
      <c r="F2281" s="310" t="s">
        <v>433</v>
      </c>
      <c r="G2281" s="415">
        <v>704</v>
      </c>
      <c r="H2281" s="371" t="s">
        <v>9094</v>
      </c>
    </row>
    <row r="2282" spans="1:8">
      <c r="A2282" s="268">
        <v>42</v>
      </c>
      <c r="B2282" s="283" t="s">
        <v>2948</v>
      </c>
      <c r="C2282" s="310" t="s">
        <v>6118</v>
      </c>
      <c r="D2282" s="310" t="s">
        <v>6159</v>
      </c>
      <c r="E2282" s="310" t="s">
        <v>6124</v>
      </c>
      <c r="F2282" s="310" t="s">
        <v>433</v>
      </c>
      <c r="G2282" s="415">
        <v>243</v>
      </c>
      <c r="H2282" s="371" t="s">
        <v>9095</v>
      </c>
    </row>
    <row r="2283" spans="1:8">
      <c r="A2283" s="268">
        <v>43</v>
      </c>
      <c r="B2283" s="283" t="s">
        <v>6125</v>
      </c>
      <c r="C2283" s="310" t="s">
        <v>6118</v>
      </c>
      <c r="D2283" s="310" t="s">
        <v>6159</v>
      </c>
      <c r="E2283" s="310" t="s">
        <v>6126</v>
      </c>
      <c r="F2283" s="310" t="s">
        <v>433</v>
      </c>
      <c r="G2283" s="415">
        <v>385</v>
      </c>
      <c r="H2283" s="371" t="s">
        <v>9096</v>
      </c>
    </row>
    <row r="2284" spans="1:8">
      <c r="A2284" s="268">
        <v>44</v>
      </c>
      <c r="B2284" s="283" t="s">
        <v>6127</v>
      </c>
      <c r="C2284" s="310" t="s">
        <v>6118</v>
      </c>
      <c r="D2284" s="310" t="s">
        <v>6159</v>
      </c>
      <c r="E2284" s="310" t="s">
        <v>6128</v>
      </c>
      <c r="F2284" s="310" t="s">
        <v>433</v>
      </c>
      <c r="G2284" s="415">
        <v>112</v>
      </c>
      <c r="H2284" s="371" t="s">
        <v>9097</v>
      </c>
    </row>
    <row r="2285" spans="1:8">
      <c r="A2285" s="268">
        <v>45</v>
      </c>
      <c r="B2285" s="283" t="s">
        <v>6129</v>
      </c>
      <c r="C2285" s="310" t="s">
        <v>6118</v>
      </c>
      <c r="D2285" s="310" t="s">
        <v>6159</v>
      </c>
      <c r="E2285" s="310" t="s">
        <v>6130</v>
      </c>
      <c r="F2285" s="310" t="s">
        <v>6131</v>
      </c>
      <c r="G2285" s="415">
        <v>470</v>
      </c>
      <c r="H2285" s="371" t="s">
        <v>210</v>
      </c>
    </row>
    <row r="2286" spans="1:8">
      <c r="A2286" s="268">
        <v>46</v>
      </c>
      <c r="B2286" s="283" t="s">
        <v>390</v>
      </c>
      <c r="C2286" s="310" t="s">
        <v>6118</v>
      </c>
      <c r="D2286" s="310" t="s">
        <v>6159</v>
      </c>
      <c r="E2286" s="310" t="s">
        <v>6132</v>
      </c>
      <c r="F2286" s="310" t="s">
        <v>433</v>
      </c>
      <c r="G2286" s="415">
        <v>250</v>
      </c>
      <c r="H2286" s="371" t="s">
        <v>9098</v>
      </c>
    </row>
    <row r="2287" spans="1:8">
      <c r="A2287" s="268">
        <v>47</v>
      </c>
      <c r="B2287" s="283" t="s">
        <v>6133</v>
      </c>
      <c r="C2287" s="310" t="s">
        <v>6118</v>
      </c>
      <c r="D2287" s="310" t="s">
        <v>6159</v>
      </c>
      <c r="E2287" s="310" t="s">
        <v>6131</v>
      </c>
      <c r="F2287" s="310" t="s">
        <v>433</v>
      </c>
      <c r="G2287" s="415">
        <v>440</v>
      </c>
      <c r="H2287" s="371" t="s">
        <v>9099</v>
      </c>
    </row>
    <row r="2288" spans="1:8">
      <c r="A2288" s="268">
        <v>48</v>
      </c>
      <c r="B2288" s="283" t="s">
        <v>6134</v>
      </c>
      <c r="C2288" s="310" t="s">
        <v>6118</v>
      </c>
      <c r="D2288" s="310" t="s">
        <v>6159</v>
      </c>
      <c r="E2288" s="310" t="s">
        <v>6135</v>
      </c>
      <c r="F2288" s="310" t="s">
        <v>6131</v>
      </c>
      <c r="G2288" s="415">
        <v>540</v>
      </c>
      <c r="H2288" s="371" t="s">
        <v>8697</v>
      </c>
    </row>
    <row r="2289" spans="1:9">
      <c r="A2289" s="268">
        <v>49</v>
      </c>
      <c r="B2289" s="283" t="s">
        <v>6136</v>
      </c>
      <c r="C2289" s="310" t="s">
        <v>6118</v>
      </c>
      <c r="D2289" s="310" t="s">
        <v>6159</v>
      </c>
      <c r="E2289" s="310" t="s">
        <v>6137</v>
      </c>
      <c r="F2289" s="310" t="s">
        <v>6133</v>
      </c>
      <c r="G2289" s="415">
        <v>900</v>
      </c>
      <c r="H2289" s="371" t="s">
        <v>209</v>
      </c>
    </row>
    <row r="2290" spans="1:9">
      <c r="A2290" s="268">
        <v>50</v>
      </c>
      <c r="B2290" s="283" t="s">
        <v>6138</v>
      </c>
      <c r="C2290" s="310" t="s">
        <v>6118</v>
      </c>
      <c r="D2290" s="310" t="s">
        <v>6159</v>
      </c>
      <c r="E2290" s="310" t="s">
        <v>6139</v>
      </c>
      <c r="F2290" s="310" t="s">
        <v>433</v>
      </c>
      <c r="G2290" s="415">
        <v>170</v>
      </c>
      <c r="H2290" s="371" t="s">
        <v>8699</v>
      </c>
    </row>
    <row r="2291" spans="1:9">
      <c r="A2291" s="268">
        <v>51</v>
      </c>
      <c r="B2291" s="283" t="s">
        <v>6140</v>
      </c>
      <c r="C2291" s="310" t="s">
        <v>6118</v>
      </c>
      <c r="D2291" s="310" t="s">
        <v>6159</v>
      </c>
      <c r="E2291" s="310" t="s">
        <v>6141</v>
      </c>
      <c r="F2291" s="310" t="s">
        <v>433</v>
      </c>
      <c r="G2291" s="415">
        <v>100</v>
      </c>
      <c r="H2291" s="371" t="s">
        <v>986</v>
      </c>
    </row>
    <row r="2292" spans="1:9">
      <c r="A2292" s="268">
        <v>52</v>
      </c>
      <c r="B2292" s="283" t="s">
        <v>6142</v>
      </c>
      <c r="C2292" s="310" t="s">
        <v>6118</v>
      </c>
      <c r="D2292" s="310" t="s">
        <v>6159</v>
      </c>
      <c r="E2292" s="310" t="s">
        <v>6143</v>
      </c>
      <c r="F2292" s="310" t="s">
        <v>433</v>
      </c>
      <c r="G2292" s="415">
        <v>150</v>
      </c>
      <c r="H2292" s="371" t="s">
        <v>295</v>
      </c>
    </row>
    <row r="2293" spans="1:9">
      <c r="A2293" s="268">
        <v>53</v>
      </c>
      <c r="B2293" s="283" t="s">
        <v>6144</v>
      </c>
      <c r="C2293" s="310" t="s">
        <v>6118</v>
      </c>
      <c r="D2293" s="310" t="s">
        <v>6159</v>
      </c>
      <c r="E2293" s="310" t="s">
        <v>6145</v>
      </c>
      <c r="F2293" s="310" t="s">
        <v>6115</v>
      </c>
      <c r="G2293" s="415">
        <v>180</v>
      </c>
      <c r="H2293" s="371" t="s">
        <v>9017</v>
      </c>
    </row>
    <row r="2294" spans="1:9">
      <c r="A2294" s="268">
        <v>54</v>
      </c>
      <c r="B2294" s="283" t="s">
        <v>6146</v>
      </c>
      <c r="C2294" s="310" t="s">
        <v>6118</v>
      </c>
      <c r="D2294" s="310" t="s">
        <v>6159</v>
      </c>
      <c r="E2294" s="310" t="s">
        <v>6147</v>
      </c>
      <c r="F2294" s="310" t="s">
        <v>993</v>
      </c>
      <c r="G2294" s="415">
        <v>480</v>
      </c>
      <c r="H2294" s="371" t="s">
        <v>9100</v>
      </c>
    </row>
    <row r="2295" spans="1:9" ht="33">
      <c r="A2295" s="268">
        <v>55</v>
      </c>
      <c r="B2295" s="283" t="s">
        <v>6148</v>
      </c>
      <c r="C2295" s="310" t="s">
        <v>6118</v>
      </c>
      <c r="D2295" s="310" t="s">
        <v>6159</v>
      </c>
      <c r="E2295" s="310" t="s">
        <v>6149</v>
      </c>
      <c r="F2295" s="310" t="s">
        <v>6115</v>
      </c>
      <c r="G2295" s="415">
        <v>700</v>
      </c>
      <c r="H2295" s="371" t="s">
        <v>670</v>
      </c>
      <c r="I2295" s="669" t="s">
        <v>176</v>
      </c>
    </row>
    <row r="2296" spans="1:9" ht="33">
      <c r="A2296" s="268">
        <v>56</v>
      </c>
      <c r="B2296" s="283" t="s">
        <v>6150</v>
      </c>
      <c r="C2296" s="310" t="s">
        <v>6118</v>
      </c>
      <c r="D2296" s="310" t="s">
        <v>6159</v>
      </c>
      <c r="E2296" s="310" t="s">
        <v>5976</v>
      </c>
      <c r="F2296" s="310" t="s">
        <v>6149</v>
      </c>
      <c r="G2296" s="415">
        <v>2875</v>
      </c>
      <c r="H2296" s="371" t="s">
        <v>9017</v>
      </c>
    </row>
    <row r="2297" spans="1:9">
      <c r="A2297" s="268">
        <v>57</v>
      </c>
      <c r="B2297" s="283" t="s">
        <v>6151</v>
      </c>
      <c r="C2297" s="310" t="s">
        <v>6118</v>
      </c>
      <c r="D2297" s="310" t="s">
        <v>6159</v>
      </c>
      <c r="E2297" s="310" t="s">
        <v>6152</v>
      </c>
      <c r="F2297" s="310" t="s">
        <v>6153</v>
      </c>
      <c r="G2297" s="415">
        <v>620</v>
      </c>
      <c r="H2297" s="371" t="s">
        <v>4424</v>
      </c>
    </row>
    <row r="2298" spans="1:9">
      <c r="A2298" s="268">
        <v>58</v>
      </c>
      <c r="B2298" s="283" t="s">
        <v>993</v>
      </c>
      <c r="C2298" s="310" t="s">
        <v>6118</v>
      </c>
      <c r="D2298" s="310" t="s">
        <v>6159</v>
      </c>
      <c r="E2298" s="310" t="s">
        <v>6154</v>
      </c>
      <c r="F2298" s="310" t="s">
        <v>6155</v>
      </c>
      <c r="G2298" s="415">
        <v>1014</v>
      </c>
      <c r="H2298" s="310" t="s">
        <v>6156</v>
      </c>
    </row>
    <row r="2299" spans="1:9">
      <c r="A2299" s="268">
        <v>59</v>
      </c>
      <c r="B2299" s="283" t="s">
        <v>6157</v>
      </c>
      <c r="C2299" s="310" t="s">
        <v>6118</v>
      </c>
      <c r="D2299" s="310" t="s">
        <v>6159</v>
      </c>
      <c r="E2299" s="310" t="s">
        <v>6158</v>
      </c>
      <c r="F2299" s="310" t="s">
        <v>5976</v>
      </c>
      <c r="G2299" s="415">
        <v>1350</v>
      </c>
      <c r="H2299" s="290">
        <v>6</v>
      </c>
    </row>
    <row r="2300" spans="1:9">
      <c r="A2300" s="268">
        <v>60</v>
      </c>
      <c r="B2300" s="283" t="s">
        <v>5927</v>
      </c>
      <c r="C2300" s="678" t="s">
        <v>5929</v>
      </c>
      <c r="D2300" s="427" t="s">
        <v>5930</v>
      </c>
      <c r="E2300" s="505" t="s">
        <v>5931</v>
      </c>
      <c r="F2300" s="505" t="s">
        <v>5905</v>
      </c>
      <c r="G2300" s="415">
        <v>2000</v>
      </c>
      <c r="H2300" s="370"/>
    </row>
    <row r="2301" spans="1:9">
      <c r="A2301" s="268">
        <v>61</v>
      </c>
      <c r="B2301" s="271" t="s">
        <v>5932</v>
      </c>
      <c r="C2301" s="678" t="s">
        <v>5929</v>
      </c>
      <c r="D2301" s="427" t="s">
        <v>5930</v>
      </c>
      <c r="E2301" s="427" t="s">
        <v>5940</v>
      </c>
      <c r="F2301" s="427" t="s">
        <v>5947</v>
      </c>
      <c r="G2301" s="415">
        <v>1700</v>
      </c>
      <c r="H2301" s="703" t="s">
        <v>226</v>
      </c>
    </row>
    <row r="2302" spans="1:9">
      <c r="A2302" s="268">
        <v>62</v>
      </c>
      <c r="B2302" s="271" t="s">
        <v>5933</v>
      </c>
      <c r="C2302" s="678" t="s">
        <v>5929</v>
      </c>
      <c r="D2302" s="427" t="s">
        <v>5930</v>
      </c>
      <c r="E2302" s="427" t="s">
        <v>5941</v>
      </c>
      <c r="F2302" s="427" t="s">
        <v>5948</v>
      </c>
      <c r="G2302" s="415">
        <v>6200</v>
      </c>
      <c r="H2302" s="703" t="s">
        <v>226</v>
      </c>
    </row>
    <row r="2303" spans="1:9">
      <c r="A2303" s="268">
        <v>63</v>
      </c>
      <c r="B2303" s="271" t="s">
        <v>5934</v>
      </c>
      <c r="C2303" s="678" t="s">
        <v>5929</v>
      </c>
      <c r="D2303" s="427" t="s">
        <v>5930</v>
      </c>
      <c r="E2303" s="427" t="s">
        <v>5942</v>
      </c>
      <c r="F2303" s="427" t="s">
        <v>5949</v>
      </c>
      <c r="G2303" s="415">
        <v>3000</v>
      </c>
      <c r="H2303" s="703" t="s">
        <v>226</v>
      </c>
    </row>
    <row r="2304" spans="1:9" ht="33">
      <c r="A2304" s="268">
        <v>64</v>
      </c>
      <c r="B2304" s="271" t="s">
        <v>5935</v>
      </c>
      <c r="C2304" s="678" t="s">
        <v>5929</v>
      </c>
      <c r="D2304" s="427" t="s">
        <v>5930</v>
      </c>
      <c r="E2304" s="427" t="s">
        <v>5943</v>
      </c>
      <c r="F2304" s="427" t="s">
        <v>5950</v>
      </c>
      <c r="G2304" s="415">
        <v>1800</v>
      </c>
      <c r="H2304" s="703" t="s">
        <v>226</v>
      </c>
    </row>
    <row r="2305" spans="1:8">
      <c r="A2305" s="268">
        <v>65</v>
      </c>
      <c r="B2305" s="271" t="s">
        <v>5936</v>
      </c>
      <c r="C2305" s="678" t="s">
        <v>5929</v>
      </c>
      <c r="D2305" s="427" t="s">
        <v>5930</v>
      </c>
      <c r="E2305" s="427" t="s">
        <v>5944</v>
      </c>
      <c r="F2305" s="427" t="s">
        <v>5951</v>
      </c>
      <c r="G2305" s="415">
        <v>1000</v>
      </c>
      <c r="H2305" s="703" t="s">
        <v>179</v>
      </c>
    </row>
    <row r="2306" spans="1:8">
      <c r="A2306" s="268">
        <v>66</v>
      </c>
      <c r="B2306" s="271" t="s">
        <v>5937</v>
      </c>
      <c r="C2306" s="678" t="s">
        <v>5929</v>
      </c>
      <c r="D2306" s="427" t="s">
        <v>5930</v>
      </c>
      <c r="E2306" s="427" t="s">
        <v>5945</v>
      </c>
      <c r="F2306" s="427" t="s">
        <v>5948</v>
      </c>
      <c r="G2306" s="415">
        <v>1000</v>
      </c>
      <c r="H2306" s="703" t="s">
        <v>224</v>
      </c>
    </row>
    <row r="2307" spans="1:8">
      <c r="A2307" s="268">
        <v>67</v>
      </c>
      <c r="B2307" s="271" t="s">
        <v>5938</v>
      </c>
      <c r="C2307" s="678" t="s">
        <v>5929</v>
      </c>
      <c r="D2307" s="427" t="s">
        <v>5930</v>
      </c>
      <c r="E2307" s="427" t="s">
        <v>5946</v>
      </c>
      <c r="F2307" s="427" t="s">
        <v>5952</v>
      </c>
      <c r="G2307" s="415">
        <v>1400</v>
      </c>
      <c r="H2307" s="703" t="s">
        <v>9101</v>
      </c>
    </row>
    <row r="2308" spans="1:8">
      <c r="A2308" s="268">
        <v>68</v>
      </c>
      <c r="B2308" s="271" t="s">
        <v>5939</v>
      </c>
      <c r="C2308" s="678" t="s">
        <v>5929</v>
      </c>
      <c r="D2308" s="427" t="s">
        <v>5930</v>
      </c>
      <c r="E2308" s="427" t="s">
        <v>5954</v>
      </c>
      <c r="F2308" s="427" t="s">
        <v>5953</v>
      </c>
      <c r="G2308" s="415">
        <v>800</v>
      </c>
      <c r="H2308" s="703" t="s">
        <v>224</v>
      </c>
    </row>
    <row r="2309" spans="1:8">
      <c r="A2309" s="268">
        <v>69</v>
      </c>
      <c r="B2309" s="271" t="s">
        <v>6242</v>
      </c>
      <c r="C2309" s="290" t="s">
        <v>6266</v>
      </c>
      <c r="D2309" s="290" t="s">
        <v>6267</v>
      </c>
      <c r="E2309" s="268" t="s">
        <v>6243</v>
      </c>
      <c r="F2309" s="268" t="s">
        <v>6244</v>
      </c>
      <c r="G2309" s="487">
        <v>600</v>
      </c>
      <c r="H2309" s="268">
        <v>2</v>
      </c>
    </row>
    <row r="2310" spans="1:8">
      <c r="A2310" s="268">
        <v>70</v>
      </c>
      <c r="B2310" s="271" t="s">
        <v>6245</v>
      </c>
      <c r="C2310" s="290" t="s">
        <v>6266</v>
      </c>
      <c r="D2310" s="290" t="s">
        <v>6267</v>
      </c>
      <c r="E2310" s="268" t="s">
        <v>6219</v>
      </c>
      <c r="F2310" s="268" t="s">
        <v>6246</v>
      </c>
      <c r="G2310" s="487">
        <v>400</v>
      </c>
      <c r="H2310" s="702" t="s">
        <v>189</v>
      </c>
    </row>
    <row r="2311" spans="1:8">
      <c r="A2311" s="268">
        <v>71</v>
      </c>
      <c r="B2311" s="271" t="s">
        <v>6247</v>
      </c>
      <c r="C2311" s="290" t="s">
        <v>6266</v>
      </c>
      <c r="D2311" s="290" t="s">
        <v>6267</v>
      </c>
      <c r="E2311" s="268" t="s">
        <v>6248</v>
      </c>
      <c r="F2311" s="268" t="s">
        <v>6249</v>
      </c>
      <c r="G2311" s="487">
        <v>1900</v>
      </c>
      <c r="H2311" s="268">
        <v>3</v>
      </c>
    </row>
    <row r="2312" spans="1:8">
      <c r="A2312" s="268">
        <v>72</v>
      </c>
      <c r="B2312" s="271" t="s">
        <v>6246</v>
      </c>
      <c r="C2312" s="290" t="s">
        <v>6266</v>
      </c>
      <c r="D2312" s="290" t="s">
        <v>6267</v>
      </c>
      <c r="E2312" s="268" t="s">
        <v>6219</v>
      </c>
      <c r="F2312" s="268" t="s">
        <v>6250</v>
      </c>
      <c r="G2312" s="487">
        <v>600</v>
      </c>
      <c r="H2312" s="268">
        <v>5</v>
      </c>
    </row>
    <row r="2313" spans="1:8">
      <c r="A2313" s="268">
        <v>73</v>
      </c>
      <c r="B2313" s="271" t="s">
        <v>6251</v>
      </c>
      <c r="C2313" s="290" t="s">
        <v>6266</v>
      </c>
      <c r="D2313" s="290" t="s">
        <v>6267</v>
      </c>
      <c r="E2313" s="268" t="s">
        <v>6252</v>
      </c>
      <c r="F2313" s="268" t="s">
        <v>6246</v>
      </c>
      <c r="G2313" s="487">
        <v>500</v>
      </c>
      <c r="H2313" s="268">
        <v>2</v>
      </c>
    </row>
    <row r="2314" spans="1:8">
      <c r="A2314" s="268">
        <v>74</v>
      </c>
      <c r="B2314" s="271" t="s">
        <v>6253</v>
      </c>
      <c r="C2314" s="290" t="s">
        <v>6266</v>
      </c>
      <c r="D2314" s="290" t="s">
        <v>6267</v>
      </c>
      <c r="E2314" s="268" t="s">
        <v>6254</v>
      </c>
      <c r="F2314" s="268" t="s">
        <v>6239</v>
      </c>
      <c r="G2314" s="487">
        <v>550</v>
      </c>
      <c r="H2314" s="268">
        <v>1.6</v>
      </c>
    </row>
    <row r="2315" spans="1:8">
      <c r="A2315" s="268">
        <v>75</v>
      </c>
      <c r="B2315" s="271" t="s">
        <v>6239</v>
      </c>
      <c r="C2315" s="290" t="s">
        <v>6266</v>
      </c>
      <c r="D2315" s="290" t="s">
        <v>6267</v>
      </c>
      <c r="E2315" s="268" t="s">
        <v>6254</v>
      </c>
      <c r="F2315" s="268" t="s">
        <v>6236</v>
      </c>
      <c r="G2315" s="487">
        <v>860</v>
      </c>
      <c r="H2315" s="702" t="s">
        <v>9102</v>
      </c>
    </row>
    <row r="2316" spans="1:8">
      <c r="A2316" s="268">
        <v>76</v>
      </c>
      <c r="B2316" s="271" t="s">
        <v>6255</v>
      </c>
      <c r="C2316" s="290" t="s">
        <v>6266</v>
      </c>
      <c r="D2316" s="290" t="s">
        <v>6267</v>
      </c>
      <c r="E2316" s="268" t="s">
        <v>6256</v>
      </c>
      <c r="F2316" s="268" t="s">
        <v>6217</v>
      </c>
      <c r="G2316" s="487">
        <v>700</v>
      </c>
      <c r="H2316" s="268">
        <v>2</v>
      </c>
    </row>
    <row r="2317" spans="1:8">
      <c r="A2317" s="268">
        <v>77</v>
      </c>
      <c r="B2317" s="271" t="s">
        <v>6211</v>
      </c>
      <c r="C2317" s="290" t="s">
        <v>6266</v>
      </c>
      <c r="D2317" s="290" t="s">
        <v>6267</v>
      </c>
      <c r="E2317" s="268" t="s">
        <v>6257</v>
      </c>
      <c r="F2317" s="268" t="s">
        <v>6258</v>
      </c>
      <c r="G2317" s="487">
        <v>600</v>
      </c>
      <c r="H2317" s="268" t="s">
        <v>9103</v>
      </c>
    </row>
    <row r="2318" spans="1:8">
      <c r="A2318" s="268">
        <v>78</v>
      </c>
      <c r="B2318" s="271" t="s">
        <v>6259</v>
      </c>
      <c r="C2318" s="290" t="s">
        <v>6266</v>
      </c>
      <c r="D2318" s="290" t="s">
        <v>6267</v>
      </c>
      <c r="E2318" s="268" t="s">
        <v>6260</v>
      </c>
      <c r="F2318" s="268" t="s">
        <v>6251</v>
      </c>
      <c r="G2318" s="487">
        <v>400</v>
      </c>
      <c r="H2318" s="702" t="s">
        <v>204</v>
      </c>
    </row>
    <row r="2319" spans="1:8">
      <c r="A2319" s="268">
        <v>79</v>
      </c>
      <c r="B2319" s="271" t="s">
        <v>6261</v>
      </c>
      <c r="C2319" s="290" t="s">
        <v>6266</v>
      </c>
      <c r="D2319" s="290" t="s">
        <v>6267</v>
      </c>
      <c r="E2319" s="268" t="s">
        <v>6262</v>
      </c>
      <c r="F2319" s="268" t="s">
        <v>6233</v>
      </c>
      <c r="G2319" s="487">
        <v>505</v>
      </c>
      <c r="H2319" s="702" t="s">
        <v>9104</v>
      </c>
    </row>
    <row r="2320" spans="1:8">
      <c r="A2320" s="268">
        <v>80</v>
      </c>
      <c r="B2320" s="271" t="s">
        <v>6263</v>
      </c>
      <c r="C2320" s="290" t="s">
        <v>6266</v>
      </c>
      <c r="D2320" s="290" t="s">
        <v>6267</v>
      </c>
      <c r="E2320" s="268" t="s">
        <v>6264</v>
      </c>
      <c r="F2320" s="268" t="s">
        <v>6265</v>
      </c>
      <c r="G2320" s="487">
        <v>1200</v>
      </c>
      <c r="H2320" s="702" t="s">
        <v>221</v>
      </c>
    </row>
    <row r="2321" spans="1:8">
      <c r="A2321" s="268">
        <v>81</v>
      </c>
      <c r="B2321" s="486" t="s">
        <v>6362</v>
      </c>
      <c r="C2321" s="427" t="s">
        <v>6402</v>
      </c>
      <c r="D2321" s="427" t="s">
        <v>6403</v>
      </c>
      <c r="E2321" s="427" t="s">
        <v>6380</v>
      </c>
      <c r="F2321" s="505" t="s">
        <v>6401</v>
      </c>
      <c r="G2321" s="415">
        <v>200</v>
      </c>
      <c r="H2321" s="701" t="s">
        <v>4424</v>
      </c>
    </row>
    <row r="2322" spans="1:8">
      <c r="A2322" s="268">
        <v>82</v>
      </c>
      <c r="B2322" s="486" t="s">
        <v>617</v>
      </c>
      <c r="C2322" s="427" t="s">
        <v>6402</v>
      </c>
      <c r="D2322" s="427" t="s">
        <v>6403</v>
      </c>
      <c r="E2322" s="427" t="s">
        <v>6381</v>
      </c>
      <c r="F2322" s="505" t="s">
        <v>6401</v>
      </c>
      <c r="G2322" s="415">
        <v>1600</v>
      </c>
      <c r="H2322" s="701" t="s">
        <v>4424</v>
      </c>
    </row>
    <row r="2323" spans="1:8">
      <c r="A2323" s="268">
        <v>83</v>
      </c>
      <c r="B2323" s="486" t="s">
        <v>6363</v>
      </c>
      <c r="C2323" s="427" t="s">
        <v>6402</v>
      </c>
      <c r="D2323" s="427" t="s">
        <v>6403</v>
      </c>
      <c r="E2323" s="427" t="s">
        <v>6382</v>
      </c>
      <c r="F2323" s="505" t="s">
        <v>6401</v>
      </c>
      <c r="G2323" s="415">
        <v>120</v>
      </c>
      <c r="H2323" s="701" t="s">
        <v>4424</v>
      </c>
    </row>
    <row r="2324" spans="1:8">
      <c r="A2324" s="268">
        <v>84</v>
      </c>
      <c r="B2324" s="486" t="s">
        <v>2844</v>
      </c>
      <c r="C2324" s="427" t="s">
        <v>6402</v>
      </c>
      <c r="D2324" s="427" t="s">
        <v>6403</v>
      </c>
      <c r="E2324" s="427" t="s">
        <v>6383</v>
      </c>
      <c r="F2324" s="505" t="s">
        <v>6401</v>
      </c>
      <c r="G2324" s="415">
        <v>800</v>
      </c>
      <c r="H2324" s="701" t="s">
        <v>4424</v>
      </c>
    </row>
    <row r="2325" spans="1:8">
      <c r="A2325" s="268">
        <v>85</v>
      </c>
      <c r="B2325" s="486" t="s">
        <v>6364</v>
      </c>
      <c r="C2325" s="427" t="s">
        <v>6402</v>
      </c>
      <c r="D2325" s="427" t="s">
        <v>6403</v>
      </c>
      <c r="E2325" s="427" t="s">
        <v>6384</v>
      </c>
      <c r="F2325" s="505" t="s">
        <v>6401</v>
      </c>
      <c r="G2325" s="415">
        <v>200</v>
      </c>
      <c r="H2325" s="701" t="s">
        <v>4424</v>
      </c>
    </row>
    <row r="2326" spans="1:8">
      <c r="A2326" s="268">
        <v>86</v>
      </c>
      <c r="B2326" s="486" t="s">
        <v>6365</v>
      </c>
      <c r="C2326" s="427" t="s">
        <v>6402</v>
      </c>
      <c r="D2326" s="427" t="s">
        <v>6403</v>
      </c>
      <c r="E2326" s="427" t="s">
        <v>6385</v>
      </c>
      <c r="F2326" s="505" t="s">
        <v>6401</v>
      </c>
      <c r="G2326" s="415">
        <v>2000</v>
      </c>
      <c r="H2326" s="701" t="s">
        <v>4424</v>
      </c>
    </row>
    <row r="2327" spans="1:8">
      <c r="A2327" s="268">
        <v>87</v>
      </c>
      <c r="B2327" s="486" t="s">
        <v>6366</v>
      </c>
      <c r="C2327" s="427" t="s">
        <v>6402</v>
      </c>
      <c r="D2327" s="427" t="s">
        <v>6403</v>
      </c>
      <c r="E2327" s="427" t="s">
        <v>6386</v>
      </c>
      <c r="F2327" s="505" t="s">
        <v>6401</v>
      </c>
      <c r="G2327" s="415">
        <v>1500</v>
      </c>
      <c r="H2327" s="701" t="s">
        <v>4424</v>
      </c>
    </row>
    <row r="2328" spans="1:8">
      <c r="A2328" s="268">
        <v>88</v>
      </c>
      <c r="B2328" s="486" t="s">
        <v>2429</v>
      </c>
      <c r="C2328" s="427" t="s">
        <v>6402</v>
      </c>
      <c r="D2328" s="427" t="s">
        <v>6403</v>
      </c>
      <c r="E2328" s="427" t="s">
        <v>6387</v>
      </c>
      <c r="F2328" s="505" t="s">
        <v>6401</v>
      </c>
      <c r="G2328" s="415">
        <v>1800</v>
      </c>
      <c r="H2328" s="701" t="s">
        <v>4424</v>
      </c>
    </row>
    <row r="2329" spans="1:8">
      <c r="A2329" s="268">
        <v>89</v>
      </c>
      <c r="B2329" s="486" t="s">
        <v>6367</v>
      </c>
      <c r="C2329" s="427" t="s">
        <v>6402</v>
      </c>
      <c r="D2329" s="427" t="s">
        <v>6403</v>
      </c>
      <c r="E2329" s="427" t="s">
        <v>6388</v>
      </c>
      <c r="F2329" s="505" t="s">
        <v>6401</v>
      </c>
      <c r="G2329" s="415">
        <v>1800</v>
      </c>
      <c r="H2329" s="701" t="s">
        <v>4424</v>
      </c>
    </row>
    <row r="2330" spans="1:8">
      <c r="A2330" s="268">
        <v>90</v>
      </c>
      <c r="B2330" s="486" t="s">
        <v>6368</v>
      </c>
      <c r="C2330" s="427" t="s">
        <v>6402</v>
      </c>
      <c r="D2330" s="427" t="s">
        <v>6403</v>
      </c>
      <c r="E2330" s="427" t="s">
        <v>6389</v>
      </c>
      <c r="F2330" s="505" t="s">
        <v>6401</v>
      </c>
      <c r="G2330" s="415">
        <v>300</v>
      </c>
      <c r="H2330" s="701" t="s">
        <v>4424</v>
      </c>
    </row>
    <row r="2331" spans="1:8">
      <c r="A2331" s="268">
        <v>91</v>
      </c>
      <c r="B2331" s="486" t="s">
        <v>599</v>
      </c>
      <c r="C2331" s="427" t="s">
        <v>6402</v>
      </c>
      <c r="D2331" s="427" t="s">
        <v>6403</v>
      </c>
      <c r="E2331" s="427" t="s">
        <v>6390</v>
      </c>
      <c r="F2331" s="505" t="s">
        <v>6401</v>
      </c>
      <c r="G2331" s="415">
        <v>500</v>
      </c>
      <c r="H2331" s="701" t="s">
        <v>4424</v>
      </c>
    </row>
    <row r="2332" spans="1:8">
      <c r="A2332" s="268">
        <v>92</v>
      </c>
      <c r="B2332" s="486" t="s">
        <v>6369</v>
      </c>
      <c r="C2332" s="427" t="s">
        <v>6402</v>
      </c>
      <c r="D2332" s="427" t="s">
        <v>6403</v>
      </c>
      <c r="E2332" s="427" t="s">
        <v>6391</v>
      </c>
      <c r="F2332" s="505" t="s">
        <v>6401</v>
      </c>
      <c r="G2332" s="415">
        <v>1200</v>
      </c>
      <c r="H2332" s="701" t="s">
        <v>4424</v>
      </c>
    </row>
    <row r="2333" spans="1:8">
      <c r="A2333" s="268">
        <v>93</v>
      </c>
      <c r="B2333" s="486" t="s">
        <v>6370</v>
      </c>
      <c r="C2333" s="427" t="s">
        <v>6402</v>
      </c>
      <c r="D2333" s="427" t="s">
        <v>6403</v>
      </c>
      <c r="E2333" s="427" t="s">
        <v>6392</v>
      </c>
      <c r="F2333" s="505" t="s">
        <v>6401</v>
      </c>
      <c r="G2333" s="415">
        <v>1200</v>
      </c>
      <c r="H2333" s="701" t="s">
        <v>4424</v>
      </c>
    </row>
    <row r="2334" spans="1:8">
      <c r="A2334" s="268">
        <v>94</v>
      </c>
      <c r="B2334" s="486" t="s">
        <v>6371</v>
      </c>
      <c r="C2334" s="427" t="s">
        <v>6402</v>
      </c>
      <c r="D2334" s="427" t="s">
        <v>6403</v>
      </c>
      <c r="E2334" s="427" t="s">
        <v>6393</v>
      </c>
      <c r="F2334" s="505" t="s">
        <v>6401</v>
      </c>
      <c r="G2334" s="415">
        <v>100</v>
      </c>
      <c r="H2334" s="701" t="s">
        <v>4424</v>
      </c>
    </row>
    <row r="2335" spans="1:8">
      <c r="A2335" s="268">
        <v>95</v>
      </c>
      <c r="B2335" s="486" t="s">
        <v>6372</v>
      </c>
      <c r="C2335" s="427" t="s">
        <v>6402</v>
      </c>
      <c r="D2335" s="427" t="s">
        <v>6403</v>
      </c>
      <c r="E2335" s="427" t="s">
        <v>6394</v>
      </c>
      <c r="F2335" s="505" t="s">
        <v>6401</v>
      </c>
      <c r="G2335" s="415">
        <v>2000</v>
      </c>
      <c r="H2335" s="701" t="s">
        <v>4424</v>
      </c>
    </row>
    <row r="2336" spans="1:8">
      <c r="A2336" s="268">
        <v>96</v>
      </c>
      <c r="B2336" s="486" t="s">
        <v>6373</v>
      </c>
      <c r="C2336" s="427" t="s">
        <v>6402</v>
      </c>
      <c r="D2336" s="427" t="s">
        <v>6403</v>
      </c>
      <c r="E2336" s="427" t="s">
        <v>6391</v>
      </c>
      <c r="F2336" s="505" t="s">
        <v>6401</v>
      </c>
      <c r="G2336" s="415">
        <v>1200</v>
      </c>
      <c r="H2336" s="701" t="s">
        <v>4424</v>
      </c>
    </row>
    <row r="2337" spans="1:8">
      <c r="A2337" s="268">
        <v>97</v>
      </c>
      <c r="B2337" s="486" t="s">
        <v>6374</v>
      </c>
      <c r="C2337" s="427" t="s">
        <v>6402</v>
      </c>
      <c r="D2337" s="427" t="s">
        <v>6403</v>
      </c>
      <c r="E2337" s="427" t="s">
        <v>6395</v>
      </c>
      <c r="F2337" s="505" t="s">
        <v>6401</v>
      </c>
      <c r="G2337" s="415">
        <v>350</v>
      </c>
      <c r="H2337" s="701" t="s">
        <v>4424</v>
      </c>
    </row>
    <row r="2338" spans="1:8">
      <c r="A2338" s="268">
        <v>98</v>
      </c>
      <c r="B2338" s="486" t="s">
        <v>6375</v>
      </c>
      <c r="C2338" s="427" t="s">
        <v>6402</v>
      </c>
      <c r="D2338" s="427" t="s">
        <v>6403</v>
      </c>
      <c r="E2338" s="427" t="s">
        <v>6396</v>
      </c>
      <c r="F2338" s="505" t="s">
        <v>6401</v>
      </c>
      <c r="G2338" s="415">
        <v>320</v>
      </c>
      <c r="H2338" s="701" t="s">
        <v>4424</v>
      </c>
    </row>
    <row r="2339" spans="1:8">
      <c r="A2339" s="268">
        <v>99</v>
      </c>
      <c r="B2339" s="486" t="s">
        <v>6376</v>
      </c>
      <c r="C2339" s="427" t="s">
        <v>6402</v>
      </c>
      <c r="D2339" s="427" t="s">
        <v>6403</v>
      </c>
      <c r="E2339" s="427" t="s">
        <v>6397</v>
      </c>
      <c r="F2339" s="505" t="s">
        <v>6401</v>
      </c>
      <c r="G2339" s="415">
        <v>250</v>
      </c>
      <c r="H2339" s="701" t="s">
        <v>4424</v>
      </c>
    </row>
    <row r="2340" spans="1:8">
      <c r="A2340" s="268">
        <v>100</v>
      </c>
      <c r="B2340" s="486" t="s">
        <v>6377</v>
      </c>
      <c r="C2340" s="427" t="s">
        <v>6402</v>
      </c>
      <c r="D2340" s="427" t="s">
        <v>6403</v>
      </c>
      <c r="E2340" s="427" t="s">
        <v>6398</v>
      </c>
      <c r="F2340" s="505" t="s">
        <v>6401</v>
      </c>
      <c r="G2340" s="415">
        <v>300</v>
      </c>
      <c r="H2340" s="701" t="s">
        <v>4424</v>
      </c>
    </row>
    <row r="2341" spans="1:8">
      <c r="A2341" s="268">
        <v>101</v>
      </c>
      <c r="B2341" s="486" t="s">
        <v>6378</v>
      </c>
      <c r="C2341" s="427" t="s">
        <v>6402</v>
      </c>
      <c r="D2341" s="427" t="s">
        <v>6403</v>
      </c>
      <c r="E2341" s="427" t="s">
        <v>6399</v>
      </c>
      <c r="F2341" s="505" t="s">
        <v>6401</v>
      </c>
      <c r="G2341" s="415">
        <v>300</v>
      </c>
      <c r="H2341" s="701" t="s">
        <v>4424</v>
      </c>
    </row>
    <row r="2342" spans="1:8">
      <c r="A2342" s="268">
        <v>102</v>
      </c>
      <c r="B2342" s="486" t="s">
        <v>6379</v>
      </c>
      <c r="C2342" s="427" t="s">
        <v>6402</v>
      </c>
      <c r="D2342" s="427" t="s">
        <v>6403</v>
      </c>
      <c r="E2342" s="427" t="s">
        <v>6400</v>
      </c>
      <c r="F2342" s="505" t="s">
        <v>6401</v>
      </c>
      <c r="G2342" s="415">
        <v>2500</v>
      </c>
      <c r="H2342" s="701" t="s">
        <v>4424</v>
      </c>
    </row>
    <row r="2343" spans="1:8">
      <c r="A2343" s="268">
        <v>103</v>
      </c>
      <c r="B2343" s="271" t="s">
        <v>2938</v>
      </c>
      <c r="C2343" s="427" t="s">
        <v>6402</v>
      </c>
      <c r="D2343" s="427" t="s">
        <v>6403</v>
      </c>
      <c r="E2343" s="427" t="s">
        <v>6450</v>
      </c>
      <c r="F2343" s="505" t="s">
        <v>433</v>
      </c>
      <c r="G2343" s="415">
        <v>100</v>
      </c>
      <c r="H2343" s="701" t="s">
        <v>1013</v>
      </c>
    </row>
    <row r="2344" spans="1:8">
      <c r="A2344" s="268">
        <v>104</v>
      </c>
      <c r="B2344" s="271" t="s">
        <v>6407</v>
      </c>
      <c r="C2344" s="427" t="s">
        <v>6402</v>
      </c>
      <c r="D2344" s="427" t="s">
        <v>6403</v>
      </c>
      <c r="E2344" s="427" t="s">
        <v>6451</v>
      </c>
      <c r="F2344" s="505" t="s">
        <v>433</v>
      </c>
      <c r="G2344" s="415">
        <v>220</v>
      </c>
      <c r="H2344" s="701" t="s">
        <v>1013</v>
      </c>
    </row>
    <row r="2345" spans="1:8">
      <c r="A2345" s="268">
        <v>105</v>
      </c>
      <c r="B2345" s="271" t="s">
        <v>6408</v>
      </c>
      <c r="C2345" s="427" t="s">
        <v>6402</v>
      </c>
      <c r="D2345" s="427" t="s">
        <v>6403</v>
      </c>
      <c r="E2345" s="427" t="s">
        <v>6452</v>
      </c>
      <c r="F2345" s="505" t="s">
        <v>433</v>
      </c>
      <c r="G2345" s="415">
        <v>250</v>
      </c>
      <c r="H2345" s="701" t="s">
        <v>1013</v>
      </c>
    </row>
    <row r="2346" spans="1:8">
      <c r="A2346" s="268">
        <v>106</v>
      </c>
      <c r="B2346" s="271" t="s">
        <v>6409</v>
      </c>
      <c r="C2346" s="427" t="s">
        <v>6402</v>
      </c>
      <c r="D2346" s="427" t="s">
        <v>6403</v>
      </c>
      <c r="E2346" s="427" t="s">
        <v>6453</v>
      </c>
      <c r="F2346" s="505" t="s">
        <v>433</v>
      </c>
      <c r="G2346" s="415">
        <v>220</v>
      </c>
      <c r="H2346" s="701" t="s">
        <v>1013</v>
      </c>
    </row>
    <row r="2347" spans="1:8">
      <c r="A2347" s="268">
        <v>107</v>
      </c>
      <c r="B2347" s="271" t="s">
        <v>6410</v>
      </c>
      <c r="C2347" s="427" t="s">
        <v>6402</v>
      </c>
      <c r="D2347" s="427" t="s">
        <v>6403</v>
      </c>
      <c r="E2347" s="427" t="s">
        <v>6454</v>
      </c>
      <c r="F2347" s="505" t="s">
        <v>433</v>
      </c>
      <c r="G2347" s="415">
        <v>220</v>
      </c>
      <c r="H2347" s="701" t="s">
        <v>1013</v>
      </c>
    </row>
    <row r="2348" spans="1:8">
      <c r="A2348" s="268">
        <v>108</v>
      </c>
      <c r="B2348" s="271" t="s">
        <v>6411</v>
      </c>
      <c r="C2348" s="427" t="s">
        <v>6402</v>
      </c>
      <c r="D2348" s="427" t="s">
        <v>6403</v>
      </c>
      <c r="E2348" s="427" t="s">
        <v>6455</v>
      </c>
      <c r="F2348" s="505" t="s">
        <v>433</v>
      </c>
      <c r="G2348" s="415">
        <v>150</v>
      </c>
      <c r="H2348" s="701" t="s">
        <v>1013</v>
      </c>
    </row>
    <row r="2349" spans="1:8">
      <c r="A2349" s="268">
        <v>109</v>
      </c>
      <c r="B2349" s="271" t="s">
        <v>6412</v>
      </c>
      <c r="C2349" s="427" t="s">
        <v>6402</v>
      </c>
      <c r="D2349" s="427" t="s">
        <v>6403</v>
      </c>
      <c r="E2349" s="427" t="s">
        <v>6456</v>
      </c>
      <c r="F2349" s="505" t="s">
        <v>433</v>
      </c>
      <c r="G2349" s="415">
        <v>150</v>
      </c>
      <c r="H2349" s="701" t="s">
        <v>1013</v>
      </c>
    </row>
    <row r="2350" spans="1:8">
      <c r="A2350" s="268">
        <v>110</v>
      </c>
      <c r="B2350" s="271" t="s">
        <v>2423</v>
      </c>
      <c r="C2350" s="427" t="s">
        <v>6402</v>
      </c>
      <c r="D2350" s="427" t="s">
        <v>6403</v>
      </c>
      <c r="E2350" s="427" t="s">
        <v>6457</v>
      </c>
      <c r="F2350" s="505" t="s">
        <v>433</v>
      </c>
      <c r="G2350" s="415">
        <v>50</v>
      </c>
      <c r="H2350" s="701" t="s">
        <v>1013</v>
      </c>
    </row>
    <row r="2351" spans="1:8">
      <c r="A2351" s="268">
        <v>111</v>
      </c>
      <c r="B2351" s="271" t="s">
        <v>6413</v>
      </c>
      <c r="C2351" s="427" t="s">
        <v>6402</v>
      </c>
      <c r="D2351" s="427" t="s">
        <v>6403</v>
      </c>
      <c r="E2351" s="427" t="s">
        <v>6458</v>
      </c>
      <c r="F2351" s="505" t="s">
        <v>433</v>
      </c>
      <c r="G2351" s="415">
        <v>50</v>
      </c>
      <c r="H2351" s="701" t="s">
        <v>1013</v>
      </c>
    </row>
    <row r="2352" spans="1:8">
      <c r="A2352" s="268">
        <v>112</v>
      </c>
      <c r="B2352" s="271" t="s">
        <v>6414</v>
      </c>
      <c r="C2352" s="427" t="s">
        <v>6402</v>
      </c>
      <c r="D2352" s="427" t="s">
        <v>6403</v>
      </c>
      <c r="E2352" s="427" t="s">
        <v>6459</v>
      </c>
      <c r="F2352" s="505" t="s">
        <v>433</v>
      </c>
      <c r="G2352" s="415">
        <v>150</v>
      </c>
      <c r="H2352" s="701" t="s">
        <v>1013</v>
      </c>
    </row>
    <row r="2353" spans="1:8">
      <c r="A2353" s="268">
        <v>113</v>
      </c>
      <c r="B2353" s="271" t="s">
        <v>6415</v>
      </c>
      <c r="C2353" s="427" t="s">
        <v>6402</v>
      </c>
      <c r="D2353" s="427" t="s">
        <v>6403</v>
      </c>
      <c r="E2353" s="427" t="s">
        <v>433</v>
      </c>
      <c r="F2353" s="505" t="s">
        <v>433</v>
      </c>
      <c r="G2353" s="415">
        <v>1600</v>
      </c>
      <c r="H2353" s="701" t="s">
        <v>1013</v>
      </c>
    </row>
    <row r="2354" spans="1:8" ht="33">
      <c r="A2354" s="268">
        <v>114</v>
      </c>
      <c r="B2354" s="271" t="s">
        <v>6416</v>
      </c>
      <c r="C2354" s="427" t="s">
        <v>6402</v>
      </c>
      <c r="D2354" s="427" t="s">
        <v>6403</v>
      </c>
      <c r="E2354" s="427" t="s">
        <v>6460</v>
      </c>
      <c r="F2354" s="505" t="s">
        <v>433</v>
      </c>
      <c r="G2354" s="415">
        <v>1000</v>
      </c>
      <c r="H2354" s="701" t="s">
        <v>1013</v>
      </c>
    </row>
    <row r="2355" spans="1:8">
      <c r="A2355" s="268">
        <v>115</v>
      </c>
      <c r="B2355" s="271" t="s">
        <v>6417</v>
      </c>
      <c r="C2355" s="427" t="s">
        <v>6402</v>
      </c>
      <c r="D2355" s="427" t="s">
        <v>6403</v>
      </c>
      <c r="E2355" s="427" t="s">
        <v>6461</v>
      </c>
      <c r="F2355" s="505" t="s">
        <v>6415</v>
      </c>
      <c r="G2355" s="415">
        <v>400</v>
      </c>
      <c r="H2355" s="701" t="s">
        <v>1013</v>
      </c>
    </row>
    <row r="2356" spans="1:8">
      <c r="A2356" s="268">
        <v>116</v>
      </c>
      <c r="B2356" s="271" t="s">
        <v>4735</v>
      </c>
      <c r="C2356" s="427" t="s">
        <v>6402</v>
      </c>
      <c r="D2356" s="427" t="s">
        <v>6403</v>
      </c>
      <c r="E2356" s="427" t="s">
        <v>6462</v>
      </c>
      <c r="F2356" s="505" t="s">
        <v>6464</v>
      </c>
      <c r="G2356" s="415">
        <v>400</v>
      </c>
      <c r="H2356" s="701" t="s">
        <v>1013</v>
      </c>
    </row>
    <row r="2357" spans="1:8">
      <c r="A2357" s="268">
        <v>117</v>
      </c>
      <c r="B2357" s="271" t="s">
        <v>6418</v>
      </c>
      <c r="C2357" s="427" t="s">
        <v>6402</v>
      </c>
      <c r="D2357" s="427" t="s">
        <v>6403</v>
      </c>
      <c r="E2357" s="427" t="s">
        <v>6463</v>
      </c>
      <c r="F2357" s="505" t="s">
        <v>6464</v>
      </c>
      <c r="G2357" s="415">
        <v>300</v>
      </c>
      <c r="H2357" s="701" t="s">
        <v>1013</v>
      </c>
    </row>
    <row r="2358" spans="1:8">
      <c r="A2358" s="268">
        <v>118</v>
      </c>
      <c r="B2358" s="271" t="s">
        <v>6419</v>
      </c>
      <c r="C2358" s="427" t="s">
        <v>6402</v>
      </c>
      <c r="D2358" s="427" t="s">
        <v>6403</v>
      </c>
      <c r="E2358" s="427" t="s">
        <v>6464</v>
      </c>
      <c r="F2358" s="505" t="s">
        <v>6415</v>
      </c>
      <c r="G2358" s="415">
        <v>800</v>
      </c>
      <c r="H2358" s="701" t="s">
        <v>1013</v>
      </c>
    </row>
    <row r="2359" spans="1:8">
      <c r="A2359" s="268">
        <v>119</v>
      </c>
      <c r="B2359" s="271" t="s">
        <v>4863</v>
      </c>
      <c r="C2359" s="427" t="s">
        <v>6402</v>
      </c>
      <c r="D2359" s="427" t="s">
        <v>6403</v>
      </c>
      <c r="E2359" s="427" t="s">
        <v>6464</v>
      </c>
      <c r="F2359" s="505" t="s">
        <v>6415</v>
      </c>
      <c r="G2359" s="415">
        <v>800</v>
      </c>
      <c r="H2359" s="701" t="s">
        <v>1013</v>
      </c>
    </row>
    <row r="2360" spans="1:8">
      <c r="A2360" s="268">
        <v>120</v>
      </c>
      <c r="B2360" s="271" t="s">
        <v>6420</v>
      </c>
      <c r="C2360" s="427" t="s">
        <v>6402</v>
      </c>
      <c r="D2360" s="427" t="s">
        <v>6403</v>
      </c>
      <c r="E2360" s="427" t="s">
        <v>6464</v>
      </c>
      <c r="F2360" s="505" t="s">
        <v>6415</v>
      </c>
      <c r="G2360" s="415">
        <v>800</v>
      </c>
      <c r="H2360" s="701" t="s">
        <v>1013</v>
      </c>
    </row>
    <row r="2361" spans="1:8">
      <c r="A2361" s="268">
        <v>121</v>
      </c>
      <c r="B2361" s="271" t="s">
        <v>3018</v>
      </c>
      <c r="C2361" s="427" t="s">
        <v>6402</v>
      </c>
      <c r="D2361" s="427" t="s">
        <v>6403</v>
      </c>
      <c r="E2361" s="427" t="s">
        <v>6464</v>
      </c>
      <c r="F2361" s="505" t="s">
        <v>6415</v>
      </c>
      <c r="G2361" s="415">
        <v>800</v>
      </c>
      <c r="H2361" s="701" t="s">
        <v>1013</v>
      </c>
    </row>
    <row r="2362" spans="1:8">
      <c r="A2362" s="268">
        <v>122</v>
      </c>
      <c r="B2362" s="271" t="s">
        <v>6421</v>
      </c>
      <c r="C2362" s="427" t="s">
        <v>6402</v>
      </c>
      <c r="D2362" s="427" t="s">
        <v>6403</v>
      </c>
      <c r="E2362" s="427" t="s">
        <v>6464</v>
      </c>
      <c r="F2362" s="505" t="s">
        <v>6415</v>
      </c>
      <c r="G2362" s="415">
        <v>600</v>
      </c>
      <c r="H2362" s="701" t="s">
        <v>1013</v>
      </c>
    </row>
    <row r="2363" spans="1:8">
      <c r="A2363" s="268">
        <v>123</v>
      </c>
      <c r="B2363" s="271" t="s">
        <v>6422</v>
      </c>
      <c r="C2363" s="427" t="s">
        <v>6402</v>
      </c>
      <c r="D2363" s="427" t="s">
        <v>6403</v>
      </c>
      <c r="E2363" s="427" t="s">
        <v>6465</v>
      </c>
      <c r="F2363" s="505" t="s">
        <v>433</v>
      </c>
      <c r="G2363" s="415">
        <v>50</v>
      </c>
      <c r="H2363" s="701" t="s">
        <v>1013</v>
      </c>
    </row>
    <row r="2364" spans="1:8">
      <c r="A2364" s="268">
        <v>124</v>
      </c>
      <c r="B2364" s="271" t="s">
        <v>6423</v>
      </c>
      <c r="C2364" s="427" t="s">
        <v>6402</v>
      </c>
      <c r="D2364" s="427" t="s">
        <v>6403</v>
      </c>
      <c r="E2364" s="427" t="s">
        <v>6466</v>
      </c>
      <c r="F2364" s="505" t="s">
        <v>433</v>
      </c>
      <c r="G2364" s="415">
        <v>500</v>
      </c>
      <c r="H2364" s="701" t="s">
        <v>1013</v>
      </c>
    </row>
    <row r="2365" spans="1:8" ht="33">
      <c r="A2365" s="268">
        <v>125</v>
      </c>
      <c r="B2365" s="271" t="s">
        <v>6424</v>
      </c>
      <c r="C2365" s="427" t="s">
        <v>6402</v>
      </c>
      <c r="D2365" s="427" t="s">
        <v>6403</v>
      </c>
      <c r="E2365" s="427" t="s">
        <v>6467</v>
      </c>
      <c r="F2365" s="505" t="s">
        <v>433</v>
      </c>
      <c r="G2365" s="415">
        <v>200</v>
      </c>
      <c r="H2365" s="701" t="s">
        <v>1013</v>
      </c>
    </row>
    <row r="2366" spans="1:8">
      <c r="A2366" s="268">
        <v>126</v>
      </c>
      <c r="B2366" s="271" t="s">
        <v>6425</v>
      </c>
      <c r="C2366" s="427" t="s">
        <v>6402</v>
      </c>
      <c r="D2366" s="427" t="s">
        <v>6403</v>
      </c>
      <c r="E2366" s="427" t="s">
        <v>6468</v>
      </c>
      <c r="F2366" s="505" t="s">
        <v>433</v>
      </c>
      <c r="G2366" s="415">
        <v>500</v>
      </c>
      <c r="H2366" s="701" t="s">
        <v>1013</v>
      </c>
    </row>
    <row r="2367" spans="1:8">
      <c r="A2367" s="268">
        <v>127</v>
      </c>
      <c r="B2367" s="271" t="s">
        <v>6426</v>
      </c>
      <c r="C2367" s="427" t="s">
        <v>6402</v>
      </c>
      <c r="D2367" s="427" t="s">
        <v>6403</v>
      </c>
      <c r="E2367" s="427" t="s">
        <v>6469</v>
      </c>
      <c r="F2367" s="505" t="s">
        <v>433</v>
      </c>
      <c r="G2367" s="415">
        <v>200</v>
      </c>
      <c r="H2367" s="701" t="s">
        <v>295</v>
      </c>
    </row>
    <row r="2368" spans="1:8">
      <c r="A2368" s="268">
        <v>128</v>
      </c>
      <c r="B2368" s="271" t="s">
        <v>6427</v>
      </c>
      <c r="C2368" s="427" t="s">
        <v>6402</v>
      </c>
      <c r="D2368" s="427" t="s">
        <v>6403</v>
      </c>
      <c r="E2368" s="427" t="s">
        <v>6470</v>
      </c>
      <c r="F2368" s="505" t="s">
        <v>433</v>
      </c>
      <c r="G2368" s="416">
        <v>400</v>
      </c>
      <c r="H2368" s="701" t="s">
        <v>295</v>
      </c>
    </row>
    <row r="2369" spans="1:8">
      <c r="A2369" s="268">
        <v>129</v>
      </c>
      <c r="B2369" s="271" t="s">
        <v>6428</v>
      </c>
      <c r="C2369" s="427" t="s">
        <v>6402</v>
      </c>
      <c r="D2369" s="427" t="s">
        <v>6403</v>
      </c>
      <c r="E2369" s="427" t="s">
        <v>6471</v>
      </c>
      <c r="F2369" s="505" t="s">
        <v>433</v>
      </c>
      <c r="G2369" s="416">
        <v>200</v>
      </c>
      <c r="H2369" s="701" t="s">
        <v>295</v>
      </c>
    </row>
    <row r="2370" spans="1:8">
      <c r="A2370" s="268">
        <v>130</v>
      </c>
      <c r="B2370" s="271" t="s">
        <v>6429</v>
      </c>
      <c r="C2370" s="427" t="s">
        <v>6402</v>
      </c>
      <c r="D2370" s="427" t="s">
        <v>6403</v>
      </c>
      <c r="E2370" s="427" t="s">
        <v>6472</v>
      </c>
      <c r="F2370" s="505" t="s">
        <v>433</v>
      </c>
      <c r="G2370" s="416">
        <v>400</v>
      </c>
      <c r="H2370" s="701" t="s">
        <v>295</v>
      </c>
    </row>
    <row r="2371" spans="1:8">
      <c r="A2371" s="268">
        <v>131</v>
      </c>
      <c r="B2371" s="271" t="s">
        <v>6430</v>
      </c>
      <c r="C2371" s="427" t="s">
        <v>6402</v>
      </c>
      <c r="D2371" s="427" t="s">
        <v>6403</v>
      </c>
      <c r="E2371" s="427" t="s">
        <v>6473</v>
      </c>
      <c r="F2371" s="505" t="s">
        <v>433</v>
      </c>
      <c r="G2371" s="416">
        <v>320</v>
      </c>
      <c r="H2371" s="701" t="s">
        <v>295</v>
      </c>
    </row>
    <row r="2372" spans="1:8">
      <c r="A2372" s="268">
        <v>132</v>
      </c>
      <c r="B2372" s="271" t="s">
        <v>6431</v>
      </c>
      <c r="C2372" s="427" t="s">
        <v>6402</v>
      </c>
      <c r="D2372" s="427" t="s">
        <v>6403</v>
      </c>
      <c r="E2372" s="427" t="s">
        <v>6474</v>
      </c>
      <c r="F2372" s="505" t="s">
        <v>433</v>
      </c>
      <c r="G2372" s="416">
        <v>700</v>
      </c>
      <c r="H2372" s="701" t="s">
        <v>295</v>
      </c>
    </row>
    <row r="2373" spans="1:8">
      <c r="A2373" s="268">
        <v>133</v>
      </c>
      <c r="B2373" s="271" t="s">
        <v>6432</v>
      </c>
      <c r="C2373" s="427" t="s">
        <v>6402</v>
      </c>
      <c r="D2373" s="427" t="s">
        <v>6403</v>
      </c>
      <c r="E2373" s="427" t="s">
        <v>6475</v>
      </c>
      <c r="F2373" s="505" t="s">
        <v>433</v>
      </c>
      <c r="G2373" s="416">
        <v>1000</v>
      </c>
      <c r="H2373" s="701" t="s">
        <v>295</v>
      </c>
    </row>
    <row r="2374" spans="1:8">
      <c r="A2374" s="268">
        <v>134</v>
      </c>
      <c r="B2374" s="271" t="s">
        <v>6433</v>
      </c>
      <c r="C2374" s="427" t="s">
        <v>6402</v>
      </c>
      <c r="D2374" s="427" t="s">
        <v>6403</v>
      </c>
      <c r="E2374" s="427" t="s">
        <v>6476</v>
      </c>
      <c r="F2374" s="505" t="s">
        <v>433</v>
      </c>
      <c r="G2374" s="416">
        <v>500</v>
      </c>
      <c r="H2374" s="701" t="s">
        <v>295</v>
      </c>
    </row>
    <row r="2375" spans="1:8" ht="33">
      <c r="A2375" s="268">
        <v>135</v>
      </c>
      <c r="B2375" s="271" t="s">
        <v>6434</v>
      </c>
      <c r="C2375" s="427" t="s">
        <v>6402</v>
      </c>
      <c r="D2375" s="427" t="s">
        <v>6403</v>
      </c>
      <c r="E2375" s="427" t="s">
        <v>6477</v>
      </c>
      <c r="F2375" s="505" t="s">
        <v>433</v>
      </c>
      <c r="G2375" s="416">
        <v>410</v>
      </c>
      <c r="H2375" s="701" t="s">
        <v>295</v>
      </c>
    </row>
    <row r="2376" spans="1:8">
      <c r="A2376" s="268">
        <v>136</v>
      </c>
      <c r="B2376" s="271" t="s">
        <v>6435</v>
      </c>
      <c r="C2376" s="427" t="s">
        <v>6402</v>
      </c>
      <c r="D2376" s="427" t="s">
        <v>6403</v>
      </c>
      <c r="E2376" s="427" t="s">
        <v>6478</v>
      </c>
      <c r="F2376" s="505" t="s">
        <v>433</v>
      </c>
      <c r="G2376" s="416">
        <v>900</v>
      </c>
      <c r="H2376" s="701" t="s">
        <v>295</v>
      </c>
    </row>
    <row r="2377" spans="1:8">
      <c r="A2377" s="268">
        <v>137</v>
      </c>
      <c r="B2377" s="271" t="s">
        <v>5225</v>
      </c>
      <c r="C2377" s="427" t="s">
        <v>6402</v>
      </c>
      <c r="D2377" s="427" t="s">
        <v>6403</v>
      </c>
      <c r="E2377" s="427" t="s">
        <v>6473</v>
      </c>
      <c r="F2377" s="505" t="s">
        <v>433</v>
      </c>
      <c r="G2377" s="416">
        <v>578</v>
      </c>
      <c r="H2377" s="701" t="s">
        <v>295</v>
      </c>
    </row>
    <row r="2378" spans="1:8" ht="49.5">
      <c r="A2378" s="268">
        <v>138</v>
      </c>
      <c r="B2378" s="271" t="s">
        <v>6436</v>
      </c>
      <c r="C2378" s="427" t="s">
        <v>6402</v>
      </c>
      <c r="D2378" s="427" t="s">
        <v>6403</v>
      </c>
      <c r="E2378" s="427" t="s">
        <v>6479</v>
      </c>
      <c r="F2378" s="505" t="s">
        <v>433</v>
      </c>
      <c r="G2378" s="416">
        <v>550</v>
      </c>
      <c r="H2378" s="701" t="s">
        <v>295</v>
      </c>
    </row>
    <row r="2379" spans="1:8">
      <c r="A2379" s="268">
        <v>139</v>
      </c>
      <c r="B2379" s="271" t="s">
        <v>6437</v>
      </c>
      <c r="C2379" s="427" t="s">
        <v>6402</v>
      </c>
      <c r="D2379" s="427" t="s">
        <v>6403</v>
      </c>
      <c r="E2379" s="427" t="s">
        <v>6480</v>
      </c>
      <c r="F2379" s="505" t="s">
        <v>433</v>
      </c>
      <c r="G2379" s="416">
        <v>1000</v>
      </c>
      <c r="H2379" s="701" t="s">
        <v>986</v>
      </c>
    </row>
    <row r="2380" spans="1:8">
      <c r="A2380" s="268">
        <v>140</v>
      </c>
      <c r="B2380" s="271" t="s">
        <v>6438</v>
      </c>
      <c r="C2380" s="427" t="s">
        <v>6402</v>
      </c>
      <c r="D2380" s="427" t="s">
        <v>6403</v>
      </c>
      <c r="E2380" s="427" t="s">
        <v>6481</v>
      </c>
      <c r="F2380" s="505" t="s">
        <v>433</v>
      </c>
      <c r="G2380" s="416"/>
      <c r="H2380" s="701" t="s">
        <v>986</v>
      </c>
    </row>
    <row r="2381" spans="1:8">
      <c r="A2381" s="268">
        <v>141</v>
      </c>
      <c r="B2381" s="271" t="s">
        <v>6439</v>
      </c>
      <c r="C2381" s="427" t="s">
        <v>6402</v>
      </c>
      <c r="D2381" s="427" t="s">
        <v>6403</v>
      </c>
      <c r="E2381" s="427" t="s">
        <v>6482</v>
      </c>
      <c r="F2381" s="505" t="s">
        <v>433</v>
      </c>
      <c r="G2381" s="416">
        <v>150</v>
      </c>
      <c r="H2381" s="701" t="s">
        <v>986</v>
      </c>
    </row>
    <row r="2382" spans="1:8">
      <c r="A2382" s="268">
        <v>142</v>
      </c>
      <c r="B2382" s="271" t="s">
        <v>6440</v>
      </c>
      <c r="C2382" s="427" t="s">
        <v>6402</v>
      </c>
      <c r="D2382" s="427" t="s">
        <v>6403</v>
      </c>
      <c r="E2382" s="427" t="s">
        <v>6482</v>
      </c>
      <c r="F2382" s="505" t="s">
        <v>433</v>
      </c>
      <c r="G2382" s="416">
        <v>150</v>
      </c>
      <c r="H2382" s="701" t="s">
        <v>986</v>
      </c>
    </row>
    <row r="2383" spans="1:8" ht="66">
      <c r="A2383" s="268">
        <v>143</v>
      </c>
      <c r="B2383" s="271" t="s">
        <v>590</v>
      </c>
      <c r="C2383" s="427" t="s">
        <v>6402</v>
      </c>
      <c r="D2383" s="427" t="s">
        <v>6403</v>
      </c>
      <c r="E2383" s="427" t="s">
        <v>6483</v>
      </c>
      <c r="F2383" s="505" t="s">
        <v>433</v>
      </c>
      <c r="G2383" s="416">
        <v>950</v>
      </c>
      <c r="H2383" s="701" t="s">
        <v>986</v>
      </c>
    </row>
    <row r="2384" spans="1:8">
      <c r="A2384" s="268">
        <v>144</v>
      </c>
      <c r="B2384" s="271" t="s">
        <v>6441</v>
      </c>
      <c r="C2384" s="427" t="s">
        <v>6402</v>
      </c>
      <c r="D2384" s="427" t="s">
        <v>6403</v>
      </c>
      <c r="E2384" s="427" t="s">
        <v>6482</v>
      </c>
      <c r="F2384" s="505" t="s">
        <v>433</v>
      </c>
      <c r="G2384" s="416">
        <v>600</v>
      </c>
      <c r="H2384" s="701" t="s">
        <v>986</v>
      </c>
    </row>
    <row r="2385" spans="1:8">
      <c r="A2385" s="268">
        <v>145</v>
      </c>
      <c r="B2385" s="271" t="s">
        <v>6442</v>
      </c>
      <c r="C2385" s="427" t="s">
        <v>6402</v>
      </c>
      <c r="D2385" s="427" t="s">
        <v>6403</v>
      </c>
      <c r="E2385" s="427" t="s">
        <v>6482</v>
      </c>
      <c r="F2385" s="505" t="s">
        <v>433</v>
      </c>
      <c r="G2385" s="416">
        <v>500</v>
      </c>
      <c r="H2385" s="701" t="s">
        <v>986</v>
      </c>
    </row>
    <row r="2386" spans="1:8" ht="33">
      <c r="A2386" s="268">
        <v>146</v>
      </c>
      <c r="B2386" s="271" t="s">
        <v>6443</v>
      </c>
      <c r="C2386" s="427" t="s">
        <v>6402</v>
      </c>
      <c r="D2386" s="427" t="s">
        <v>6403</v>
      </c>
      <c r="E2386" s="427" t="s">
        <v>6484</v>
      </c>
      <c r="F2386" s="505" t="s">
        <v>433</v>
      </c>
      <c r="G2386" s="416">
        <v>350</v>
      </c>
      <c r="H2386" s="701" t="s">
        <v>986</v>
      </c>
    </row>
    <row r="2387" spans="1:8">
      <c r="A2387" s="268">
        <v>147</v>
      </c>
      <c r="B2387" s="271" t="s">
        <v>6444</v>
      </c>
      <c r="C2387" s="427" t="s">
        <v>6402</v>
      </c>
      <c r="D2387" s="427" t="s">
        <v>6403</v>
      </c>
      <c r="E2387" s="427"/>
      <c r="F2387" s="505" t="s">
        <v>433</v>
      </c>
      <c r="G2387" s="416">
        <v>150</v>
      </c>
      <c r="H2387" s="701" t="s">
        <v>986</v>
      </c>
    </row>
    <row r="2388" spans="1:8">
      <c r="A2388" s="268">
        <v>148</v>
      </c>
      <c r="B2388" s="271" t="s">
        <v>6445</v>
      </c>
      <c r="C2388" s="427" t="s">
        <v>6402</v>
      </c>
      <c r="D2388" s="427" t="s">
        <v>6403</v>
      </c>
      <c r="E2388" s="427"/>
      <c r="F2388" s="505" t="s">
        <v>433</v>
      </c>
      <c r="G2388" s="416">
        <v>400</v>
      </c>
      <c r="H2388" s="701" t="s">
        <v>986</v>
      </c>
    </row>
    <row r="2389" spans="1:8">
      <c r="A2389" s="268">
        <v>149</v>
      </c>
      <c r="B2389" s="271" t="s">
        <v>6446</v>
      </c>
      <c r="C2389" s="427" t="s">
        <v>6402</v>
      </c>
      <c r="D2389" s="427" t="s">
        <v>6403</v>
      </c>
      <c r="E2389" s="427" t="s">
        <v>6485</v>
      </c>
      <c r="F2389" s="505" t="s">
        <v>433</v>
      </c>
      <c r="G2389" s="416">
        <v>150</v>
      </c>
      <c r="H2389" s="701" t="s">
        <v>986</v>
      </c>
    </row>
    <row r="2390" spans="1:8" ht="33">
      <c r="A2390" s="268">
        <v>150</v>
      </c>
      <c r="B2390" s="271" t="s">
        <v>6447</v>
      </c>
      <c r="C2390" s="427" t="s">
        <v>6402</v>
      </c>
      <c r="D2390" s="427" t="s">
        <v>6403</v>
      </c>
      <c r="E2390" s="427" t="s">
        <v>6486</v>
      </c>
      <c r="F2390" s="505" t="s">
        <v>433</v>
      </c>
      <c r="G2390" s="416">
        <v>1300</v>
      </c>
      <c r="H2390" s="701" t="s">
        <v>986</v>
      </c>
    </row>
    <row r="2391" spans="1:8">
      <c r="A2391" s="268">
        <v>151</v>
      </c>
      <c r="B2391" s="271" t="s">
        <v>6448</v>
      </c>
      <c r="C2391" s="427" t="s">
        <v>6402</v>
      </c>
      <c r="D2391" s="427" t="s">
        <v>6403</v>
      </c>
      <c r="E2391" s="427" t="s">
        <v>6487</v>
      </c>
      <c r="F2391" s="505" t="s">
        <v>433</v>
      </c>
      <c r="G2391" s="416">
        <v>400</v>
      </c>
      <c r="H2391" s="701" t="s">
        <v>986</v>
      </c>
    </row>
    <row r="2392" spans="1:8" ht="33">
      <c r="A2392" s="268">
        <v>152</v>
      </c>
      <c r="B2392" s="271" t="s">
        <v>352</v>
      </c>
      <c r="C2392" s="427" t="s">
        <v>6402</v>
      </c>
      <c r="D2392" s="427" t="s">
        <v>6403</v>
      </c>
      <c r="E2392" s="427" t="s">
        <v>6488</v>
      </c>
      <c r="F2392" s="505" t="s">
        <v>433</v>
      </c>
      <c r="G2392" s="416">
        <v>200</v>
      </c>
      <c r="H2392" s="701" t="s">
        <v>986</v>
      </c>
    </row>
    <row r="2393" spans="1:8">
      <c r="A2393" s="268">
        <v>153</v>
      </c>
      <c r="B2393" s="271" t="s">
        <v>6449</v>
      </c>
      <c r="C2393" s="427" t="s">
        <v>6402</v>
      </c>
      <c r="D2393" s="427" t="s">
        <v>6403</v>
      </c>
      <c r="E2393" s="427" t="s">
        <v>6489</v>
      </c>
      <c r="F2393" s="505" t="s">
        <v>433</v>
      </c>
      <c r="G2393" s="416">
        <v>200</v>
      </c>
      <c r="H2393" s="701" t="s">
        <v>188</v>
      </c>
    </row>
    <row r="2394" spans="1:8" ht="33">
      <c r="A2394" s="268">
        <v>154</v>
      </c>
      <c r="B2394" s="271" t="s">
        <v>495</v>
      </c>
      <c r="C2394" s="427" t="s">
        <v>6402</v>
      </c>
      <c r="D2394" s="427" t="s">
        <v>6403</v>
      </c>
      <c r="E2394" s="427" t="s">
        <v>6488</v>
      </c>
      <c r="F2394" s="505" t="s">
        <v>433</v>
      </c>
      <c r="G2394" s="416">
        <v>220</v>
      </c>
      <c r="H2394" s="701" t="s">
        <v>188</v>
      </c>
    </row>
    <row r="2395" spans="1:8">
      <c r="A2395" s="268">
        <v>155</v>
      </c>
      <c r="B2395" s="271" t="s">
        <v>6319</v>
      </c>
      <c r="C2395" s="427" t="s">
        <v>6270</v>
      </c>
      <c r="D2395" s="427" t="s">
        <v>6361</v>
      </c>
      <c r="E2395" s="290" t="s">
        <v>6320</v>
      </c>
      <c r="F2395" s="290" t="s">
        <v>433</v>
      </c>
      <c r="G2395" s="415">
        <v>80</v>
      </c>
      <c r="H2395" s="290">
        <v>14</v>
      </c>
    </row>
    <row r="2396" spans="1:8">
      <c r="A2396" s="268">
        <v>156</v>
      </c>
      <c r="B2396" s="271" t="s">
        <v>6321</v>
      </c>
      <c r="C2396" s="427" t="s">
        <v>6270</v>
      </c>
      <c r="D2396" s="427" t="s">
        <v>6361</v>
      </c>
      <c r="E2396" s="290" t="s">
        <v>6322</v>
      </c>
      <c r="F2396" s="290" t="s">
        <v>433</v>
      </c>
      <c r="G2396" s="415">
        <v>150</v>
      </c>
      <c r="H2396" s="290">
        <v>20</v>
      </c>
    </row>
    <row r="2397" spans="1:8">
      <c r="A2397" s="268">
        <v>157</v>
      </c>
      <c r="B2397" s="271" t="s">
        <v>6001</v>
      </c>
      <c r="C2397" s="427" t="s">
        <v>6270</v>
      </c>
      <c r="D2397" s="427" t="s">
        <v>6361</v>
      </c>
      <c r="E2397" s="290" t="s">
        <v>6320</v>
      </c>
      <c r="F2397" s="290" t="s">
        <v>433</v>
      </c>
      <c r="G2397" s="415">
        <v>150</v>
      </c>
      <c r="H2397" s="290">
        <v>15</v>
      </c>
    </row>
    <row r="2398" spans="1:8">
      <c r="A2398" s="268">
        <v>158</v>
      </c>
      <c r="B2398" s="271" t="s">
        <v>6323</v>
      </c>
      <c r="C2398" s="427" t="s">
        <v>6270</v>
      </c>
      <c r="D2398" s="427" t="s">
        <v>6361</v>
      </c>
      <c r="E2398" s="290" t="s">
        <v>6324</v>
      </c>
      <c r="F2398" s="290" t="s">
        <v>433</v>
      </c>
      <c r="G2398" s="415">
        <v>200</v>
      </c>
      <c r="H2398" s="290">
        <v>15</v>
      </c>
    </row>
    <row r="2399" spans="1:8">
      <c r="A2399" s="268">
        <v>159</v>
      </c>
      <c r="B2399" s="271" t="s">
        <v>6325</v>
      </c>
      <c r="C2399" s="427" t="s">
        <v>6270</v>
      </c>
      <c r="D2399" s="427" t="s">
        <v>6361</v>
      </c>
      <c r="E2399" s="290" t="s">
        <v>6326</v>
      </c>
      <c r="F2399" s="290" t="s">
        <v>433</v>
      </c>
      <c r="G2399" s="415">
        <v>100</v>
      </c>
      <c r="H2399" s="290">
        <v>20</v>
      </c>
    </row>
    <row r="2400" spans="1:8">
      <c r="A2400" s="268">
        <v>160</v>
      </c>
      <c r="B2400" s="271" t="s">
        <v>6327</v>
      </c>
      <c r="C2400" s="427" t="s">
        <v>6270</v>
      </c>
      <c r="D2400" s="427" t="s">
        <v>6361</v>
      </c>
      <c r="E2400" s="290" t="s">
        <v>6328</v>
      </c>
      <c r="F2400" s="290" t="s">
        <v>433</v>
      </c>
      <c r="G2400" s="415">
        <v>80</v>
      </c>
      <c r="H2400" s="290">
        <v>20</v>
      </c>
    </row>
    <row r="2401" spans="1:8">
      <c r="A2401" s="268">
        <v>161</v>
      </c>
      <c r="B2401" s="271" t="s">
        <v>6329</v>
      </c>
      <c r="C2401" s="427" t="s">
        <v>6270</v>
      </c>
      <c r="D2401" s="427" t="s">
        <v>6361</v>
      </c>
      <c r="E2401" s="290" t="s">
        <v>6320</v>
      </c>
      <c r="F2401" s="290" t="s">
        <v>433</v>
      </c>
      <c r="G2401" s="415">
        <v>250</v>
      </c>
      <c r="H2401" s="290">
        <v>15</v>
      </c>
    </row>
    <row r="2402" spans="1:8">
      <c r="A2402" s="268">
        <v>162</v>
      </c>
      <c r="B2402" s="271" t="s">
        <v>6330</v>
      </c>
      <c r="C2402" s="427" t="s">
        <v>6270</v>
      </c>
      <c r="D2402" s="427" t="s">
        <v>6361</v>
      </c>
      <c r="E2402" s="290" t="s">
        <v>6331</v>
      </c>
      <c r="F2402" s="290" t="s">
        <v>433</v>
      </c>
      <c r="G2402" s="415">
        <v>200</v>
      </c>
      <c r="H2402" s="290">
        <v>15</v>
      </c>
    </row>
    <row r="2403" spans="1:8">
      <c r="A2403" s="268">
        <v>163</v>
      </c>
      <c r="B2403" s="271" t="s">
        <v>6332</v>
      </c>
      <c r="C2403" s="427" t="s">
        <v>6270</v>
      </c>
      <c r="D2403" s="427" t="s">
        <v>6361</v>
      </c>
      <c r="E2403" s="290" t="s">
        <v>6333</v>
      </c>
      <c r="F2403" s="290" t="s">
        <v>433</v>
      </c>
      <c r="G2403" s="415">
        <v>200</v>
      </c>
      <c r="H2403" s="290">
        <v>15</v>
      </c>
    </row>
    <row r="2404" spans="1:8">
      <c r="A2404" s="268">
        <v>164</v>
      </c>
      <c r="B2404" s="271" t="s">
        <v>6334</v>
      </c>
      <c r="C2404" s="427" t="s">
        <v>6270</v>
      </c>
      <c r="D2404" s="427" t="s">
        <v>6361</v>
      </c>
      <c r="E2404" s="290" t="s">
        <v>6335</v>
      </c>
      <c r="F2404" s="290" t="s">
        <v>433</v>
      </c>
      <c r="G2404" s="415">
        <v>300</v>
      </c>
      <c r="H2404" s="290">
        <v>20</v>
      </c>
    </row>
    <row r="2405" spans="1:8">
      <c r="A2405" s="268">
        <v>165</v>
      </c>
      <c r="B2405" s="271" t="s">
        <v>6336</v>
      </c>
      <c r="C2405" s="427" t="s">
        <v>6270</v>
      </c>
      <c r="D2405" s="427" t="s">
        <v>6361</v>
      </c>
      <c r="E2405" s="290" t="s">
        <v>6289</v>
      </c>
      <c r="F2405" s="290" t="s">
        <v>433</v>
      </c>
      <c r="G2405" s="415">
        <v>410</v>
      </c>
      <c r="H2405" s="290">
        <v>20</v>
      </c>
    </row>
    <row r="2406" spans="1:8" ht="33">
      <c r="A2406" s="268">
        <v>166</v>
      </c>
      <c r="B2406" s="271" t="s">
        <v>6337</v>
      </c>
      <c r="C2406" s="427" t="s">
        <v>6270</v>
      </c>
      <c r="D2406" s="427" t="s">
        <v>6361</v>
      </c>
      <c r="E2406" s="290" t="s">
        <v>6289</v>
      </c>
      <c r="F2406" s="290" t="s">
        <v>6338</v>
      </c>
      <c r="G2406" s="415">
        <v>347</v>
      </c>
      <c r="H2406" s="701" t="s">
        <v>1003</v>
      </c>
    </row>
    <row r="2407" spans="1:8">
      <c r="A2407" s="268">
        <v>167</v>
      </c>
      <c r="B2407" s="271" t="s">
        <v>6339</v>
      </c>
      <c r="C2407" s="427" t="s">
        <v>6270</v>
      </c>
      <c r="D2407" s="427" t="s">
        <v>6361</v>
      </c>
      <c r="E2407" s="290" t="s">
        <v>6340</v>
      </c>
      <c r="F2407" s="290" t="s">
        <v>6211</v>
      </c>
      <c r="G2407" s="415">
        <v>1000</v>
      </c>
      <c r="H2407" s="701" t="s">
        <v>210</v>
      </c>
    </row>
    <row r="2408" spans="1:8">
      <c r="A2408" s="268">
        <v>168</v>
      </c>
      <c r="B2408" s="271" t="s">
        <v>6341</v>
      </c>
      <c r="C2408" s="427" t="s">
        <v>6270</v>
      </c>
      <c r="D2408" s="427" t="s">
        <v>6361</v>
      </c>
      <c r="E2408" s="290" t="s">
        <v>6342</v>
      </c>
      <c r="F2408" s="290" t="s">
        <v>6343</v>
      </c>
      <c r="G2408" s="415">
        <v>1100</v>
      </c>
      <c r="H2408" s="701" t="s">
        <v>207</v>
      </c>
    </row>
    <row r="2409" spans="1:8">
      <c r="A2409" s="268">
        <v>169</v>
      </c>
      <c r="B2409" s="271" t="s">
        <v>6344</v>
      </c>
      <c r="C2409" s="427" t="s">
        <v>6270</v>
      </c>
      <c r="D2409" s="427" t="s">
        <v>6361</v>
      </c>
      <c r="E2409" s="290" t="s">
        <v>6345</v>
      </c>
      <c r="F2409" s="290" t="s">
        <v>6346</v>
      </c>
      <c r="G2409" s="415">
        <v>120</v>
      </c>
      <c r="H2409" s="701" t="s">
        <v>189</v>
      </c>
    </row>
    <row r="2410" spans="1:8">
      <c r="A2410" s="268">
        <v>170</v>
      </c>
      <c r="B2410" s="271" t="s">
        <v>3684</v>
      </c>
      <c r="C2410" s="427" t="s">
        <v>6270</v>
      </c>
      <c r="D2410" s="427" t="s">
        <v>6361</v>
      </c>
      <c r="E2410" s="290" t="s">
        <v>6347</v>
      </c>
      <c r="F2410" s="290" t="s">
        <v>433</v>
      </c>
      <c r="G2410" s="415">
        <v>647</v>
      </c>
      <c r="H2410" s="701" t="s">
        <v>9105</v>
      </c>
    </row>
    <row r="2411" spans="1:8">
      <c r="A2411" s="268">
        <v>171</v>
      </c>
      <c r="B2411" s="271" t="s">
        <v>6348</v>
      </c>
      <c r="C2411" s="427" t="s">
        <v>6270</v>
      </c>
      <c r="D2411" s="427" t="s">
        <v>6361</v>
      </c>
      <c r="E2411" s="290" t="s">
        <v>6347</v>
      </c>
      <c r="F2411" s="290" t="s">
        <v>6349</v>
      </c>
      <c r="G2411" s="415">
        <v>480</v>
      </c>
      <c r="H2411" s="701" t="s">
        <v>222</v>
      </c>
    </row>
    <row r="2412" spans="1:8">
      <c r="A2412" s="268">
        <v>172</v>
      </c>
      <c r="B2412" s="271" t="s">
        <v>6350</v>
      </c>
      <c r="C2412" s="427" t="s">
        <v>6270</v>
      </c>
      <c r="D2412" s="427" t="s">
        <v>6361</v>
      </c>
      <c r="E2412" s="290" t="s">
        <v>6351</v>
      </c>
      <c r="F2412" s="290" t="s">
        <v>6349</v>
      </c>
      <c r="G2412" s="415">
        <v>1095</v>
      </c>
      <c r="H2412" s="701" t="s">
        <v>9017</v>
      </c>
    </row>
    <row r="2413" spans="1:8">
      <c r="A2413" s="268">
        <v>173</v>
      </c>
      <c r="B2413" s="271" t="s">
        <v>5992</v>
      </c>
      <c r="C2413" s="427" t="s">
        <v>6270</v>
      </c>
      <c r="D2413" s="427" t="s">
        <v>6361</v>
      </c>
      <c r="E2413" s="290" t="s">
        <v>6352</v>
      </c>
      <c r="F2413" s="290" t="s">
        <v>6349</v>
      </c>
      <c r="G2413" s="415">
        <v>963</v>
      </c>
      <c r="H2413" s="701" t="s">
        <v>9106</v>
      </c>
    </row>
    <row r="2414" spans="1:8">
      <c r="A2414" s="268">
        <v>174</v>
      </c>
      <c r="B2414" s="271" t="s">
        <v>2844</v>
      </c>
      <c r="C2414" s="427" t="s">
        <v>6270</v>
      </c>
      <c r="D2414" s="427" t="s">
        <v>6361</v>
      </c>
      <c r="E2414" s="290" t="s">
        <v>6353</v>
      </c>
      <c r="F2414" s="290" t="s">
        <v>433</v>
      </c>
      <c r="G2414" s="415">
        <v>2604</v>
      </c>
      <c r="H2414" s="701" t="s">
        <v>9107</v>
      </c>
    </row>
    <row r="2415" spans="1:8">
      <c r="A2415" s="268">
        <v>175</v>
      </c>
      <c r="B2415" s="271" t="s">
        <v>6354</v>
      </c>
      <c r="C2415" s="427" t="s">
        <v>6270</v>
      </c>
      <c r="D2415" s="427" t="s">
        <v>6361</v>
      </c>
      <c r="E2415" s="290" t="s">
        <v>6289</v>
      </c>
      <c r="F2415" s="290" t="s">
        <v>2844</v>
      </c>
      <c r="G2415" s="415">
        <v>129</v>
      </c>
      <c r="H2415" s="704" t="s">
        <v>224</v>
      </c>
    </row>
    <row r="2416" spans="1:8">
      <c r="A2416" s="268">
        <v>176</v>
      </c>
      <c r="B2416" s="271" t="s">
        <v>6355</v>
      </c>
      <c r="C2416" s="427" t="s">
        <v>6270</v>
      </c>
      <c r="D2416" s="427" t="s">
        <v>6361</v>
      </c>
      <c r="E2416" s="290" t="s">
        <v>6289</v>
      </c>
      <c r="F2416" s="290" t="s">
        <v>2844</v>
      </c>
      <c r="G2416" s="415">
        <v>120</v>
      </c>
      <c r="H2416" s="701" t="s">
        <v>224</v>
      </c>
    </row>
    <row r="2417" spans="1:8">
      <c r="A2417" s="268">
        <v>177</v>
      </c>
      <c r="B2417" s="271" t="s">
        <v>6356</v>
      </c>
      <c r="C2417" s="427" t="s">
        <v>6270</v>
      </c>
      <c r="D2417" s="427" t="s">
        <v>6361</v>
      </c>
      <c r="E2417" s="290" t="s">
        <v>6289</v>
      </c>
      <c r="F2417" s="290" t="s">
        <v>2844</v>
      </c>
      <c r="G2417" s="415">
        <v>675</v>
      </c>
      <c r="H2417" s="701" t="s">
        <v>9096</v>
      </c>
    </row>
    <row r="2418" spans="1:8">
      <c r="A2418" s="268">
        <v>178</v>
      </c>
      <c r="B2418" s="271" t="s">
        <v>6357</v>
      </c>
      <c r="C2418" s="427" t="s">
        <v>6270</v>
      </c>
      <c r="D2418" s="427" t="s">
        <v>6361</v>
      </c>
      <c r="E2418" s="290" t="s">
        <v>6289</v>
      </c>
      <c r="F2418" s="290" t="s">
        <v>2844</v>
      </c>
      <c r="G2418" s="415">
        <v>620</v>
      </c>
      <c r="H2418" s="701" t="s">
        <v>4759</v>
      </c>
    </row>
    <row r="2419" spans="1:8">
      <c r="A2419" s="268">
        <v>179</v>
      </c>
      <c r="B2419" s="271" t="s">
        <v>6358</v>
      </c>
      <c r="C2419" s="427" t="s">
        <v>6270</v>
      </c>
      <c r="D2419" s="427" t="s">
        <v>6361</v>
      </c>
      <c r="E2419" s="290" t="s">
        <v>6353</v>
      </c>
      <c r="F2419" s="290" t="s">
        <v>2844</v>
      </c>
      <c r="G2419" s="415">
        <v>313</v>
      </c>
      <c r="H2419" s="701" t="s">
        <v>9108</v>
      </c>
    </row>
    <row r="2420" spans="1:8">
      <c r="A2420" s="268">
        <v>180</v>
      </c>
      <c r="B2420" s="271" t="s">
        <v>6359</v>
      </c>
      <c r="C2420" s="427" t="s">
        <v>6270</v>
      </c>
      <c r="D2420" s="427" t="s">
        <v>6361</v>
      </c>
      <c r="E2420" s="290" t="s">
        <v>6289</v>
      </c>
      <c r="F2420" s="290" t="s">
        <v>2844</v>
      </c>
      <c r="G2420" s="415">
        <v>172</v>
      </c>
      <c r="H2420" s="701" t="s">
        <v>670</v>
      </c>
    </row>
    <row r="2421" spans="1:8">
      <c r="A2421" s="268">
        <v>181</v>
      </c>
      <c r="B2421" s="271" t="s">
        <v>6360</v>
      </c>
      <c r="C2421" s="427" t="s">
        <v>6270</v>
      </c>
      <c r="D2421" s="427" t="s">
        <v>6361</v>
      </c>
      <c r="E2421" s="290" t="s">
        <v>6289</v>
      </c>
      <c r="F2421" s="290" t="s">
        <v>2844</v>
      </c>
      <c r="G2421" s="415">
        <v>175</v>
      </c>
      <c r="H2421" s="701" t="s">
        <v>226</v>
      </c>
    </row>
    <row r="2422" spans="1:8">
      <c r="A2422" s="268">
        <v>182</v>
      </c>
      <c r="B2422" s="283" t="s">
        <v>5955</v>
      </c>
      <c r="C2422" s="678" t="s">
        <v>5964</v>
      </c>
      <c r="D2422" s="443" t="s">
        <v>5963</v>
      </c>
      <c r="E2422" s="505" t="s">
        <v>5965</v>
      </c>
      <c r="F2422" s="505" t="s">
        <v>5966</v>
      </c>
      <c r="G2422" s="415"/>
      <c r="H2422" s="370"/>
    </row>
    <row r="2423" spans="1:8">
      <c r="A2423" s="268">
        <v>183</v>
      </c>
      <c r="B2423" s="283" t="s">
        <v>5956</v>
      </c>
      <c r="C2423" s="678" t="s">
        <v>5964</v>
      </c>
      <c r="D2423" s="443" t="s">
        <v>5963</v>
      </c>
      <c r="E2423" s="505" t="s">
        <v>5955</v>
      </c>
      <c r="F2423" s="505" t="s">
        <v>5967</v>
      </c>
      <c r="G2423" s="415"/>
      <c r="H2423" s="370"/>
    </row>
    <row r="2424" spans="1:8">
      <c r="A2424" s="268">
        <v>184</v>
      </c>
      <c r="B2424" s="283" t="s">
        <v>5957</v>
      </c>
      <c r="C2424" s="678" t="s">
        <v>5964</v>
      </c>
      <c r="D2424" s="443" t="s">
        <v>5963</v>
      </c>
      <c r="E2424" s="505" t="s">
        <v>5955</v>
      </c>
      <c r="F2424" s="505" t="s">
        <v>5968</v>
      </c>
      <c r="G2424" s="415"/>
      <c r="H2424" s="370"/>
    </row>
    <row r="2425" spans="1:8">
      <c r="A2425" s="268">
        <v>185</v>
      </c>
      <c r="B2425" s="283" t="s">
        <v>5958</v>
      </c>
      <c r="C2425" s="678" t="s">
        <v>5964</v>
      </c>
      <c r="D2425" s="443" t="s">
        <v>5963</v>
      </c>
      <c r="E2425" s="505" t="s">
        <v>5969</v>
      </c>
      <c r="F2425" s="505" t="s">
        <v>5970</v>
      </c>
      <c r="G2425" s="415"/>
      <c r="H2425" s="370"/>
    </row>
    <row r="2426" spans="1:8">
      <c r="A2426" s="268">
        <v>186</v>
      </c>
      <c r="B2426" s="283" t="s">
        <v>5959</v>
      </c>
      <c r="C2426" s="678" t="s">
        <v>5964</v>
      </c>
      <c r="D2426" s="443" t="s">
        <v>5963</v>
      </c>
      <c r="E2426" s="505" t="s">
        <v>5958</v>
      </c>
      <c r="F2426" s="505" t="s">
        <v>5966</v>
      </c>
      <c r="G2426" s="415"/>
      <c r="H2426" s="370"/>
    </row>
    <row r="2427" spans="1:8">
      <c r="A2427" s="268">
        <v>187</v>
      </c>
      <c r="B2427" s="283" t="s">
        <v>5960</v>
      </c>
      <c r="C2427" s="678" t="s">
        <v>5964</v>
      </c>
      <c r="D2427" s="443" t="s">
        <v>5963</v>
      </c>
      <c r="E2427" s="505" t="s">
        <v>5958</v>
      </c>
      <c r="F2427" s="505" t="s">
        <v>5966</v>
      </c>
      <c r="G2427" s="415"/>
      <c r="H2427" s="370"/>
    </row>
    <row r="2428" spans="1:8">
      <c r="A2428" s="268">
        <v>188</v>
      </c>
      <c r="B2428" s="283" t="s">
        <v>5961</v>
      </c>
      <c r="C2428" s="678" t="s">
        <v>5964</v>
      </c>
      <c r="D2428" s="443" t="s">
        <v>5963</v>
      </c>
      <c r="E2428" s="505" t="s">
        <v>5958</v>
      </c>
      <c r="F2428" s="505" t="s">
        <v>5971</v>
      </c>
      <c r="G2428" s="415"/>
      <c r="H2428" s="370"/>
    </row>
    <row r="2429" spans="1:8">
      <c r="A2429" s="268">
        <v>189</v>
      </c>
      <c r="B2429" s="283" t="s">
        <v>5962</v>
      </c>
      <c r="C2429" s="678" t="s">
        <v>5964</v>
      </c>
      <c r="D2429" s="443" t="s">
        <v>5963</v>
      </c>
      <c r="E2429" s="505" t="s">
        <v>5969</v>
      </c>
      <c r="F2429" s="505" t="s">
        <v>5972</v>
      </c>
      <c r="G2429" s="415"/>
      <c r="H2429" s="370"/>
    </row>
    <row r="2430" spans="1:8">
      <c r="A2430" s="268">
        <v>190</v>
      </c>
      <c r="B2430" s="283" t="s">
        <v>5980</v>
      </c>
      <c r="C2430" s="678" t="s">
        <v>5964</v>
      </c>
      <c r="D2430" s="443" t="s">
        <v>5963</v>
      </c>
      <c r="E2430" s="268" t="s">
        <v>5969</v>
      </c>
      <c r="F2430" s="268" t="s">
        <v>5981</v>
      </c>
      <c r="G2430" s="487">
        <v>387</v>
      </c>
      <c r="H2430" s="268">
        <v>4.5</v>
      </c>
    </row>
    <row r="2431" spans="1:8">
      <c r="A2431" s="268">
        <v>191</v>
      </c>
      <c r="B2431" s="283" t="s">
        <v>5982</v>
      </c>
      <c r="C2431" s="678" t="s">
        <v>5964</v>
      </c>
      <c r="D2431" s="443" t="s">
        <v>5963</v>
      </c>
      <c r="E2431" s="268" t="s">
        <v>5969</v>
      </c>
      <c r="F2431" s="268" t="s">
        <v>5970</v>
      </c>
      <c r="G2431" s="487">
        <v>456</v>
      </c>
      <c r="H2431" s="268">
        <v>8</v>
      </c>
    </row>
    <row r="2432" spans="1:8">
      <c r="A2432" s="268">
        <v>192</v>
      </c>
      <c r="B2432" s="283" t="s">
        <v>5983</v>
      </c>
      <c r="C2432" s="678" t="s">
        <v>5964</v>
      </c>
      <c r="D2432" s="443" t="s">
        <v>5963</v>
      </c>
      <c r="E2432" s="268" t="s">
        <v>5969</v>
      </c>
      <c r="F2432" s="268" t="s">
        <v>5984</v>
      </c>
      <c r="G2432" s="487">
        <v>363</v>
      </c>
      <c r="H2432" s="268">
        <v>5</v>
      </c>
    </row>
    <row r="2433" spans="1:8">
      <c r="A2433" s="268">
        <v>193</v>
      </c>
      <c r="B2433" s="283" t="s">
        <v>5985</v>
      </c>
      <c r="C2433" s="678" t="s">
        <v>5964</v>
      </c>
      <c r="D2433" s="443" t="s">
        <v>5963</v>
      </c>
      <c r="E2433" s="268" t="s">
        <v>5986</v>
      </c>
      <c r="F2433" s="268" t="s">
        <v>5987</v>
      </c>
      <c r="G2433" s="487">
        <v>1095</v>
      </c>
      <c r="H2433" s="268">
        <v>3.5</v>
      </c>
    </row>
    <row r="2434" spans="1:8">
      <c r="A2434" s="268">
        <v>194</v>
      </c>
      <c r="B2434" s="283" t="s">
        <v>5988</v>
      </c>
      <c r="C2434" s="678" t="s">
        <v>5964</v>
      </c>
      <c r="D2434" s="443" t="s">
        <v>5963</v>
      </c>
      <c r="E2434" s="268" t="s">
        <v>5989</v>
      </c>
      <c r="F2434" s="268" t="s">
        <v>5982</v>
      </c>
      <c r="G2434" s="487">
        <v>2190</v>
      </c>
      <c r="H2434" s="268">
        <v>25</v>
      </c>
    </row>
    <row r="2435" spans="1:8">
      <c r="A2435" s="268">
        <v>195</v>
      </c>
      <c r="B2435" s="283" t="s">
        <v>5990</v>
      </c>
      <c r="C2435" s="678" t="s">
        <v>5964</v>
      </c>
      <c r="D2435" s="443" t="s">
        <v>5963</v>
      </c>
      <c r="E2435" s="268" t="s">
        <v>5986</v>
      </c>
      <c r="F2435" s="268" t="s">
        <v>5991</v>
      </c>
      <c r="G2435" s="487">
        <v>195</v>
      </c>
      <c r="H2435" s="268">
        <v>6</v>
      </c>
    </row>
    <row r="2436" spans="1:8">
      <c r="A2436" s="268">
        <v>196</v>
      </c>
      <c r="B2436" s="283" t="s">
        <v>5992</v>
      </c>
      <c r="C2436" s="678" t="s">
        <v>5964</v>
      </c>
      <c r="D2436" s="443" t="s">
        <v>5963</v>
      </c>
      <c r="E2436" s="268" t="s">
        <v>5986</v>
      </c>
      <c r="F2436" s="268" t="s">
        <v>5987</v>
      </c>
      <c r="G2436" s="487">
        <v>770</v>
      </c>
      <c r="H2436" s="268">
        <v>5</v>
      </c>
    </row>
    <row r="2437" spans="1:8">
      <c r="A2437" s="268">
        <v>197</v>
      </c>
      <c r="B2437" s="283" t="s">
        <v>5993</v>
      </c>
      <c r="C2437" s="678" t="s">
        <v>5964</v>
      </c>
      <c r="D2437" s="443" t="s">
        <v>5963</v>
      </c>
      <c r="E2437" s="268" t="s">
        <v>5988</v>
      </c>
      <c r="F2437" s="268" t="s">
        <v>5994</v>
      </c>
      <c r="G2437" s="487">
        <v>620</v>
      </c>
      <c r="H2437" s="268">
        <v>4</v>
      </c>
    </row>
    <row r="2438" spans="1:8">
      <c r="A2438" s="268">
        <v>198</v>
      </c>
      <c r="B2438" s="283" t="s">
        <v>5995</v>
      </c>
      <c r="C2438" s="678" t="s">
        <v>5964</v>
      </c>
      <c r="D2438" s="443" t="s">
        <v>5963</v>
      </c>
      <c r="E2438" s="268" t="s">
        <v>5992</v>
      </c>
      <c r="F2438" s="268" t="s">
        <v>4239</v>
      </c>
      <c r="G2438" s="487">
        <v>1350</v>
      </c>
      <c r="H2438" s="268">
        <v>25</v>
      </c>
    </row>
    <row r="2439" spans="1:8">
      <c r="A2439" s="268">
        <v>199</v>
      </c>
      <c r="B2439" s="283" t="s">
        <v>5996</v>
      </c>
      <c r="C2439" s="678" t="s">
        <v>5964</v>
      </c>
      <c r="D2439" s="443" t="s">
        <v>5963</v>
      </c>
      <c r="E2439" s="268" t="s">
        <v>4239</v>
      </c>
      <c r="F2439" s="268" t="s">
        <v>5997</v>
      </c>
      <c r="G2439" s="487">
        <v>600</v>
      </c>
      <c r="H2439" s="268">
        <v>10</v>
      </c>
    </row>
    <row r="2440" spans="1:8">
      <c r="A2440" s="268">
        <v>200</v>
      </c>
      <c r="B2440" s="283" t="s">
        <v>5877</v>
      </c>
      <c r="C2440" s="678" t="s">
        <v>5964</v>
      </c>
      <c r="D2440" s="443" t="s">
        <v>5963</v>
      </c>
      <c r="E2440" s="268" t="s">
        <v>5986</v>
      </c>
      <c r="F2440" s="268" t="s">
        <v>5987</v>
      </c>
      <c r="G2440" s="487">
        <v>1190</v>
      </c>
      <c r="H2440" s="268">
        <v>6.5</v>
      </c>
    </row>
    <row r="2441" spans="1:8">
      <c r="A2441" s="268">
        <v>201</v>
      </c>
      <c r="B2441" s="283" t="s">
        <v>5998</v>
      </c>
      <c r="C2441" s="678" t="s">
        <v>5964</v>
      </c>
      <c r="D2441" s="443" t="s">
        <v>5963</v>
      </c>
      <c r="E2441" s="268" t="s">
        <v>5986</v>
      </c>
      <c r="F2441" s="268" t="s">
        <v>5987</v>
      </c>
      <c r="G2441" s="487">
        <v>500</v>
      </c>
      <c r="H2441" s="367" t="s">
        <v>179</v>
      </c>
    </row>
    <row r="2442" spans="1:8">
      <c r="A2442" s="268">
        <v>202</v>
      </c>
      <c r="B2442" s="283" t="s">
        <v>5969</v>
      </c>
      <c r="C2442" s="678" t="s">
        <v>5964</v>
      </c>
      <c r="D2442" s="443" t="s">
        <v>5963</v>
      </c>
      <c r="E2442" s="268" t="s">
        <v>2429</v>
      </c>
      <c r="F2442" s="268" t="s">
        <v>5989</v>
      </c>
      <c r="G2442" s="487">
        <v>1910</v>
      </c>
      <c r="H2442" s="268">
        <v>25</v>
      </c>
    </row>
    <row r="2443" spans="1:8">
      <c r="A2443" s="268">
        <v>203</v>
      </c>
      <c r="B2443" s="283" t="s">
        <v>5999</v>
      </c>
      <c r="C2443" s="678" t="s">
        <v>5964</v>
      </c>
      <c r="D2443" s="443" t="s">
        <v>5963</v>
      </c>
      <c r="E2443" s="268" t="s">
        <v>2512</v>
      </c>
      <c r="F2443" s="268" t="s">
        <v>6000</v>
      </c>
      <c r="G2443" s="487">
        <v>247</v>
      </c>
      <c r="H2443" s="268">
        <v>6</v>
      </c>
    </row>
    <row r="2444" spans="1:8">
      <c r="A2444" s="268">
        <v>204</v>
      </c>
      <c r="B2444" s="283" t="s">
        <v>6001</v>
      </c>
      <c r="C2444" s="678" t="s">
        <v>5964</v>
      </c>
      <c r="D2444" s="443" t="s">
        <v>5963</v>
      </c>
      <c r="E2444" s="268" t="s">
        <v>5969</v>
      </c>
      <c r="F2444" s="268" t="s">
        <v>5970</v>
      </c>
      <c r="G2444" s="487">
        <v>718</v>
      </c>
      <c r="H2444" s="268" t="s">
        <v>6002</v>
      </c>
    </row>
    <row r="2445" spans="1:8">
      <c r="A2445" s="268">
        <v>205</v>
      </c>
      <c r="B2445" s="283" t="s">
        <v>6003</v>
      </c>
      <c r="C2445" s="678" t="s">
        <v>5964</v>
      </c>
      <c r="D2445" s="443" t="s">
        <v>5963</v>
      </c>
      <c r="E2445" s="268" t="s">
        <v>6001</v>
      </c>
      <c r="F2445" s="268" t="s">
        <v>5994</v>
      </c>
      <c r="G2445" s="487">
        <v>805</v>
      </c>
      <c r="H2445" s="268" t="s">
        <v>6004</v>
      </c>
    </row>
    <row r="2446" spans="1:8">
      <c r="A2446" s="268">
        <v>206</v>
      </c>
      <c r="B2446" s="283" t="s">
        <v>555</v>
      </c>
      <c r="C2446" s="678" t="s">
        <v>5964</v>
      </c>
      <c r="D2446" s="443" t="s">
        <v>5963</v>
      </c>
      <c r="E2446" s="268" t="s">
        <v>5969</v>
      </c>
      <c r="F2446" s="268" t="s">
        <v>6005</v>
      </c>
      <c r="G2446" s="487">
        <v>1700</v>
      </c>
      <c r="H2446" s="268">
        <v>20</v>
      </c>
    </row>
    <row r="2447" spans="1:8">
      <c r="A2447" s="268">
        <v>207</v>
      </c>
      <c r="B2447" s="283" t="s">
        <v>6006</v>
      </c>
      <c r="C2447" s="678" t="s">
        <v>5964</v>
      </c>
      <c r="D2447" s="443" t="s">
        <v>5963</v>
      </c>
      <c r="E2447" s="268" t="s">
        <v>555</v>
      </c>
      <c r="F2447" s="268" t="s">
        <v>6007</v>
      </c>
      <c r="G2447" s="487">
        <v>172</v>
      </c>
      <c r="H2447" s="268">
        <v>3.5</v>
      </c>
    </row>
    <row r="2448" spans="1:8">
      <c r="A2448" s="268">
        <v>208</v>
      </c>
      <c r="B2448" s="283" t="s">
        <v>2512</v>
      </c>
      <c r="C2448" s="678" t="s">
        <v>5964</v>
      </c>
      <c r="D2448" s="443" t="s">
        <v>5963</v>
      </c>
      <c r="E2448" s="268" t="s">
        <v>5988</v>
      </c>
      <c r="F2448" s="268" t="s">
        <v>6008</v>
      </c>
      <c r="G2448" s="487">
        <v>639</v>
      </c>
      <c r="H2448" s="268">
        <v>25</v>
      </c>
    </row>
    <row r="2449" spans="1:8">
      <c r="A2449" s="268">
        <v>209</v>
      </c>
      <c r="B2449" s="283" t="s">
        <v>6009</v>
      </c>
      <c r="C2449" s="678" t="s">
        <v>5964</v>
      </c>
      <c r="D2449" s="443" t="s">
        <v>5963</v>
      </c>
      <c r="E2449" s="268" t="s">
        <v>2512</v>
      </c>
      <c r="F2449" s="268" t="s">
        <v>6010</v>
      </c>
      <c r="G2449" s="487">
        <v>417</v>
      </c>
      <c r="H2449" s="268">
        <v>6</v>
      </c>
    </row>
    <row r="2450" spans="1:8">
      <c r="A2450" s="268">
        <v>210</v>
      </c>
      <c r="B2450" s="283" t="s">
        <v>6011</v>
      </c>
      <c r="C2450" s="678" t="s">
        <v>5964</v>
      </c>
      <c r="D2450" s="443" t="s">
        <v>5963</v>
      </c>
      <c r="E2450" s="268" t="s">
        <v>5969</v>
      </c>
      <c r="F2450" s="268" t="s">
        <v>407</v>
      </c>
      <c r="G2450" s="487">
        <v>950</v>
      </c>
      <c r="H2450" s="614" t="s">
        <v>9058</v>
      </c>
    </row>
    <row r="2451" spans="1:8">
      <c r="A2451" s="268">
        <v>211</v>
      </c>
      <c r="B2451" s="283" t="s">
        <v>6012</v>
      </c>
      <c r="C2451" s="678" t="s">
        <v>5964</v>
      </c>
      <c r="D2451" s="443" t="s">
        <v>5963</v>
      </c>
      <c r="E2451" s="268" t="s">
        <v>5969</v>
      </c>
      <c r="F2451" s="268" t="s">
        <v>6013</v>
      </c>
      <c r="G2451" s="487">
        <v>650</v>
      </c>
      <c r="H2451" s="615" t="s">
        <v>9059</v>
      </c>
    </row>
    <row r="2452" spans="1:8">
      <c r="A2452" s="268">
        <v>212</v>
      </c>
      <c r="B2452" s="283" t="s">
        <v>6014</v>
      </c>
      <c r="C2452" s="678" t="s">
        <v>5964</v>
      </c>
      <c r="D2452" s="443" t="s">
        <v>5963</v>
      </c>
      <c r="E2452" s="268" t="s">
        <v>6012</v>
      </c>
      <c r="F2452" s="268" t="s">
        <v>6015</v>
      </c>
      <c r="G2452" s="487">
        <v>900</v>
      </c>
      <c r="H2452" s="615" t="s">
        <v>312</v>
      </c>
    </row>
    <row r="2453" spans="1:8">
      <c r="A2453" s="268">
        <v>213</v>
      </c>
      <c r="B2453" s="283" t="s">
        <v>6016</v>
      </c>
      <c r="C2453" s="678" t="s">
        <v>5964</v>
      </c>
      <c r="D2453" s="443" t="s">
        <v>5963</v>
      </c>
      <c r="E2453" s="268" t="s">
        <v>6013</v>
      </c>
      <c r="F2453" s="268" t="s">
        <v>6017</v>
      </c>
      <c r="G2453" s="487">
        <v>602</v>
      </c>
      <c r="H2453" s="615" t="s">
        <v>189</v>
      </c>
    </row>
    <row r="2454" spans="1:8">
      <c r="A2454" s="268">
        <v>214</v>
      </c>
      <c r="B2454" s="283" t="s">
        <v>2429</v>
      </c>
      <c r="C2454" s="678" t="s">
        <v>5964</v>
      </c>
      <c r="D2454" s="443" t="s">
        <v>5963</v>
      </c>
      <c r="E2454" s="268" t="s">
        <v>433</v>
      </c>
      <c r="F2454" s="268" t="s">
        <v>555</v>
      </c>
      <c r="G2454" s="487">
        <v>1180</v>
      </c>
      <c r="H2454" s="268">
        <v>15</v>
      </c>
    </row>
    <row r="2455" spans="1:8">
      <c r="A2455" s="268">
        <v>215</v>
      </c>
      <c r="B2455" s="283" t="s">
        <v>6018</v>
      </c>
      <c r="C2455" s="678" t="s">
        <v>5964</v>
      </c>
      <c r="D2455" s="443" t="s">
        <v>5963</v>
      </c>
      <c r="E2455" s="268" t="s">
        <v>2429</v>
      </c>
      <c r="F2455" s="268" t="s">
        <v>6019</v>
      </c>
      <c r="G2455" s="487">
        <v>363</v>
      </c>
      <c r="H2455" s="268">
        <v>5</v>
      </c>
    </row>
    <row r="2456" spans="1:8">
      <c r="A2456" s="268">
        <v>216</v>
      </c>
      <c r="B2456" s="283" t="s">
        <v>6020</v>
      </c>
      <c r="C2456" s="678" t="s">
        <v>5964</v>
      </c>
      <c r="D2456" s="443" t="s">
        <v>5963</v>
      </c>
      <c r="E2456" s="268" t="s">
        <v>2429</v>
      </c>
      <c r="F2456" s="268" t="s">
        <v>6021</v>
      </c>
      <c r="G2456" s="487">
        <v>296</v>
      </c>
      <c r="H2456" s="268">
        <v>5</v>
      </c>
    </row>
    <row r="2457" spans="1:8">
      <c r="A2457" s="268">
        <v>217</v>
      </c>
      <c r="B2457" s="283" t="s">
        <v>6022</v>
      </c>
      <c r="C2457" s="678" t="s">
        <v>5964</v>
      </c>
      <c r="D2457" s="443" t="s">
        <v>5963</v>
      </c>
      <c r="E2457" s="268" t="s">
        <v>2429</v>
      </c>
      <c r="F2457" s="268" t="s">
        <v>6023</v>
      </c>
      <c r="G2457" s="487">
        <v>391</v>
      </c>
      <c r="H2457" s="268">
        <v>6</v>
      </c>
    </row>
    <row r="2458" spans="1:8">
      <c r="A2458" s="268">
        <v>218</v>
      </c>
      <c r="B2458" s="283" t="s">
        <v>6024</v>
      </c>
      <c r="C2458" s="678" t="s">
        <v>5964</v>
      </c>
      <c r="D2458" s="443" t="s">
        <v>5963</v>
      </c>
      <c r="E2458" s="268" t="s">
        <v>2429</v>
      </c>
      <c r="F2458" s="268" t="s">
        <v>6025</v>
      </c>
      <c r="G2458" s="487">
        <v>429</v>
      </c>
      <c r="H2458" s="268">
        <v>7</v>
      </c>
    </row>
    <row r="2459" spans="1:8">
      <c r="A2459" s="268">
        <v>219</v>
      </c>
      <c r="B2459" s="283" t="s">
        <v>6026</v>
      </c>
      <c r="C2459" s="678" t="s">
        <v>5964</v>
      </c>
      <c r="D2459" s="443" t="s">
        <v>5963</v>
      </c>
      <c r="E2459" s="268" t="s">
        <v>2429</v>
      </c>
      <c r="F2459" s="268" t="s">
        <v>5979</v>
      </c>
      <c r="G2459" s="487">
        <v>467</v>
      </c>
      <c r="H2459" s="268">
        <v>7</v>
      </c>
    </row>
    <row r="2460" spans="1:8">
      <c r="A2460" s="268">
        <v>220</v>
      </c>
      <c r="B2460" s="283" t="s">
        <v>6027</v>
      </c>
      <c r="C2460" s="678" t="s">
        <v>5964</v>
      </c>
      <c r="D2460" s="443" t="s">
        <v>5963</v>
      </c>
      <c r="E2460" s="268" t="s">
        <v>2429</v>
      </c>
      <c r="F2460" s="268" t="s">
        <v>6028</v>
      </c>
      <c r="G2460" s="487">
        <v>321</v>
      </c>
      <c r="H2460" s="268">
        <v>5</v>
      </c>
    </row>
    <row r="2461" spans="1:8">
      <c r="A2461" s="268">
        <v>221</v>
      </c>
      <c r="B2461" s="283" t="s">
        <v>6029</v>
      </c>
      <c r="C2461" s="678" t="s">
        <v>5964</v>
      </c>
      <c r="D2461" s="443" t="s">
        <v>5963</v>
      </c>
      <c r="E2461" s="268" t="s">
        <v>2429</v>
      </c>
      <c r="F2461" s="268" t="s">
        <v>6030</v>
      </c>
      <c r="G2461" s="487">
        <v>417</v>
      </c>
      <c r="H2461" s="268">
        <v>4</v>
      </c>
    </row>
    <row r="2462" spans="1:8">
      <c r="A2462" s="268">
        <v>222</v>
      </c>
      <c r="B2462" s="283" t="s">
        <v>6031</v>
      </c>
      <c r="C2462" s="678" t="s">
        <v>5964</v>
      </c>
      <c r="D2462" s="443" t="s">
        <v>5963</v>
      </c>
      <c r="E2462" s="268" t="s">
        <v>2429</v>
      </c>
      <c r="F2462" s="268" t="s">
        <v>6032</v>
      </c>
      <c r="G2462" s="487">
        <v>217</v>
      </c>
      <c r="H2462" s="268">
        <v>5</v>
      </c>
    </row>
    <row r="2463" spans="1:8">
      <c r="A2463" s="268">
        <v>223</v>
      </c>
      <c r="B2463" s="283" t="s">
        <v>6033</v>
      </c>
      <c r="C2463" s="678" t="s">
        <v>5964</v>
      </c>
      <c r="D2463" s="443" t="s">
        <v>5963</v>
      </c>
      <c r="E2463" s="268" t="s">
        <v>2429</v>
      </c>
      <c r="F2463" s="268" t="s">
        <v>6034</v>
      </c>
      <c r="G2463" s="487">
        <v>210</v>
      </c>
      <c r="H2463" s="268">
        <v>5</v>
      </c>
    </row>
    <row r="2464" spans="1:8">
      <c r="A2464" s="268">
        <v>224</v>
      </c>
      <c r="B2464" s="283" t="s">
        <v>6035</v>
      </c>
      <c r="C2464" s="678" t="s">
        <v>5964</v>
      </c>
      <c r="D2464" s="443" t="s">
        <v>5963</v>
      </c>
      <c r="E2464" s="268" t="s">
        <v>433</v>
      </c>
      <c r="F2464" s="268" t="s">
        <v>6036</v>
      </c>
      <c r="G2464" s="487">
        <v>848</v>
      </c>
      <c r="H2464" s="268">
        <v>18</v>
      </c>
    </row>
    <row r="2465" spans="1:8">
      <c r="A2465" s="268">
        <v>225</v>
      </c>
      <c r="B2465" s="283" t="s">
        <v>6037</v>
      </c>
      <c r="C2465" s="678" t="s">
        <v>5964</v>
      </c>
      <c r="D2465" s="443" t="s">
        <v>5963</v>
      </c>
      <c r="E2465" s="268" t="s">
        <v>6038</v>
      </c>
      <c r="F2465" s="268" t="s">
        <v>6039</v>
      </c>
      <c r="G2465" s="487">
        <v>287</v>
      </c>
      <c r="H2465" s="268">
        <v>6</v>
      </c>
    </row>
    <row r="2466" spans="1:8">
      <c r="A2466" s="268">
        <v>226</v>
      </c>
      <c r="B2466" s="283" t="s">
        <v>6040</v>
      </c>
      <c r="C2466" s="678" t="s">
        <v>5964</v>
      </c>
      <c r="D2466" s="443" t="s">
        <v>5963</v>
      </c>
      <c r="E2466" s="268" t="s">
        <v>6038</v>
      </c>
      <c r="F2466" s="268" t="s">
        <v>6041</v>
      </c>
      <c r="G2466" s="487">
        <v>367</v>
      </c>
      <c r="H2466" s="268">
        <v>5</v>
      </c>
    </row>
    <row r="2467" spans="1:8">
      <c r="A2467" s="268">
        <v>227</v>
      </c>
      <c r="B2467" s="283" t="s">
        <v>6042</v>
      </c>
      <c r="C2467" s="678" t="s">
        <v>5964</v>
      </c>
      <c r="D2467" s="443" t="s">
        <v>5963</v>
      </c>
      <c r="E2467" s="268" t="s">
        <v>6038</v>
      </c>
      <c r="F2467" s="268" t="s">
        <v>6043</v>
      </c>
      <c r="G2467" s="487">
        <v>300</v>
      </c>
      <c r="H2467" s="268">
        <v>4</v>
      </c>
    </row>
    <row r="2468" spans="1:8">
      <c r="A2468" s="268">
        <v>228</v>
      </c>
      <c r="B2468" s="283" t="s">
        <v>6044</v>
      </c>
      <c r="C2468" s="678" t="s">
        <v>5964</v>
      </c>
      <c r="D2468" s="443" t="s">
        <v>5963</v>
      </c>
      <c r="E2468" s="268" t="s">
        <v>433</v>
      </c>
      <c r="F2468" s="268" t="s">
        <v>5978</v>
      </c>
      <c r="G2468" s="487">
        <v>2962</v>
      </c>
      <c r="H2468" s="268">
        <v>23</v>
      </c>
    </row>
    <row r="2469" spans="1:8">
      <c r="A2469" s="268">
        <v>229</v>
      </c>
      <c r="B2469" s="283" t="s">
        <v>6045</v>
      </c>
      <c r="C2469" s="678" t="s">
        <v>5964</v>
      </c>
      <c r="D2469" s="443" t="s">
        <v>5963</v>
      </c>
      <c r="E2469" s="268" t="s">
        <v>6044</v>
      </c>
      <c r="F2469" s="268" t="s">
        <v>6046</v>
      </c>
      <c r="G2469" s="487">
        <v>113</v>
      </c>
      <c r="H2469" s="268">
        <v>11</v>
      </c>
    </row>
    <row r="2470" spans="1:8">
      <c r="A2470" s="268">
        <v>230</v>
      </c>
      <c r="B2470" s="283" t="s">
        <v>6047</v>
      </c>
      <c r="C2470" s="678" t="s">
        <v>5964</v>
      </c>
      <c r="D2470" s="443" t="s">
        <v>5963</v>
      </c>
      <c r="E2470" s="268" t="s">
        <v>6044</v>
      </c>
      <c r="F2470" s="268" t="s">
        <v>6048</v>
      </c>
      <c r="G2470" s="487">
        <v>218</v>
      </c>
      <c r="H2470" s="268">
        <v>8</v>
      </c>
    </row>
    <row r="2471" spans="1:8">
      <c r="A2471" s="268">
        <v>231</v>
      </c>
      <c r="B2471" s="283" t="s">
        <v>6049</v>
      </c>
      <c r="C2471" s="678" t="s">
        <v>5964</v>
      </c>
      <c r="D2471" s="443" t="s">
        <v>5963</v>
      </c>
      <c r="E2471" s="268" t="s">
        <v>6044</v>
      </c>
      <c r="F2471" s="268" t="s">
        <v>6050</v>
      </c>
      <c r="G2471" s="487">
        <v>88</v>
      </c>
      <c r="H2471" s="268">
        <v>4</v>
      </c>
    </row>
    <row r="2472" spans="1:8">
      <c r="A2472" s="268">
        <v>232</v>
      </c>
      <c r="B2472" s="283" t="s">
        <v>6051</v>
      </c>
      <c r="C2472" s="678" t="s">
        <v>5964</v>
      </c>
      <c r="D2472" s="443" t="s">
        <v>5963</v>
      </c>
      <c r="E2472" s="268" t="s">
        <v>6044</v>
      </c>
      <c r="F2472" s="268" t="s">
        <v>6052</v>
      </c>
      <c r="G2472" s="487">
        <v>462</v>
      </c>
      <c r="H2472" s="268">
        <v>6</v>
      </c>
    </row>
    <row r="2473" spans="1:8">
      <c r="A2473" s="268">
        <v>233</v>
      </c>
      <c r="B2473" s="283" t="s">
        <v>6053</v>
      </c>
      <c r="C2473" s="678" t="s">
        <v>5964</v>
      </c>
      <c r="D2473" s="443" t="s">
        <v>5963</v>
      </c>
      <c r="E2473" s="268" t="s">
        <v>6044</v>
      </c>
      <c r="F2473" s="268" t="s">
        <v>6054</v>
      </c>
      <c r="G2473" s="487">
        <v>182</v>
      </c>
      <c r="H2473" s="268">
        <v>6</v>
      </c>
    </row>
    <row r="2474" spans="1:8">
      <c r="A2474" s="268">
        <v>234</v>
      </c>
      <c r="B2474" s="283" t="s">
        <v>6055</v>
      </c>
      <c r="C2474" s="678" t="s">
        <v>5964</v>
      </c>
      <c r="D2474" s="443" t="s">
        <v>5963</v>
      </c>
      <c r="E2474" s="268" t="s">
        <v>6044</v>
      </c>
      <c r="F2474" s="268" t="s">
        <v>6056</v>
      </c>
      <c r="G2474" s="487">
        <v>287</v>
      </c>
      <c r="H2474" s="268">
        <v>6</v>
      </c>
    </row>
    <row r="2475" spans="1:8">
      <c r="A2475" s="268">
        <v>235</v>
      </c>
      <c r="B2475" s="283" t="s">
        <v>6057</v>
      </c>
      <c r="C2475" s="678" t="s">
        <v>5964</v>
      </c>
      <c r="D2475" s="443" t="s">
        <v>5963</v>
      </c>
      <c r="E2475" s="268" t="s">
        <v>6044</v>
      </c>
      <c r="F2475" s="268" t="s">
        <v>6058</v>
      </c>
      <c r="G2475" s="487">
        <v>65</v>
      </c>
      <c r="H2475" s="268">
        <v>8</v>
      </c>
    </row>
    <row r="2476" spans="1:8">
      <c r="A2476" s="268">
        <v>236</v>
      </c>
      <c r="B2476" s="283" t="s">
        <v>6059</v>
      </c>
      <c r="C2476" s="678" t="s">
        <v>5964</v>
      </c>
      <c r="D2476" s="443" t="s">
        <v>5963</v>
      </c>
      <c r="E2476" s="268" t="s">
        <v>6044</v>
      </c>
      <c r="F2476" s="268"/>
      <c r="G2476" s="487">
        <v>163</v>
      </c>
      <c r="H2476" s="268">
        <v>5</v>
      </c>
    </row>
    <row r="2477" spans="1:8">
      <c r="A2477" s="268">
        <v>237</v>
      </c>
      <c r="B2477" s="283" t="s">
        <v>6060</v>
      </c>
      <c r="C2477" s="678" t="s">
        <v>5964</v>
      </c>
      <c r="D2477" s="443" t="s">
        <v>5963</v>
      </c>
      <c r="E2477" s="268" t="s">
        <v>6044</v>
      </c>
      <c r="F2477" s="268"/>
      <c r="G2477" s="487">
        <v>82</v>
      </c>
      <c r="H2477" s="268">
        <v>17</v>
      </c>
    </row>
    <row r="2478" spans="1:8">
      <c r="A2478" s="268">
        <v>238</v>
      </c>
      <c r="B2478" s="283" t="s">
        <v>6061</v>
      </c>
      <c r="C2478" s="678" t="s">
        <v>5964</v>
      </c>
      <c r="D2478" s="443" t="s">
        <v>5963</v>
      </c>
      <c r="E2478" s="268" t="s">
        <v>6062</v>
      </c>
      <c r="F2478" s="268" t="s">
        <v>6063</v>
      </c>
      <c r="G2478" s="487">
        <v>365</v>
      </c>
      <c r="H2478" s="268">
        <v>5</v>
      </c>
    </row>
    <row r="2479" spans="1:8">
      <c r="A2479" s="268">
        <v>239</v>
      </c>
      <c r="B2479" s="283" t="s">
        <v>6064</v>
      </c>
      <c r="C2479" s="678" t="s">
        <v>5964</v>
      </c>
      <c r="D2479" s="443" t="s">
        <v>5963</v>
      </c>
      <c r="E2479" s="268" t="s">
        <v>6062</v>
      </c>
      <c r="F2479" s="268" t="s">
        <v>6065</v>
      </c>
      <c r="G2479" s="487">
        <v>276</v>
      </c>
      <c r="H2479" s="268">
        <v>10</v>
      </c>
    </row>
    <row r="2480" spans="1:8">
      <c r="A2480" s="268">
        <v>240</v>
      </c>
      <c r="B2480" s="283" t="s">
        <v>6066</v>
      </c>
      <c r="C2480" s="678" t="s">
        <v>5964</v>
      </c>
      <c r="D2480" s="443" t="s">
        <v>5963</v>
      </c>
      <c r="E2480" s="268" t="s">
        <v>555</v>
      </c>
      <c r="F2480" s="268" t="s">
        <v>6063</v>
      </c>
      <c r="G2480" s="487">
        <v>278</v>
      </c>
      <c r="H2480" s="268">
        <v>6</v>
      </c>
    </row>
    <row r="2481" spans="1:8">
      <c r="A2481" s="268">
        <v>241</v>
      </c>
      <c r="B2481" s="283" t="s">
        <v>6067</v>
      </c>
      <c r="C2481" s="678" t="s">
        <v>5964</v>
      </c>
      <c r="D2481" s="443" t="s">
        <v>5963</v>
      </c>
      <c r="E2481" s="268" t="s">
        <v>6068</v>
      </c>
      <c r="F2481" s="268" t="s">
        <v>5979</v>
      </c>
      <c r="G2481" s="487">
        <v>132</v>
      </c>
      <c r="H2481" s="268">
        <v>8</v>
      </c>
    </row>
    <row r="2482" spans="1:8">
      <c r="A2482" s="268">
        <v>242</v>
      </c>
      <c r="B2482" s="283" t="s">
        <v>6069</v>
      </c>
      <c r="C2482" s="678" t="s">
        <v>5964</v>
      </c>
      <c r="D2482" s="443" t="s">
        <v>5963</v>
      </c>
      <c r="E2482" s="268" t="s">
        <v>433</v>
      </c>
      <c r="F2482" s="268" t="s">
        <v>6070</v>
      </c>
      <c r="G2482" s="487">
        <v>529</v>
      </c>
      <c r="H2482" s="268">
        <v>15</v>
      </c>
    </row>
    <row r="2483" spans="1:8">
      <c r="A2483" s="268">
        <v>243</v>
      </c>
      <c r="B2483" s="283" t="s">
        <v>6071</v>
      </c>
      <c r="C2483" s="678" t="s">
        <v>5964</v>
      </c>
      <c r="D2483" s="443" t="s">
        <v>5963</v>
      </c>
      <c r="E2483" s="268" t="s">
        <v>6072</v>
      </c>
      <c r="F2483" s="268" t="s">
        <v>6073</v>
      </c>
      <c r="G2483" s="487">
        <v>923</v>
      </c>
      <c r="H2483" s="268">
        <v>19</v>
      </c>
    </row>
    <row r="2484" spans="1:8">
      <c r="A2484" s="268">
        <v>244</v>
      </c>
      <c r="B2484" s="283" t="s">
        <v>6074</v>
      </c>
      <c r="C2484" s="678" t="s">
        <v>5964</v>
      </c>
      <c r="D2484" s="443" t="s">
        <v>5963</v>
      </c>
      <c r="E2484" s="268" t="s">
        <v>6071</v>
      </c>
      <c r="F2484" s="268" t="s">
        <v>6075</v>
      </c>
      <c r="G2484" s="487">
        <v>328</v>
      </c>
      <c r="H2484" s="268">
        <v>12</v>
      </c>
    </row>
    <row r="2485" spans="1:8">
      <c r="A2485" s="268">
        <v>245</v>
      </c>
      <c r="B2485" s="283" t="s">
        <v>6076</v>
      </c>
      <c r="C2485" s="678" t="s">
        <v>5964</v>
      </c>
      <c r="D2485" s="443" t="s">
        <v>5963</v>
      </c>
      <c r="E2485" s="268" t="s">
        <v>6072</v>
      </c>
      <c r="F2485" s="268" t="s">
        <v>6077</v>
      </c>
      <c r="G2485" s="487">
        <v>967</v>
      </c>
      <c r="H2485" s="268">
        <v>22</v>
      </c>
    </row>
    <row r="2486" spans="1:8">
      <c r="A2486" s="268">
        <v>246</v>
      </c>
      <c r="B2486" s="283" t="s">
        <v>6078</v>
      </c>
      <c r="C2486" s="678" t="s">
        <v>5964</v>
      </c>
      <c r="D2486" s="443" t="s">
        <v>5963</v>
      </c>
      <c r="E2486" s="268" t="s">
        <v>433</v>
      </c>
      <c r="F2486" s="268" t="s">
        <v>6063</v>
      </c>
      <c r="G2486" s="487">
        <v>578</v>
      </c>
      <c r="H2486" s="268">
        <v>18</v>
      </c>
    </row>
    <row r="2487" spans="1:8">
      <c r="A2487" s="268">
        <v>247</v>
      </c>
      <c r="B2487" s="283" t="s">
        <v>6079</v>
      </c>
      <c r="C2487" s="678" t="s">
        <v>5964</v>
      </c>
      <c r="D2487" s="443" t="s">
        <v>5963</v>
      </c>
      <c r="E2487" s="268" t="s">
        <v>6078</v>
      </c>
      <c r="F2487" s="268" t="s">
        <v>6080</v>
      </c>
      <c r="G2487" s="487">
        <v>224</v>
      </c>
      <c r="H2487" s="268">
        <v>10</v>
      </c>
    </row>
    <row r="2488" spans="1:8">
      <c r="A2488" s="268">
        <v>248</v>
      </c>
      <c r="B2488" s="283" t="s">
        <v>6081</v>
      </c>
      <c r="C2488" s="678" t="s">
        <v>5964</v>
      </c>
      <c r="D2488" s="443" t="s">
        <v>5963</v>
      </c>
      <c r="E2488" s="268" t="s">
        <v>433</v>
      </c>
      <c r="F2488" s="268" t="s">
        <v>6063</v>
      </c>
      <c r="G2488" s="487">
        <v>352</v>
      </c>
      <c r="H2488" s="268">
        <v>5</v>
      </c>
    </row>
    <row r="2489" spans="1:8">
      <c r="A2489" s="268">
        <v>249</v>
      </c>
      <c r="B2489" s="283" t="s">
        <v>6082</v>
      </c>
      <c r="C2489" s="678" t="s">
        <v>5964</v>
      </c>
      <c r="D2489" s="443" t="s">
        <v>5963</v>
      </c>
      <c r="E2489" s="268" t="s">
        <v>6072</v>
      </c>
      <c r="F2489" s="268" t="s">
        <v>6083</v>
      </c>
      <c r="G2489" s="487">
        <v>289</v>
      </c>
      <c r="H2489" s="268">
        <v>16</v>
      </c>
    </row>
    <row r="2490" spans="1:8">
      <c r="A2490" s="268">
        <v>250</v>
      </c>
      <c r="B2490" s="283" t="s">
        <v>6084</v>
      </c>
      <c r="C2490" s="678" t="s">
        <v>5964</v>
      </c>
      <c r="D2490" s="443" t="s">
        <v>5963</v>
      </c>
      <c r="E2490" s="268" t="s">
        <v>6072</v>
      </c>
      <c r="F2490" s="268" t="s">
        <v>6085</v>
      </c>
      <c r="G2490" s="487">
        <v>936</v>
      </c>
      <c r="H2490" s="268">
        <v>25</v>
      </c>
    </row>
    <row r="2491" spans="1:8">
      <c r="A2491" s="268">
        <v>251</v>
      </c>
      <c r="B2491" s="283" t="s">
        <v>6086</v>
      </c>
      <c r="C2491" s="678" t="s">
        <v>5964</v>
      </c>
      <c r="D2491" s="443" t="s">
        <v>5963</v>
      </c>
      <c r="E2491" s="268" t="s">
        <v>6084</v>
      </c>
      <c r="F2491" s="268" t="s">
        <v>6083</v>
      </c>
      <c r="G2491" s="487">
        <v>162</v>
      </c>
      <c r="H2491" s="268">
        <v>7</v>
      </c>
    </row>
    <row r="2492" spans="1:8">
      <c r="A2492" s="268">
        <v>252</v>
      </c>
      <c r="B2492" s="283" t="s">
        <v>6087</v>
      </c>
      <c r="C2492" s="678" t="s">
        <v>5964</v>
      </c>
      <c r="D2492" s="443" t="s">
        <v>5963</v>
      </c>
      <c r="E2492" s="268" t="s">
        <v>6084</v>
      </c>
      <c r="F2492" s="268" t="s">
        <v>6088</v>
      </c>
      <c r="G2492" s="487">
        <v>289</v>
      </c>
      <c r="H2492" s="268">
        <v>6</v>
      </c>
    </row>
    <row r="2493" spans="1:8">
      <c r="A2493" s="268">
        <v>253</v>
      </c>
      <c r="B2493" s="283" t="s">
        <v>6089</v>
      </c>
      <c r="C2493" s="678" t="s">
        <v>5964</v>
      </c>
      <c r="D2493" s="443" t="s">
        <v>5963</v>
      </c>
      <c r="E2493" s="268" t="s">
        <v>6084</v>
      </c>
      <c r="F2493" s="268" t="s">
        <v>6090</v>
      </c>
      <c r="G2493" s="487">
        <v>356</v>
      </c>
      <c r="H2493" s="268">
        <v>8</v>
      </c>
    </row>
    <row r="2494" spans="1:8">
      <c r="A2494" s="268">
        <v>254</v>
      </c>
      <c r="B2494" s="283" t="s">
        <v>6091</v>
      </c>
      <c r="C2494" s="678" t="s">
        <v>5964</v>
      </c>
      <c r="D2494" s="443" t="s">
        <v>5963</v>
      </c>
      <c r="E2494" s="268" t="s">
        <v>433</v>
      </c>
      <c r="F2494" s="268" t="s">
        <v>6092</v>
      </c>
      <c r="G2494" s="487">
        <v>319</v>
      </c>
      <c r="H2494" s="268">
        <v>13</v>
      </c>
    </row>
    <row r="2495" spans="1:8">
      <c r="A2495" s="268">
        <v>255</v>
      </c>
      <c r="B2495" s="283" t="s">
        <v>6093</v>
      </c>
      <c r="C2495" s="678" t="s">
        <v>5964</v>
      </c>
      <c r="D2495" s="443" t="s">
        <v>5963</v>
      </c>
      <c r="E2495" s="268" t="s">
        <v>6072</v>
      </c>
      <c r="F2495" s="268" t="s">
        <v>6083</v>
      </c>
      <c r="G2495" s="487">
        <v>247</v>
      </c>
      <c r="H2495" s="268">
        <v>14</v>
      </c>
    </row>
    <row r="2496" spans="1:8">
      <c r="A2496" s="268">
        <v>256</v>
      </c>
      <c r="B2496" s="283" t="s">
        <v>6094</v>
      </c>
      <c r="C2496" s="678" t="s">
        <v>5964</v>
      </c>
      <c r="D2496" s="443" t="s">
        <v>5963</v>
      </c>
      <c r="E2496" s="268" t="s">
        <v>433</v>
      </c>
      <c r="F2496" s="268" t="s">
        <v>6063</v>
      </c>
      <c r="G2496" s="487">
        <v>342</v>
      </c>
      <c r="H2496" s="268">
        <v>8</v>
      </c>
    </row>
    <row r="2497" spans="1:8">
      <c r="A2497" s="268">
        <v>257</v>
      </c>
      <c r="B2497" s="283" t="s">
        <v>6095</v>
      </c>
      <c r="C2497" s="678" t="s">
        <v>5964</v>
      </c>
      <c r="D2497" s="443" t="s">
        <v>5963</v>
      </c>
      <c r="E2497" s="268" t="s">
        <v>433</v>
      </c>
      <c r="F2497" s="268" t="s">
        <v>6083</v>
      </c>
      <c r="G2497" s="487">
        <v>186</v>
      </c>
      <c r="H2497" s="268">
        <v>10</v>
      </c>
    </row>
    <row r="2498" spans="1:8">
      <c r="A2498" s="268">
        <v>258</v>
      </c>
      <c r="B2498" s="283" t="s">
        <v>6096</v>
      </c>
      <c r="C2498" s="678" t="s">
        <v>5964</v>
      </c>
      <c r="D2498" s="443" t="s">
        <v>5963</v>
      </c>
      <c r="E2498" s="268" t="s">
        <v>433</v>
      </c>
      <c r="F2498" s="268" t="s">
        <v>6097</v>
      </c>
      <c r="G2498" s="487">
        <v>245</v>
      </c>
      <c r="H2498" s="268">
        <v>5</v>
      </c>
    </row>
    <row r="2499" spans="1:8">
      <c r="A2499" s="268">
        <v>259</v>
      </c>
      <c r="B2499" s="283" t="s">
        <v>6098</v>
      </c>
      <c r="C2499" s="678" t="s">
        <v>5964</v>
      </c>
      <c r="D2499" s="443" t="s">
        <v>5963</v>
      </c>
      <c r="E2499" s="268" t="s">
        <v>433</v>
      </c>
      <c r="F2499" s="268" t="s">
        <v>6080</v>
      </c>
      <c r="G2499" s="487">
        <v>325</v>
      </c>
      <c r="H2499" s="268">
        <v>5</v>
      </c>
    </row>
    <row r="2500" spans="1:8">
      <c r="A2500" s="268">
        <v>260</v>
      </c>
      <c r="B2500" s="283" t="s">
        <v>6099</v>
      </c>
      <c r="C2500" s="678" t="s">
        <v>5964</v>
      </c>
      <c r="D2500" s="443" t="s">
        <v>5963</v>
      </c>
      <c r="E2500" s="268" t="s">
        <v>433</v>
      </c>
      <c r="F2500" s="268" t="s">
        <v>6100</v>
      </c>
      <c r="G2500" s="487">
        <v>384</v>
      </c>
      <c r="H2500" s="268">
        <v>6</v>
      </c>
    </row>
    <row r="2501" spans="1:8">
      <c r="A2501" s="268">
        <v>261</v>
      </c>
      <c r="B2501" s="283" t="s">
        <v>6101</v>
      </c>
      <c r="C2501" s="678" t="s">
        <v>5964</v>
      </c>
      <c r="D2501" s="443" t="s">
        <v>5963</v>
      </c>
      <c r="E2501" s="268" t="s">
        <v>433</v>
      </c>
      <c r="F2501" s="268" t="s">
        <v>6102</v>
      </c>
      <c r="G2501" s="487">
        <v>386</v>
      </c>
      <c r="H2501" s="268">
        <v>6</v>
      </c>
    </row>
    <row r="2502" spans="1:8">
      <c r="A2502" s="268">
        <v>262</v>
      </c>
      <c r="B2502" s="283" t="s">
        <v>2423</v>
      </c>
      <c r="C2502" s="678" t="s">
        <v>5964</v>
      </c>
      <c r="D2502" s="443" t="s">
        <v>5963</v>
      </c>
      <c r="E2502" s="268" t="s">
        <v>433</v>
      </c>
      <c r="F2502" s="268" t="s">
        <v>6103</v>
      </c>
      <c r="G2502" s="487">
        <v>362</v>
      </c>
      <c r="H2502" s="268">
        <v>6</v>
      </c>
    </row>
    <row r="2503" spans="1:8">
      <c r="A2503" s="268">
        <v>263</v>
      </c>
      <c r="B2503" s="283" t="s">
        <v>6104</v>
      </c>
      <c r="C2503" s="678" t="s">
        <v>5964</v>
      </c>
      <c r="D2503" s="443" t="s">
        <v>5963</v>
      </c>
      <c r="E2503" s="268" t="s">
        <v>433</v>
      </c>
      <c r="F2503" s="268" t="s">
        <v>6105</v>
      </c>
      <c r="G2503" s="487">
        <v>398</v>
      </c>
      <c r="H2503" s="268">
        <v>5</v>
      </c>
    </row>
    <row r="2504" spans="1:8">
      <c r="A2504" s="268">
        <v>264</v>
      </c>
      <c r="B2504" s="283" t="s">
        <v>3673</v>
      </c>
      <c r="C2504" s="678" t="s">
        <v>5964</v>
      </c>
      <c r="D2504" s="443" t="s">
        <v>5963</v>
      </c>
      <c r="E2504" s="268" t="s">
        <v>433</v>
      </c>
      <c r="F2504" s="268" t="s">
        <v>6063</v>
      </c>
      <c r="G2504" s="487">
        <v>250</v>
      </c>
      <c r="H2504" s="268">
        <v>5</v>
      </c>
    </row>
    <row r="2505" spans="1:8">
      <c r="A2505" s="268">
        <v>265</v>
      </c>
      <c r="B2505" s="283" t="s">
        <v>6106</v>
      </c>
      <c r="C2505" s="678" t="s">
        <v>5964</v>
      </c>
      <c r="D2505" s="443" t="s">
        <v>5963</v>
      </c>
      <c r="E2505" s="268" t="s">
        <v>6072</v>
      </c>
      <c r="F2505" s="268" t="s">
        <v>6107</v>
      </c>
      <c r="G2505" s="487">
        <v>278</v>
      </c>
      <c r="H2505" s="268">
        <v>7</v>
      </c>
    </row>
    <row r="2506" spans="1:8">
      <c r="A2506" s="268">
        <v>266</v>
      </c>
      <c r="B2506" s="283" t="s">
        <v>6108</v>
      </c>
      <c r="C2506" s="678" t="s">
        <v>5964</v>
      </c>
      <c r="D2506" s="443" t="s">
        <v>5963</v>
      </c>
      <c r="E2506" s="268" t="s">
        <v>433</v>
      </c>
      <c r="F2506" s="268" t="s">
        <v>6109</v>
      </c>
      <c r="G2506" s="487">
        <v>380</v>
      </c>
      <c r="H2506" s="268">
        <v>10</v>
      </c>
    </row>
    <row r="2507" spans="1:8">
      <c r="A2507" s="268">
        <v>267</v>
      </c>
      <c r="B2507" s="271" t="s">
        <v>1153</v>
      </c>
      <c r="C2507" s="290" t="s">
        <v>6510</v>
      </c>
      <c r="D2507" s="290" t="s">
        <v>6511</v>
      </c>
      <c r="E2507" s="290" t="s">
        <v>6491</v>
      </c>
      <c r="F2507" s="290" t="s">
        <v>6492</v>
      </c>
      <c r="G2507" s="415">
        <v>11000</v>
      </c>
      <c r="H2507" s="290">
        <v>5</v>
      </c>
    </row>
    <row r="2508" spans="1:8">
      <c r="A2508" s="268">
        <v>268</v>
      </c>
      <c r="B2508" s="271" t="s">
        <v>6493</v>
      </c>
      <c r="C2508" s="290" t="s">
        <v>6510</v>
      </c>
      <c r="D2508" s="290" t="s">
        <v>6511</v>
      </c>
      <c r="E2508" s="290" t="s">
        <v>6494</v>
      </c>
      <c r="F2508" s="290" t="s">
        <v>6495</v>
      </c>
      <c r="G2508" s="415">
        <v>3709</v>
      </c>
      <c r="H2508" s="290">
        <v>5</v>
      </c>
    </row>
    <row r="2509" spans="1:8">
      <c r="A2509" s="268">
        <v>269</v>
      </c>
      <c r="B2509" s="271" t="s">
        <v>6496</v>
      </c>
      <c r="C2509" s="290" t="s">
        <v>6510</v>
      </c>
      <c r="D2509" s="290" t="s">
        <v>6511</v>
      </c>
      <c r="E2509" s="290" t="s">
        <v>6497</v>
      </c>
      <c r="F2509" s="290" t="s">
        <v>6492</v>
      </c>
      <c r="G2509" s="415">
        <v>6500</v>
      </c>
      <c r="H2509" s="290">
        <v>5</v>
      </c>
    </row>
    <row r="2510" spans="1:8">
      <c r="A2510" s="268">
        <v>270</v>
      </c>
      <c r="B2510" s="271" t="s">
        <v>6498</v>
      </c>
      <c r="C2510" s="290" t="s">
        <v>6510</v>
      </c>
      <c r="D2510" s="290" t="s">
        <v>6511</v>
      </c>
      <c r="E2510" s="290" t="s">
        <v>6499</v>
      </c>
      <c r="F2510" s="290" t="s">
        <v>6500</v>
      </c>
      <c r="G2510" s="415">
        <v>1720</v>
      </c>
      <c r="H2510" s="290">
        <v>3</v>
      </c>
    </row>
    <row r="2511" spans="1:8">
      <c r="A2511" s="268">
        <v>271</v>
      </c>
      <c r="B2511" s="271" t="s">
        <v>6501</v>
      </c>
      <c r="C2511" s="290" t="s">
        <v>6510</v>
      </c>
      <c r="D2511" s="290" t="s">
        <v>6511</v>
      </c>
      <c r="E2511" s="290" t="s">
        <v>6502</v>
      </c>
      <c r="F2511" s="290" t="s">
        <v>6503</v>
      </c>
      <c r="G2511" s="415">
        <v>2150</v>
      </c>
      <c r="H2511" s="290">
        <v>2.5</v>
      </c>
    </row>
    <row r="2512" spans="1:8">
      <c r="A2512" s="268">
        <v>272</v>
      </c>
      <c r="B2512" s="271" t="s">
        <v>6504</v>
      </c>
      <c r="C2512" s="290" t="s">
        <v>6510</v>
      </c>
      <c r="D2512" s="290" t="s">
        <v>6511</v>
      </c>
      <c r="E2512" s="290" t="s">
        <v>6505</v>
      </c>
      <c r="F2512" s="290" t="s">
        <v>6506</v>
      </c>
      <c r="G2512" s="415">
        <v>3150</v>
      </c>
      <c r="H2512" s="290">
        <v>2.5</v>
      </c>
    </row>
    <row r="2513" spans="1:8">
      <c r="A2513" s="268">
        <v>273</v>
      </c>
      <c r="B2513" s="271" t="s">
        <v>6507</v>
      </c>
      <c r="C2513" s="290" t="s">
        <v>6510</v>
      </c>
      <c r="D2513" s="290" t="s">
        <v>6511</v>
      </c>
      <c r="E2513" s="290" t="s">
        <v>6508</v>
      </c>
      <c r="F2513" s="290" t="s">
        <v>6509</v>
      </c>
      <c r="G2513" s="415">
        <v>1560</v>
      </c>
      <c r="H2513" s="290">
        <v>3</v>
      </c>
    </row>
    <row r="2514" spans="1:8" ht="33">
      <c r="A2514" s="268">
        <v>274</v>
      </c>
      <c r="B2514" s="271" t="s">
        <v>8421</v>
      </c>
      <c r="C2514" s="290" t="s">
        <v>5856</v>
      </c>
      <c r="D2514" s="692" t="s">
        <v>8973</v>
      </c>
      <c r="E2514" s="290" t="s">
        <v>8422</v>
      </c>
      <c r="F2514" s="290" t="s">
        <v>8423</v>
      </c>
      <c r="G2514" s="415">
        <v>12000</v>
      </c>
      <c r="H2514" s="290">
        <v>10</v>
      </c>
    </row>
    <row r="2515" spans="1:8">
      <c r="A2515" s="268">
        <v>275</v>
      </c>
      <c r="B2515" s="484" t="s">
        <v>6512</v>
      </c>
      <c r="C2515" s="427" t="s">
        <v>6529</v>
      </c>
      <c r="D2515" s="692" t="s">
        <v>6530</v>
      </c>
      <c r="E2515" s="268" t="s">
        <v>6528</v>
      </c>
      <c r="F2515" s="268" t="s">
        <v>6513</v>
      </c>
      <c r="G2515" s="415"/>
      <c r="H2515" s="290"/>
    </row>
    <row r="2516" spans="1:8">
      <c r="A2516" s="268">
        <v>276</v>
      </c>
      <c r="B2516" s="484" t="s">
        <v>6514</v>
      </c>
      <c r="C2516" s="427" t="s">
        <v>6529</v>
      </c>
      <c r="D2516" s="692" t="s">
        <v>6530</v>
      </c>
      <c r="E2516" s="268" t="s">
        <v>6515</v>
      </c>
      <c r="F2516" s="268" t="s">
        <v>6516</v>
      </c>
      <c r="G2516" s="415"/>
      <c r="H2516" s="290"/>
    </row>
    <row r="2517" spans="1:8">
      <c r="A2517" s="268">
        <v>277</v>
      </c>
      <c r="B2517" s="484" t="s">
        <v>6517</v>
      </c>
      <c r="C2517" s="427" t="s">
        <v>6529</v>
      </c>
      <c r="D2517" s="692" t="s">
        <v>6530</v>
      </c>
      <c r="E2517" s="268" t="s">
        <v>6518</v>
      </c>
      <c r="F2517" s="268" t="s">
        <v>6519</v>
      </c>
      <c r="G2517" s="415"/>
      <c r="H2517" s="290"/>
    </row>
    <row r="2518" spans="1:8">
      <c r="A2518" s="268">
        <v>278</v>
      </c>
      <c r="B2518" s="484" t="s">
        <v>6520</v>
      </c>
      <c r="C2518" s="427" t="s">
        <v>6529</v>
      </c>
      <c r="D2518" s="692" t="s">
        <v>6530</v>
      </c>
      <c r="E2518" s="268" t="s">
        <v>6521</v>
      </c>
      <c r="F2518" s="268" t="s">
        <v>6522</v>
      </c>
      <c r="G2518" s="415"/>
      <c r="H2518" s="290"/>
    </row>
    <row r="2519" spans="1:8">
      <c r="A2519" s="268">
        <v>279</v>
      </c>
      <c r="B2519" s="484" t="s">
        <v>6523</v>
      </c>
      <c r="C2519" s="427" t="s">
        <v>6529</v>
      </c>
      <c r="D2519" s="692" t="s">
        <v>6530</v>
      </c>
      <c r="E2519" s="268" t="s">
        <v>6524</v>
      </c>
      <c r="F2519" s="268" t="s">
        <v>6516</v>
      </c>
      <c r="G2519" s="415"/>
      <c r="H2519" s="290"/>
    </row>
    <row r="2520" spans="1:8">
      <c r="A2520" s="268">
        <v>280</v>
      </c>
      <c r="B2520" s="484" t="s">
        <v>6526</v>
      </c>
      <c r="C2520" s="427" t="s">
        <v>6529</v>
      </c>
      <c r="D2520" s="692" t="s">
        <v>6530</v>
      </c>
      <c r="E2520" s="268" t="s">
        <v>6527</v>
      </c>
      <c r="F2520" s="268" t="s">
        <v>6516</v>
      </c>
      <c r="G2520" s="415"/>
      <c r="H2520" s="290"/>
    </row>
    <row r="2521" spans="1:8" ht="33">
      <c r="A2521" s="268">
        <v>281</v>
      </c>
      <c r="B2521" s="484" t="s">
        <v>8795</v>
      </c>
      <c r="C2521" s="268" t="s">
        <v>6532</v>
      </c>
      <c r="D2521" s="268" t="s">
        <v>6562</v>
      </c>
      <c r="E2521" s="268" t="s">
        <v>6548</v>
      </c>
      <c r="F2521" s="268" t="s">
        <v>6549</v>
      </c>
      <c r="G2521" s="487">
        <v>11600</v>
      </c>
      <c r="H2521" s="268">
        <v>15</v>
      </c>
    </row>
    <row r="2522" spans="1:8" ht="33">
      <c r="A2522" s="268">
        <v>282</v>
      </c>
      <c r="B2522" s="484" t="s">
        <v>6550</v>
      </c>
      <c r="C2522" s="268" t="s">
        <v>6532</v>
      </c>
      <c r="D2522" s="268" t="s">
        <v>6562</v>
      </c>
      <c r="E2522" s="268" t="s">
        <v>6551</v>
      </c>
      <c r="F2522" s="268" t="s">
        <v>6552</v>
      </c>
      <c r="G2522" s="487">
        <v>13000</v>
      </c>
      <c r="H2522" s="268">
        <v>9</v>
      </c>
    </row>
    <row r="2523" spans="1:8" ht="33">
      <c r="A2523" s="268">
        <v>283</v>
      </c>
      <c r="B2523" s="484" t="s">
        <v>6553</v>
      </c>
      <c r="C2523" s="268" t="s">
        <v>6532</v>
      </c>
      <c r="D2523" s="268" t="s">
        <v>6562</v>
      </c>
      <c r="E2523" s="268" t="s">
        <v>6554</v>
      </c>
      <c r="F2523" s="268" t="s">
        <v>6555</v>
      </c>
      <c r="G2523" s="487">
        <v>6800</v>
      </c>
      <c r="H2523" s="268">
        <v>12</v>
      </c>
    </row>
    <row r="2524" spans="1:8" ht="33">
      <c r="A2524" s="268">
        <v>284</v>
      </c>
      <c r="B2524" s="484" t="s">
        <v>6557</v>
      </c>
      <c r="C2524" s="268" t="s">
        <v>6532</v>
      </c>
      <c r="D2524" s="268" t="s">
        <v>6562</v>
      </c>
      <c r="E2524" s="268" t="s">
        <v>6551</v>
      </c>
      <c r="F2524" s="268" t="s">
        <v>6558</v>
      </c>
      <c r="G2524" s="487">
        <v>6200</v>
      </c>
      <c r="H2524" s="268">
        <v>8</v>
      </c>
    </row>
    <row r="2525" spans="1:8" ht="33">
      <c r="A2525" s="268">
        <v>285</v>
      </c>
      <c r="B2525" s="484" t="s">
        <v>6559</v>
      </c>
      <c r="C2525" s="268" t="s">
        <v>6532</v>
      </c>
      <c r="D2525" s="268" t="s">
        <v>6562</v>
      </c>
      <c r="E2525" s="268" t="s">
        <v>6560</v>
      </c>
      <c r="F2525" s="268" t="s">
        <v>6561</v>
      </c>
      <c r="G2525" s="487">
        <v>10800</v>
      </c>
      <c r="H2525" s="268">
        <v>6</v>
      </c>
    </row>
    <row r="2526" spans="1:8" ht="33">
      <c r="A2526" s="268">
        <v>286</v>
      </c>
      <c r="B2526" s="484" t="s">
        <v>8792</v>
      </c>
      <c r="C2526" s="268" t="s">
        <v>6532</v>
      </c>
      <c r="D2526" s="268" t="s">
        <v>6562</v>
      </c>
      <c r="E2526" s="268" t="s">
        <v>8793</v>
      </c>
      <c r="F2526" s="268" t="s">
        <v>8794</v>
      </c>
      <c r="G2526" s="487">
        <v>23400</v>
      </c>
      <c r="H2526" s="268">
        <v>25</v>
      </c>
    </row>
    <row r="2527" spans="1:8">
      <c r="A2527" s="268">
        <v>287</v>
      </c>
      <c r="B2527" s="484" t="s">
        <v>6565</v>
      </c>
      <c r="C2527" s="268" t="s">
        <v>6563</v>
      </c>
      <c r="D2527" s="268" t="s">
        <v>6575</v>
      </c>
      <c r="E2527" s="268" t="s">
        <v>6566</v>
      </c>
      <c r="F2527" s="268" t="s">
        <v>6567</v>
      </c>
      <c r="G2527" s="487">
        <v>1039</v>
      </c>
      <c r="H2527" s="268" t="s">
        <v>6568</v>
      </c>
    </row>
    <row r="2528" spans="1:8">
      <c r="A2528" s="268">
        <v>288</v>
      </c>
      <c r="B2528" s="484" t="s">
        <v>6569</v>
      </c>
      <c r="C2528" s="268" t="s">
        <v>6563</v>
      </c>
      <c r="D2528" s="268" t="s">
        <v>6575</v>
      </c>
      <c r="E2528" s="268" t="s">
        <v>6570</v>
      </c>
      <c r="F2528" s="268" t="s">
        <v>6571</v>
      </c>
      <c r="G2528" s="487">
        <v>6916</v>
      </c>
      <c r="H2528" s="268" t="s">
        <v>9111</v>
      </c>
    </row>
    <row r="2529" spans="1:8">
      <c r="A2529" s="268">
        <v>289</v>
      </c>
      <c r="B2529" s="484" t="s">
        <v>6572</v>
      </c>
      <c r="C2529" s="268" t="s">
        <v>6563</v>
      </c>
      <c r="D2529" s="268" t="s">
        <v>6575</v>
      </c>
      <c r="E2529" s="268" t="s">
        <v>6573</v>
      </c>
      <c r="F2529" s="268" t="s">
        <v>6574</v>
      </c>
      <c r="G2529" s="487">
        <v>2480</v>
      </c>
      <c r="H2529" s="268" t="s">
        <v>645</v>
      </c>
    </row>
    <row r="2530" spans="1:8">
      <c r="A2530" s="268">
        <v>290</v>
      </c>
      <c r="B2530" s="484" t="s">
        <v>6572</v>
      </c>
      <c r="C2530" s="268" t="s">
        <v>6563</v>
      </c>
      <c r="D2530" s="268" t="s">
        <v>6575</v>
      </c>
      <c r="E2530" s="268" t="s">
        <v>6573</v>
      </c>
      <c r="F2530" s="268" t="s">
        <v>6574</v>
      </c>
      <c r="G2530" s="487">
        <v>2480</v>
      </c>
      <c r="H2530" s="268" t="s">
        <v>645</v>
      </c>
    </row>
    <row r="2531" spans="1:8">
      <c r="A2531" s="268">
        <v>291</v>
      </c>
      <c r="B2531" s="484" t="s">
        <v>6717</v>
      </c>
      <c r="C2531" s="268" t="s">
        <v>5852</v>
      </c>
      <c r="D2531" s="268" t="s">
        <v>6718</v>
      </c>
      <c r="E2531" s="268" t="s">
        <v>6719</v>
      </c>
      <c r="F2531" s="268" t="s">
        <v>5905</v>
      </c>
      <c r="G2531" s="487">
        <v>5500</v>
      </c>
      <c r="H2531" s="268"/>
    </row>
    <row r="2532" spans="1:8">
      <c r="A2532" s="268">
        <v>292</v>
      </c>
      <c r="B2532" s="484" t="s">
        <v>6490</v>
      </c>
      <c r="C2532" s="268" t="s">
        <v>5852</v>
      </c>
      <c r="D2532" s="268" t="s">
        <v>6718</v>
      </c>
      <c r="E2532" s="268" t="s">
        <v>6720</v>
      </c>
      <c r="F2532" s="268" t="s">
        <v>6721</v>
      </c>
      <c r="G2532" s="487">
        <v>685</v>
      </c>
      <c r="H2532" s="268"/>
    </row>
    <row r="2533" spans="1:8">
      <c r="A2533" s="268">
        <v>293</v>
      </c>
      <c r="B2533" s="484" t="s">
        <v>6372</v>
      </c>
      <c r="C2533" s="268" t="s">
        <v>5852</v>
      </c>
      <c r="D2533" s="268" t="s">
        <v>6718</v>
      </c>
      <c r="E2533" s="268" t="s">
        <v>6722</v>
      </c>
      <c r="F2533" s="268" t="s">
        <v>433</v>
      </c>
      <c r="G2533" s="487">
        <v>1800</v>
      </c>
      <c r="H2533" s="268"/>
    </row>
    <row r="2534" spans="1:8">
      <c r="A2534" s="268">
        <v>294</v>
      </c>
      <c r="B2534" s="484" t="s">
        <v>6723</v>
      </c>
      <c r="C2534" s="268" t="s">
        <v>5852</v>
      </c>
      <c r="D2534" s="268" t="s">
        <v>6718</v>
      </c>
      <c r="E2534" s="268" t="s">
        <v>6724</v>
      </c>
      <c r="F2534" s="268" t="s">
        <v>433</v>
      </c>
      <c r="G2534" s="487">
        <v>2450</v>
      </c>
      <c r="H2534" s="268"/>
    </row>
    <row r="2535" spans="1:8">
      <c r="A2535" s="268">
        <v>295</v>
      </c>
      <c r="B2535" s="484" t="s">
        <v>6725</v>
      </c>
      <c r="C2535" s="268" t="s">
        <v>5852</v>
      </c>
      <c r="D2535" s="268" t="s">
        <v>6718</v>
      </c>
      <c r="E2535" s="268" t="s">
        <v>6726</v>
      </c>
      <c r="F2535" s="268" t="s">
        <v>433</v>
      </c>
      <c r="G2535" s="487">
        <v>776</v>
      </c>
      <c r="H2535" s="268"/>
    </row>
    <row r="2536" spans="1:8">
      <c r="A2536" s="268">
        <v>296</v>
      </c>
      <c r="B2536" s="484" t="s">
        <v>6727</v>
      </c>
      <c r="C2536" s="268" t="s">
        <v>5852</v>
      </c>
      <c r="D2536" s="268" t="s">
        <v>6718</v>
      </c>
      <c r="E2536" s="268" t="s">
        <v>6728</v>
      </c>
      <c r="F2536" s="268" t="s">
        <v>433</v>
      </c>
      <c r="G2536" s="487">
        <v>499</v>
      </c>
      <c r="H2536" s="268"/>
    </row>
    <row r="2537" spans="1:8">
      <c r="A2537" s="268">
        <v>297</v>
      </c>
      <c r="B2537" s="484" t="s">
        <v>6729</v>
      </c>
      <c r="C2537" s="268" t="s">
        <v>5852</v>
      </c>
      <c r="D2537" s="268" t="s">
        <v>6718</v>
      </c>
      <c r="E2537" s="268" t="s">
        <v>6730</v>
      </c>
      <c r="F2537" s="268" t="s">
        <v>433</v>
      </c>
      <c r="G2537" s="487">
        <v>358</v>
      </c>
      <c r="H2537" s="268"/>
    </row>
    <row r="2538" spans="1:8">
      <c r="A2538" s="268">
        <v>298</v>
      </c>
      <c r="B2538" s="484" t="s">
        <v>6731</v>
      </c>
      <c r="C2538" s="268" t="s">
        <v>5852</v>
      </c>
      <c r="D2538" s="268" t="s">
        <v>6718</v>
      </c>
      <c r="E2538" s="268" t="s">
        <v>6732</v>
      </c>
      <c r="F2538" s="268" t="s">
        <v>433</v>
      </c>
      <c r="G2538" s="487">
        <v>261</v>
      </c>
      <c r="H2538" s="268"/>
    </row>
    <row r="2539" spans="1:8">
      <c r="A2539" s="268">
        <v>299</v>
      </c>
      <c r="B2539" s="484" t="s">
        <v>6733</v>
      </c>
      <c r="C2539" s="268" t="s">
        <v>5852</v>
      </c>
      <c r="D2539" s="268" t="s">
        <v>6718</v>
      </c>
      <c r="E2539" s="268" t="s">
        <v>6734</v>
      </c>
      <c r="F2539" s="268" t="s">
        <v>433</v>
      </c>
      <c r="G2539" s="487">
        <v>200</v>
      </c>
      <c r="H2539" s="268"/>
    </row>
    <row r="2540" spans="1:8">
      <c r="A2540" s="268">
        <v>300</v>
      </c>
      <c r="B2540" s="484" t="s">
        <v>6735</v>
      </c>
      <c r="C2540" s="268" t="s">
        <v>5852</v>
      </c>
      <c r="D2540" s="268" t="s">
        <v>6718</v>
      </c>
      <c r="E2540" s="268" t="s">
        <v>6736</v>
      </c>
      <c r="F2540" s="268" t="s">
        <v>6737</v>
      </c>
      <c r="G2540" s="487">
        <v>1.94</v>
      </c>
      <c r="H2540" s="268"/>
    </row>
    <row r="2541" spans="1:8">
      <c r="A2541" s="268">
        <v>301</v>
      </c>
      <c r="B2541" s="484" t="s">
        <v>6738</v>
      </c>
      <c r="C2541" s="268" t="s">
        <v>5852</v>
      </c>
      <c r="D2541" s="268" t="s">
        <v>6718</v>
      </c>
      <c r="E2541" s="268" t="s">
        <v>6739</v>
      </c>
      <c r="F2541" s="268" t="s">
        <v>6740</v>
      </c>
      <c r="G2541" s="487">
        <v>1136</v>
      </c>
      <c r="H2541" s="268"/>
    </row>
    <row r="2542" spans="1:8" ht="33">
      <c r="A2542" s="268">
        <v>302</v>
      </c>
      <c r="B2542" s="484" t="s">
        <v>6741</v>
      </c>
      <c r="C2542" s="268" t="s">
        <v>5852</v>
      </c>
      <c r="D2542" s="268" t="s">
        <v>6718</v>
      </c>
      <c r="E2542" s="268" t="s">
        <v>6742</v>
      </c>
      <c r="F2542" s="268" t="s">
        <v>6743</v>
      </c>
      <c r="G2542" s="487">
        <v>1900</v>
      </c>
      <c r="H2542" s="268"/>
    </row>
    <row r="2543" spans="1:8" ht="33">
      <c r="A2543" s="268">
        <v>303</v>
      </c>
      <c r="B2543" s="484" t="s">
        <v>6744</v>
      </c>
      <c r="C2543" s="268" t="s">
        <v>5852</v>
      </c>
      <c r="D2543" s="268" t="s">
        <v>6718</v>
      </c>
      <c r="E2543" s="268" t="s">
        <v>6745</v>
      </c>
      <c r="F2543" s="268" t="s">
        <v>5905</v>
      </c>
      <c r="G2543" s="487">
        <v>10800</v>
      </c>
      <c r="H2543" s="268"/>
    </row>
    <row r="2544" spans="1:8">
      <c r="A2544" s="268">
        <v>304</v>
      </c>
      <c r="B2544" s="484" t="s">
        <v>6746</v>
      </c>
      <c r="C2544" s="268" t="s">
        <v>5852</v>
      </c>
      <c r="D2544" s="268" t="s">
        <v>6718</v>
      </c>
      <c r="E2544" s="268" t="s">
        <v>6747</v>
      </c>
      <c r="F2544" s="268" t="s">
        <v>5905</v>
      </c>
      <c r="G2544" s="487">
        <v>200</v>
      </c>
      <c r="H2544" s="268"/>
    </row>
    <row r="2545" spans="1:8">
      <c r="A2545" s="268">
        <v>305</v>
      </c>
      <c r="B2545" s="484" t="s">
        <v>6748</v>
      </c>
      <c r="C2545" s="268" t="s">
        <v>5852</v>
      </c>
      <c r="D2545" s="268" t="s">
        <v>6718</v>
      </c>
      <c r="E2545" s="268" t="s">
        <v>6747</v>
      </c>
      <c r="F2545" s="268" t="s">
        <v>5905</v>
      </c>
      <c r="G2545" s="487">
        <v>200</v>
      </c>
      <c r="H2545" s="268"/>
    </row>
    <row r="2546" spans="1:8">
      <c r="A2546" s="268">
        <v>306</v>
      </c>
      <c r="B2546" s="423" t="s">
        <v>8712</v>
      </c>
      <c r="C2546" s="290" t="s">
        <v>8709</v>
      </c>
      <c r="D2546" s="290" t="s">
        <v>8777</v>
      </c>
      <c r="E2546" s="290" t="s">
        <v>8762</v>
      </c>
      <c r="F2546" s="290" t="s">
        <v>8763</v>
      </c>
      <c r="G2546" s="415">
        <v>10300</v>
      </c>
      <c r="H2546" s="701" t="s">
        <v>213</v>
      </c>
    </row>
    <row r="2547" spans="1:8">
      <c r="A2547" s="268">
        <v>307</v>
      </c>
      <c r="B2547" s="423" t="s">
        <v>8764</v>
      </c>
      <c r="C2547" s="290" t="s">
        <v>8709</v>
      </c>
      <c r="D2547" s="290" t="s">
        <v>8777</v>
      </c>
      <c r="E2547" s="290" t="s">
        <v>8765</v>
      </c>
      <c r="F2547" s="290" t="s">
        <v>8766</v>
      </c>
      <c r="G2547" s="415">
        <v>11200</v>
      </c>
      <c r="H2547" s="701" t="s">
        <v>213</v>
      </c>
    </row>
    <row r="2548" spans="1:8">
      <c r="A2548" s="268">
        <v>308</v>
      </c>
      <c r="B2548" s="423" t="s">
        <v>8767</v>
      </c>
      <c r="C2548" s="290" t="s">
        <v>8709</v>
      </c>
      <c r="D2548" s="290" t="s">
        <v>8777</v>
      </c>
      <c r="E2548" s="290" t="s">
        <v>8768</v>
      </c>
      <c r="F2548" s="290" t="s">
        <v>8769</v>
      </c>
      <c r="G2548" s="415">
        <v>3800</v>
      </c>
      <c r="H2548" s="701" t="s">
        <v>213</v>
      </c>
    </row>
    <row r="2549" spans="1:8">
      <c r="A2549" s="268">
        <v>309</v>
      </c>
      <c r="B2549" s="423" t="s">
        <v>6870</v>
      </c>
      <c r="C2549" s="290" t="s">
        <v>8709</v>
      </c>
      <c r="D2549" s="290" t="s">
        <v>8777</v>
      </c>
      <c r="E2549" s="290" t="s">
        <v>8770</v>
      </c>
      <c r="F2549" s="290" t="s">
        <v>8771</v>
      </c>
      <c r="G2549" s="415">
        <v>1500</v>
      </c>
      <c r="H2549" s="290">
        <v>5</v>
      </c>
    </row>
    <row r="2550" spans="1:8">
      <c r="A2550" s="268">
        <v>310</v>
      </c>
      <c r="B2550" s="423" t="s">
        <v>8772</v>
      </c>
      <c r="C2550" s="290" t="s">
        <v>8709</v>
      </c>
      <c r="D2550" s="290" t="s">
        <v>8777</v>
      </c>
      <c r="E2550" s="290" t="s">
        <v>8773</v>
      </c>
      <c r="F2550" s="290" t="s">
        <v>8769</v>
      </c>
      <c r="G2550" s="415">
        <v>12000</v>
      </c>
      <c r="H2550" s="701" t="s">
        <v>4424</v>
      </c>
    </row>
    <row r="2551" spans="1:8">
      <c r="A2551" s="268">
        <v>311</v>
      </c>
      <c r="B2551" s="423" t="s">
        <v>8737</v>
      </c>
      <c r="C2551" s="290" t="s">
        <v>8709</v>
      </c>
      <c r="D2551" s="290" t="s">
        <v>8777</v>
      </c>
      <c r="E2551" s="290" t="s">
        <v>8774</v>
      </c>
      <c r="F2551" s="290" t="s">
        <v>8732</v>
      </c>
      <c r="G2551" s="415">
        <v>5000</v>
      </c>
      <c r="H2551" s="290">
        <v>6</v>
      </c>
    </row>
    <row r="2552" spans="1:8">
      <c r="A2552" s="268">
        <v>312</v>
      </c>
      <c r="B2552" s="423" t="s">
        <v>6224</v>
      </c>
      <c r="C2552" s="290" t="s">
        <v>8709</v>
      </c>
      <c r="D2552" s="290" t="s">
        <v>8777</v>
      </c>
      <c r="E2552" s="290" t="s">
        <v>8775</v>
      </c>
      <c r="F2552" s="290" t="s">
        <v>8776</v>
      </c>
      <c r="G2552" s="415">
        <v>10257</v>
      </c>
      <c r="H2552" s="701" t="s">
        <v>213</v>
      </c>
    </row>
    <row r="2553" spans="1:8" ht="33">
      <c r="A2553" s="268">
        <v>313</v>
      </c>
      <c r="B2553" s="679" t="s">
        <v>8406</v>
      </c>
      <c r="C2553" s="290" t="s">
        <v>8405</v>
      </c>
      <c r="D2553" s="290" t="s">
        <v>8418</v>
      </c>
      <c r="E2553" s="290" t="s">
        <v>8407</v>
      </c>
      <c r="F2553" s="290" t="s">
        <v>8408</v>
      </c>
      <c r="G2553" s="415">
        <v>7000</v>
      </c>
      <c r="H2553" s="290">
        <v>5</v>
      </c>
    </row>
    <row r="2554" spans="1:8" ht="49.5">
      <c r="A2554" s="268">
        <v>314</v>
      </c>
      <c r="B2554" s="423" t="s">
        <v>8409</v>
      </c>
      <c r="C2554" s="290" t="s">
        <v>8405</v>
      </c>
      <c r="D2554" s="290" t="s">
        <v>8418</v>
      </c>
      <c r="E2554" s="290" t="s">
        <v>8410</v>
      </c>
      <c r="F2554" s="290" t="s">
        <v>8411</v>
      </c>
      <c r="G2554" s="415">
        <v>2000</v>
      </c>
      <c r="H2554" s="290">
        <v>15</v>
      </c>
    </row>
    <row r="2555" spans="1:8" ht="33">
      <c r="A2555" s="268">
        <v>315</v>
      </c>
      <c r="B2555" s="423" t="s">
        <v>8412</v>
      </c>
      <c r="C2555" s="290" t="s">
        <v>8405</v>
      </c>
      <c r="D2555" s="290" t="s">
        <v>8418</v>
      </c>
      <c r="E2555" s="290" t="s">
        <v>8413</v>
      </c>
      <c r="F2555" s="290" t="s">
        <v>8414</v>
      </c>
      <c r="G2555" s="415">
        <v>300</v>
      </c>
      <c r="H2555" s="290">
        <v>20</v>
      </c>
    </row>
    <row r="2556" spans="1:8" ht="49.5">
      <c r="A2556" s="268">
        <v>316</v>
      </c>
      <c r="B2556" s="423" t="s">
        <v>8415</v>
      </c>
      <c r="C2556" s="290" t="s">
        <v>8405</v>
      </c>
      <c r="D2556" s="290" t="s">
        <v>8418</v>
      </c>
      <c r="E2556" s="290" t="s">
        <v>8416</v>
      </c>
      <c r="F2556" s="290" t="s">
        <v>8417</v>
      </c>
      <c r="G2556" s="415">
        <v>2000</v>
      </c>
      <c r="H2556" s="290">
        <v>10</v>
      </c>
    </row>
    <row r="2557" spans="1:8">
      <c r="A2557" s="268">
        <v>317</v>
      </c>
      <c r="B2557" s="679" t="s">
        <v>8399</v>
      </c>
      <c r="C2557" s="290" t="s">
        <v>5888</v>
      </c>
      <c r="D2557" s="427" t="s">
        <v>8404</v>
      </c>
      <c r="E2557" s="509" t="s">
        <v>8401</v>
      </c>
      <c r="F2557" s="290" t="s">
        <v>482</v>
      </c>
      <c r="G2557" s="415">
        <v>3200</v>
      </c>
      <c r="H2557" s="371"/>
    </row>
    <row r="2558" spans="1:8">
      <c r="A2558" s="268">
        <v>318</v>
      </c>
      <c r="B2558" s="679" t="s">
        <v>8400</v>
      </c>
      <c r="C2558" s="290" t="s">
        <v>5888</v>
      </c>
      <c r="D2558" s="427" t="s">
        <v>8404</v>
      </c>
      <c r="E2558" s="509" t="s">
        <v>8402</v>
      </c>
      <c r="F2558" s="290" t="s">
        <v>482</v>
      </c>
      <c r="G2558" s="415">
        <v>2400</v>
      </c>
      <c r="H2558" s="371"/>
    </row>
    <row r="2559" spans="1:8">
      <c r="A2559" s="268">
        <v>319</v>
      </c>
      <c r="B2559" s="679" t="s">
        <v>8142</v>
      </c>
      <c r="C2559" s="290" t="s">
        <v>5888</v>
      </c>
      <c r="D2559" s="427" t="s">
        <v>8404</v>
      </c>
      <c r="E2559" s="509" t="s">
        <v>8403</v>
      </c>
      <c r="F2559" s="290" t="s">
        <v>482</v>
      </c>
      <c r="G2559" s="415">
        <v>4000</v>
      </c>
      <c r="H2559" s="371"/>
    </row>
    <row r="2560" spans="1:8">
      <c r="A2560" s="268">
        <v>320</v>
      </c>
      <c r="B2560" s="679" t="s">
        <v>2924</v>
      </c>
      <c r="C2560" s="290" t="s">
        <v>5888</v>
      </c>
      <c r="D2560" s="427" t="s">
        <v>8404</v>
      </c>
      <c r="E2560" s="509" t="s">
        <v>8401</v>
      </c>
      <c r="F2560" s="290" t="s">
        <v>482</v>
      </c>
      <c r="G2560" s="415">
        <v>2100</v>
      </c>
      <c r="H2560" s="371"/>
    </row>
    <row r="2561" spans="1:8" ht="33">
      <c r="A2561" s="268">
        <v>321</v>
      </c>
      <c r="B2561" s="271" t="s">
        <v>7164</v>
      </c>
      <c r="C2561" s="290" t="s">
        <v>7357</v>
      </c>
      <c r="D2561" s="290" t="s">
        <v>7358</v>
      </c>
      <c r="E2561" s="290" t="s">
        <v>7165</v>
      </c>
      <c r="F2561" s="290" t="s">
        <v>7166</v>
      </c>
      <c r="G2561" s="415">
        <v>1030</v>
      </c>
      <c r="H2561" s="371" t="s">
        <v>188</v>
      </c>
    </row>
    <row r="2562" spans="1:8" ht="33">
      <c r="A2562" s="268">
        <v>322</v>
      </c>
      <c r="B2562" s="271" t="s">
        <v>7167</v>
      </c>
      <c r="C2562" s="290" t="s">
        <v>7357</v>
      </c>
      <c r="D2562" s="290" t="s">
        <v>7358</v>
      </c>
      <c r="E2562" s="290" t="s">
        <v>7168</v>
      </c>
      <c r="F2562" s="290" t="s">
        <v>7169</v>
      </c>
      <c r="G2562" s="415">
        <v>958</v>
      </c>
      <c r="H2562" s="371" t="s">
        <v>7199</v>
      </c>
    </row>
    <row r="2563" spans="1:8" ht="33">
      <c r="A2563" s="268">
        <v>323</v>
      </c>
      <c r="B2563" s="271" t="s">
        <v>7170</v>
      </c>
      <c r="C2563" s="290" t="s">
        <v>7357</v>
      </c>
      <c r="D2563" s="290" t="s">
        <v>7358</v>
      </c>
      <c r="E2563" s="290" t="s">
        <v>7171</v>
      </c>
      <c r="F2563" s="290" t="s">
        <v>7172</v>
      </c>
      <c r="G2563" s="415">
        <v>892</v>
      </c>
      <c r="H2563" s="371" t="s">
        <v>312</v>
      </c>
    </row>
    <row r="2564" spans="1:8" ht="33">
      <c r="A2564" s="268">
        <v>324</v>
      </c>
      <c r="B2564" s="271" t="s">
        <v>6580</v>
      </c>
      <c r="C2564" s="290" t="s">
        <v>7357</v>
      </c>
      <c r="D2564" s="290" t="s">
        <v>7358</v>
      </c>
      <c r="E2564" s="290" t="s">
        <v>7173</v>
      </c>
      <c r="F2564" s="290" t="s">
        <v>7174</v>
      </c>
      <c r="G2564" s="415">
        <v>2747</v>
      </c>
      <c r="H2564" s="371" t="s">
        <v>188</v>
      </c>
    </row>
    <row r="2565" spans="1:8" ht="33">
      <c r="A2565" s="268">
        <v>325</v>
      </c>
      <c r="B2565" s="271" t="s">
        <v>7175</v>
      </c>
      <c r="C2565" s="290" t="s">
        <v>7357</v>
      </c>
      <c r="D2565" s="290" t="s">
        <v>7358</v>
      </c>
      <c r="E2565" s="290" t="s">
        <v>7176</v>
      </c>
      <c r="F2565" s="290" t="s">
        <v>7177</v>
      </c>
      <c r="G2565" s="415">
        <v>326</v>
      </c>
      <c r="H2565" s="371" t="s">
        <v>188</v>
      </c>
    </row>
    <row r="2566" spans="1:8" ht="49.5">
      <c r="A2566" s="268">
        <v>326</v>
      </c>
      <c r="B2566" s="271" t="s">
        <v>7178</v>
      </c>
      <c r="C2566" s="290" t="s">
        <v>7357</v>
      </c>
      <c r="D2566" s="290" t="s">
        <v>7358</v>
      </c>
      <c r="E2566" s="290" t="s">
        <v>7179</v>
      </c>
      <c r="F2566" s="290" t="s">
        <v>7180</v>
      </c>
      <c r="G2566" s="415">
        <v>1060</v>
      </c>
      <c r="H2566" s="371" t="s">
        <v>182</v>
      </c>
    </row>
    <row r="2567" spans="1:8" ht="33">
      <c r="A2567" s="268">
        <v>327</v>
      </c>
      <c r="B2567" s="271" t="s">
        <v>7181</v>
      </c>
      <c r="C2567" s="290" t="s">
        <v>7357</v>
      </c>
      <c r="D2567" s="290" t="s">
        <v>7358</v>
      </c>
      <c r="E2567" s="290" t="s">
        <v>7182</v>
      </c>
      <c r="F2567" s="290" t="s">
        <v>7183</v>
      </c>
      <c r="G2567" s="415">
        <v>4090</v>
      </c>
      <c r="H2567" s="371" t="s">
        <v>219</v>
      </c>
    </row>
    <row r="2568" spans="1:8" ht="49.5">
      <c r="A2568" s="268">
        <v>328</v>
      </c>
      <c r="B2568" s="271" t="s">
        <v>7184</v>
      </c>
      <c r="C2568" s="290" t="s">
        <v>7357</v>
      </c>
      <c r="D2568" s="290" t="s">
        <v>7358</v>
      </c>
      <c r="E2568" s="290" t="s">
        <v>7185</v>
      </c>
      <c r="F2568" s="290" t="s">
        <v>7186</v>
      </c>
      <c r="G2568" s="415">
        <v>1412.6</v>
      </c>
      <c r="H2568" s="371" t="s">
        <v>226</v>
      </c>
    </row>
    <row r="2569" spans="1:8" ht="33">
      <c r="A2569" s="268">
        <v>329</v>
      </c>
      <c r="B2569" s="271" t="s">
        <v>7187</v>
      </c>
      <c r="C2569" s="290" t="s">
        <v>7357</v>
      </c>
      <c r="D2569" s="290" t="s">
        <v>7358</v>
      </c>
      <c r="E2569" s="290" t="s">
        <v>7188</v>
      </c>
      <c r="F2569" s="290" t="s">
        <v>7189</v>
      </c>
      <c r="G2569" s="415">
        <v>740</v>
      </c>
      <c r="H2569" s="371" t="s">
        <v>1005</v>
      </c>
    </row>
    <row r="2570" spans="1:8" ht="33">
      <c r="A2570" s="268">
        <v>330</v>
      </c>
      <c r="B2570" s="271" t="s">
        <v>7190</v>
      </c>
      <c r="C2570" s="290" t="s">
        <v>7357</v>
      </c>
      <c r="D2570" s="290" t="s">
        <v>7358</v>
      </c>
      <c r="E2570" s="290" t="s">
        <v>7191</v>
      </c>
      <c r="F2570" s="290" t="s">
        <v>7192</v>
      </c>
      <c r="G2570" s="415">
        <v>523</v>
      </c>
      <c r="H2570" s="371" t="s">
        <v>211</v>
      </c>
    </row>
    <row r="2571" spans="1:8" ht="33">
      <c r="A2571" s="268">
        <v>331</v>
      </c>
      <c r="B2571" s="271" t="s">
        <v>7193</v>
      </c>
      <c r="C2571" s="290" t="s">
        <v>7357</v>
      </c>
      <c r="D2571" s="290" t="s">
        <v>7358</v>
      </c>
      <c r="E2571" s="290" t="s">
        <v>7194</v>
      </c>
      <c r="F2571" s="290" t="s">
        <v>7195</v>
      </c>
      <c r="G2571" s="415">
        <v>864</v>
      </c>
      <c r="H2571" s="371" t="s">
        <v>7198</v>
      </c>
    </row>
    <row r="2572" spans="1:8" ht="33">
      <c r="A2572" s="268">
        <v>332</v>
      </c>
      <c r="B2572" s="271" t="s">
        <v>6569</v>
      </c>
      <c r="C2572" s="290" t="s">
        <v>7357</v>
      </c>
      <c r="D2572" s="290" t="s">
        <v>7358</v>
      </c>
      <c r="E2572" s="290" t="s">
        <v>7196</v>
      </c>
      <c r="F2572" s="290" t="s">
        <v>7197</v>
      </c>
      <c r="G2572" s="415">
        <v>590</v>
      </c>
      <c r="H2572" s="371" t="s">
        <v>219</v>
      </c>
    </row>
    <row r="2573" spans="1:8">
      <c r="A2573" s="268">
        <v>333</v>
      </c>
      <c r="B2573" s="484" t="s">
        <v>6379</v>
      </c>
      <c r="C2573" s="268" t="s">
        <v>7361</v>
      </c>
      <c r="D2573" s="290" t="s">
        <v>7362</v>
      </c>
      <c r="E2573" s="268" t="s">
        <v>7218</v>
      </c>
      <c r="F2573" s="268" t="s">
        <v>7219</v>
      </c>
      <c r="G2573" s="487">
        <v>2000</v>
      </c>
      <c r="H2573" s="702" t="s">
        <v>1093</v>
      </c>
    </row>
    <row r="2574" spans="1:8">
      <c r="A2574" s="268">
        <v>334</v>
      </c>
      <c r="B2574" s="484" t="s">
        <v>7220</v>
      </c>
      <c r="C2574" s="268" t="s">
        <v>7361</v>
      </c>
      <c r="D2574" s="290" t="s">
        <v>7362</v>
      </c>
      <c r="E2574" s="268" t="s">
        <v>7218</v>
      </c>
      <c r="F2574" s="268" t="s">
        <v>7221</v>
      </c>
      <c r="G2574" s="487">
        <v>200</v>
      </c>
      <c r="H2574" s="702" t="s">
        <v>4363</v>
      </c>
    </row>
    <row r="2575" spans="1:8">
      <c r="A2575" s="268">
        <v>335</v>
      </c>
      <c r="B2575" s="484" t="s">
        <v>7222</v>
      </c>
      <c r="C2575" s="268" t="s">
        <v>7361</v>
      </c>
      <c r="D2575" s="290" t="s">
        <v>7362</v>
      </c>
      <c r="E2575" s="268" t="s">
        <v>7218</v>
      </c>
      <c r="F2575" s="268" t="s">
        <v>7223</v>
      </c>
      <c r="G2575" s="487">
        <v>700</v>
      </c>
      <c r="H2575" s="702" t="s">
        <v>4363</v>
      </c>
    </row>
    <row r="2576" spans="1:8">
      <c r="A2576" s="268">
        <v>336</v>
      </c>
      <c r="B2576" s="484" t="s">
        <v>7224</v>
      </c>
      <c r="C2576" s="268" t="s">
        <v>7361</v>
      </c>
      <c r="D2576" s="290" t="s">
        <v>7362</v>
      </c>
      <c r="E2576" s="268" t="s">
        <v>7218</v>
      </c>
      <c r="F2576" s="268" t="s">
        <v>7225</v>
      </c>
      <c r="G2576" s="487">
        <v>200</v>
      </c>
      <c r="H2576" s="702" t="s">
        <v>4363</v>
      </c>
    </row>
    <row r="2577" spans="1:8">
      <c r="A2577" s="268">
        <v>337</v>
      </c>
      <c r="B2577" s="484" t="s">
        <v>7226</v>
      </c>
      <c r="C2577" s="268" t="s">
        <v>7361</v>
      </c>
      <c r="D2577" s="290" t="s">
        <v>7362</v>
      </c>
      <c r="E2577" s="268" t="s">
        <v>7218</v>
      </c>
      <c r="F2577" s="268" t="s">
        <v>7227</v>
      </c>
      <c r="G2577" s="487">
        <v>200</v>
      </c>
      <c r="H2577" s="702" t="s">
        <v>224</v>
      </c>
    </row>
    <row r="2578" spans="1:8">
      <c r="A2578" s="268">
        <v>338</v>
      </c>
      <c r="B2578" s="484" t="s">
        <v>594</v>
      </c>
      <c r="C2578" s="268" t="s">
        <v>7361</v>
      </c>
      <c r="D2578" s="290" t="s">
        <v>7362</v>
      </c>
      <c r="E2578" s="268" t="s">
        <v>7218</v>
      </c>
      <c r="F2578" s="268" t="s">
        <v>7228</v>
      </c>
      <c r="G2578" s="487">
        <v>1500</v>
      </c>
      <c r="H2578" s="702" t="s">
        <v>1093</v>
      </c>
    </row>
    <row r="2579" spans="1:8">
      <c r="A2579" s="268">
        <v>339</v>
      </c>
      <c r="B2579" s="484" t="s">
        <v>7229</v>
      </c>
      <c r="C2579" s="268" t="s">
        <v>7361</v>
      </c>
      <c r="D2579" s="290" t="s">
        <v>7362</v>
      </c>
      <c r="E2579" s="268" t="s">
        <v>594</v>
      </c>
      <c r="F2579" s="268" t="s">
        <v>6370</v>
      </c>
      <c r="G2579" s="487">
        <v>620</v>
      </c>
      <c r="H2579" s="702" t="s">
        <v>8109</v>
      </c>
    </row>
    <row r="2580" spans="1:8">
      <c r="A2580" s="268">
        <v>340</v>
      </c>
      <c r="B2580" s="484" t="s">
        <v>7230</v>
      </c>
      <c r="C2580" s="268" t="s">
        <v>7361</v>
      </c>
      <c r="D2580" s="290" t="s">
        <v>7362</v>
      </c>
      <c r="E2580" s="268" t="s">
        <v>7218</v>
      </c>
      <c r="F2580" s="268" t="s">
        <v>594</v>
      </c>
      <c r="G2580" s="487">
        <v>1300</v>
      </c>
      <c r="H2580" s="702" t="s">
        <v>224</v>
      </c>
    </row>
    <row r="2581" spans="1:8">
      <c r="A2581" s="268">
        <v>341</v>
      </c>
      <c r="B2581" s="484" t="s">
        <v>2852</v>
      </c>
      <c r="C2581" s="268" t="s">
        <v>7361</v>
      </c>
      <c r="D2581" s="290" t="s">
        <v>7362</v>
      </c>
      <c r="E2581" s="268" t="s">
        <v>433</v>
      </c>
      <c r="F2581" s="268" t="s">
        <v>7231</v>
      </c>
      <c r="G2581" s="487">
        <v>700</v>
      </c>
      <c r="H2581" s="702" t="s">
        <v>224</v>
      </c>
    </row>
    <row r="2582" spans="1:8">
      <c r="A2582" s="268">
        <v>342</v>
      </c>
      <c r="B2582" s="484" t="s">
        <v>7232</v>
      </c>
      <c r="C2582" s="268" t="s">
        <v>7361</v>
      </c>
      <c r="D2582" s="290" t="s">
        <v>7362</v>
      </c>
      <c r="E2582" s="268" t="s">
        <v>433</v>
      </c>
      <c r="F2582" s="268" t="s">
        <v>7233</v>
      </c>
      <c r="G2582" s="487">
        <v>1000</v>
      </c>
      <c r="H2582" s="702" t="s">
        <v>224</v>
      </c>
    </row>
    <row r="2583" spans="1:8">
      <c r="A2583" s="268">
        <v>343</v>
      </c>
      <c r="B2583" s="484" t="s">
        <v>7234</v>
      </c>
      <c r="C2583" s="268" t="s">
        <v>7361</v>
      </c>
      <c r="D2583" s="290" t="s">
        <v>7362</v>
      </c>
      <c r="E2583" s="268" t="s">
        <v>433</v>
      </c>
      <c r="F2583" s="268" t="s">
        <v>7235</v>
      </c>
      <c r="G2583" s="487">
        <v>800</v>
      </c>
      <c r="H2583" s="702" t="s">
        <v>224</v>
      </c>
    </row>
    <row r="2584" spans="1:8">
      <c r="A2584" s="268">
        <v>344</v>
      </c>
      <c r="B2584" s="484" t="s">
        <v>7236</v>
      </c>
      <c r="C2584" s="268" t="s">
        <v>7361</v>
      </c>
      <c r="D2584" s="290" t="s">
        <v>7362</v>
      </c>
      <c r="E2584" s="268" t="s">
        <v>433</v>
      </c>
      <c r="F2584" s="268" t="s">
        <v>7237</v>
      </c>
      <c r="G2584" s="487">
        <v>1500</v>
      </c>
      <c r="H2584" s="702" t="s">
        <v>224</v>
      </c>
    </row>
    <row r="2585" spans="1:8">
      <c r="A2585" s="268">
        <v>345</v>
      </c>
      <c r="B2585" s="484" t="s">
        <v>7238</v>
      </c>
      <c r="C2585" s="268" t="s">
        <v>7361</v>
      </c>
      <c r="D2585" s="290" t="s">
        <v>7362</v>
      </c>
      <c r="E2585" s="268" t="s">
        <v>433</v>
      </c>
      <c r="F2585" s="268" t="s">
        <v>7239</v>
      </c>
      <c r="G2585" s="487">
        <v>500</v>
      </c>
      <c r="H2585" s="702" t="s">
        <v>224</v>
      </c>
    </row>
    <row r="2586" spans="1:8">
      <c r="A2586" s="268">
        <v>346</v>
      </c>
      <c r="B2586" s="484" t="s">
        <v>542</v>
      </c>
      <c r="C2586" s="268" t="s">
        <v>7361</v>
      </c>
      <c r="D2586" s="290" t="s">
        <v>7362</v>
      </c>
      <c r="E2586" s="268" t="s">
        <v>433</v>
      </c>
      <c r="F2586" s="268" t="s">
        <v>7239</v>
      </c>
      <c r="G2586" s="487">
        <v>200</v>
      </c>
      <c r="H2586" s="702" t="s">
        <v>224</v>
      </c>
    </row>
    <row r="2587" spans="1:8">
      <c r="A2587" s="268">
        <v>347</v>
      </c>
      <c r="B2587" s="484" t="s">
        <v>2821</v>
      </c>
      <c r="C2587" s="268" t="s">
        <v>7361</v>
      </c>
      <c r="D2587" s="290" t="s">
        <v>7362</v>
      </c>
      <c r="E2587" s="268" t="s">
        <v>433</v>
      </c>
      <c r="F2587" s="268" t="s">
        <v>7239</v>
      </c>
      <c r="G2587" s="487">
        <v>700</v>
      </c>
      <c r="H2587" s="702" t="s">
        <v>224</v>
      </c>
    </row>
    <row r="2588" spans="1:8">
      <c r="A2588" s="268">
        <v>348</v>
      </c>
      <c r="B2588" s="484" t="s">
        <v>337</v>
      </c>
      <c r="C2588" s="268" t="s">
        <v>7361</v>
      </c>
      <c r="D2588" s="290" t="s">
        <v>7362</v>
      </c>
      <c r="E2588" s="268" t="s">
        <v>433</v>
      </c>
      <c r="F2588" s="268" t="s">
        <v>7240</v>
      </c>
      <c r="G2588" s="487">
        <v>600</v>
      </c>
      <c r="H2588" s="702" t="s">
        <v>224</v>
      </c>
    </row>
    <row r="2589" spans="1:8">
      <c r="A2589" s="268">
        <v>349</v>
      </c>
      <c r="B2589" s="484" t="s">
        <v>7241</v>
      </c>
      <c r="C2589" s="268" t="s">
        <v>7361</v>
      </c>
      <c r="D2589" s="290" t="s">
        <v>7362</v>
      </c>
      <c r="E2589" s="268" t="s">
        <v>433</v>
      </c>
      <c r="F2589" s="268" t="s">
        <v>7242</v>
      </c>
      <c r="G2589" s="487">
        <v>600</v>
      </c>
      <c r="H2589" s="702" t="s">
        <v>224</v>
      </c>
    </row>
    <row r="2590" spans="1:8">
      <c r="A2590" s="268">
        <v>350</v>
      </c>
      <c r="B2590" s="484" t="s">
        <v>7243</v>
      </c>
      <c r="C2590" s="268" t="s">
        <v>7361</v>
      </c>
      <c r="D2590" s="290" t="s">
        <v>7362</v>
      </c>
      <c r="E2590" s="268" t="s">
        <v>7244</v>
      </c>
      <c r="F2590" s="268" t="s">
        <v>7245</v>
      </c>
      <c r="G2590" s="487">
        <v>1500</v>
      </c>
      <c r="H2590" s="702" t="s">
        <v>224</v>
      </c>
    </row>
    <row r="2591" spans="1:8">
      <c r="A2591" s="268">
        <v>351</v>
      </c>
      <c r="B2591" s="484" t="s">
        <v>7246</v>
      </c>
      <c r="C2591" s="268" t="s">
        <v>7361</v>
      </c>
      <c r="D2591" s="290" t="s">
        <v>7362</v>
      </c>
      <c r="E2591" s="268" t="s">
        <v>7244</v>
      </c>
      <c r="F2591" s="268" t="s">
        <v>7245</v>
      </c>
      <c r="G2591" s="487">
        <v>800</v>
      </c>
      <c r="H2591" s="702" t="s">
        <v>224</v>
      </c>
    </row>
    <row r="2592" spans="1:8">
      <c r="A2592" s="268">
        <v>352</v>
      </c>
      <c r="B2592" s="484" t="s">
        <v>7247</v>
      </c>
      <c r="C2592" s="268" t="s">
        <v>7361</v>
      </c>
      <c r="D2592" s="290" t="s">
        <v>7362</v>
      </c>
      <c r="E2592" s="268" t="s">
        <v>7244</v>
      </c>
      <c r="F2592" s="268" t="s">
        <v>7248</v>
      </c>
      <c r="G2592" s="487">
        <v>200</v>
      </c>
      <c r="H2592" s="702" t="s">
        <v>224</v>
      </c>
    </row>
    <row r="2593" spans="1:8">
      <c r="A2593" s="268">
        <v>353</v>
      </c>
      <c r="B2593" s="484" t="s">
        <v>7249</v>
      </c>
      <c r="C2593" s="268" t="s">
        <v>7361</v>
      </c>
      <c r="D2593" s="290" t="s">
        <v>7362</v>
      </c>
      <c r="E2593" s="268" t="s">
        <v>7244</v>
      </c>
      <c r="F2593" s="268" t="s">
        <v>7250</v>
      </c>
      <c r="G2593" s="487">
        <v>300</v>
      </c>
      <c r="H2593" s="702" t="s">
        <v>224</v>
      </c>
    </row>
    <row r="2594" spans="1:8">
      <c r="A2594" s="268">
        <v>354</v>
      </c>
      <c r="B2594" s="484" t="s">
        <v>6437</v>
      </c>
      <c r="C2594" s="268" t="s">
        <v>7361</v>
      </c>
      <c r="D2594" s="290" t="s">
        <v>7362</v>
      </c>
      <c r="E2594" s="268" t="s">
        <v>7244</v>
      </c>
      <c r="F2594" s="268" t="s">
        <v>7245</v>
      </c>
      <c r="G2594" s="487">
        <v>2000</v>
      </c>
      <c r="H2594" s="702" t="s">
        <v>8109</v>
      </c>
    </row>
    <row r="2595" spans="1:8">
      <c r="A2595" s="268">
        <v>355</v>
      </c>
      <c r="B2595" s="484" t="s">
        <v>7251</v>
      </c>
      <c r="C2595" s="268" t="s">
        <v>7361</v>
      </c>
      <c r="D2595" s="290" t="s">
        <v>7362</v>
      </c>
      <c r="E2595" s="268" t="s">
        <v>7244</v>
      </c>
      <c r="F2595" s="268" t="s">
        <v>7252</v>
      </c>
      <c r="G2595" s="487">
        <v>400</v>
      </c>
      <c r="H2595" s="702" t="s">
        <v>8109</v>
      </c>
    </row>
    <row r="2596" spans="1:8">
      <c r="A2596" s="268">
        <v>356</v>
      </c>
      <c r="B2596" s="484" t="s">
        <v>7253</v>
      </c>
      <c r="C2596" s="268" t="s">
        <v>7361</v>
      </c>
      <c r="D2596" s="290" t="s">
        <v>7362</v>
      </c>
      <c r="E2596" s="268" t="s">
        <v>7254</v>
      </c>
      <c r="F2596" s="268" t="s">
        <v>7255</v>
      </c>
      <c r="G2596" s="487">
        <v>800</v>
      </c>
      <c r="H2596" s="702" t="s">
        <v>224</v>
      </c>
    </row>
    <row r="2597" spans="1:8">
      <c r="A2597" s="268">
        <v>357</v>
      </c>
      <c r="B2597" s="484" t="s">
        <v>7256</v>
      </c>
      <c r="C2597" s="268" t="s">
        <v>7361</v>
      </c>
      <c r="D2597" s="290" t="s">
        <v>7362</v>
      </c>
      <c r="E2597" s="268" t="s">
        <v>7254</v>
      </c>
      <c r="F2597" s="268" t="s">
        <v>7257</v>
      </c>
      <c r="G2597" s="487">
        <v>100</v>
      </c>
      <c r="H2597" s="702" t="s">
        <v>8109</v>
      </c>
    </row>
    <row r="2598" spans="1:8">
      <c r="A2598" s="268">
        <v>358</v>
      </c>
      <c r="B2598" s="484" t="s">
        <v>7258</v>
      </c>
      <c r="C2598" s="268" t="s">
        <v>7361</v>
      </c>
      <c r="D2598" s="290" t="s">
        <v>7362</v>
      </c>
      <c r="E2598" s="268" t="s">
        <v>7254</v>
      </c>
      <c r="F2598" s="268" t="s">
        <v>1323</v>
      </c>
      <c r="G2598" s="487">
        <v>1290</v>
      </c>
      <c r="H2598" s="702" t="s">
        <v>224</v>
      </c>
    </row>
    <row r="2599" spans="1:8">
      <c r="A2599" s="268">
        <v>359</v>
      </c>
      <c r="B2599" s="484" t="s">
        <v>7259</v>
      </c>
      <c r="C2599" s="268" t="s">
        <v>7361</v>
      </c>
      <c r="D2599" s="290" t="s">
        <v>7362</v>
      </c>
      <c r="E2599" s="268" t="s">
        <v>7254</v>
      </c>
      <c r="F2599" s="268" t="s">
        <v>7260</v>
      </c>
      <c r="G2599" s="487">
        <v>200</v>
      </c>
      <c r="H2599" s="702" t="s">
        <v>4424</v>
      </c>
    </row>
    <row r="2600" spans="1:8">
      <c r="A2600" s="268">
        <v>360</v>
      </c>
      <c r="B2600" s="484" t="s">
        <v>7261</v>
      </c>
      <c r="C2600" s="268" t="s">
        <v>7361</v>
      </c>
      <c r="D2600" s="290" t="s">
        <v>7362</v>
      </c>
      <c r="E2600" s="268" t="s">
        <v>7254</v>
      </c>
      <c r="F2600" s="268" t="s">
        <v>7262</v>
      </c>
      <c r="G2600" s="487">
        <v>600</v>
      </c>
      <c r="H2600" s="702" t="s">
        <v>224</v>
      </c>
    </row>
    <row r="2601" spans="1:8">
      <c r="A2601" s="268">
        <v>361</v>
      </c>
      <c r="B2601" s="484" t="s">
        <v>7263</v>
      </c>
      <c r="C2601" s="268" t="s">
        <v>7361</v>
      </c>
      <c r="D2601" s="290" t="s">
        <v>7362</v>
      </c>
      <c r="E2601" s="268" t="s">
        <v>7254</v>
      </c>
      <c r="F2601" s="268" t="s">
        <v>7262</v>
      </c>
      <c r="G2601" s="487">
        <v>700</v>
      </c>
      <c r="H2601" s="702" t="s">
        <v>224</v>
      </c>
    </row>
    <row r="2602" spans="1:8">
      <c r="A2602" s="268">
        <v>362</v>
      </c>
      <c r="B2602" s="484" t="s">
        <v>7264</v>
      </c>
      <c r="C2602" s="268" t="s">
        <v>7361</v>
      </c>
      <c r="D2602" s="290" t="s">
        <v>7362</v>
      </c>
      <c r="E2602" s="268" t="s">
        <v>7254</v>
      </c>
      <c r="F2602" s="268" t="s">
        <v>7258</v>
      </c>
      <c r="G2602" s="487">
        <v>1000</v>
      </c>
      <c r="H2602" s="702" t="s">
        <v>224</v>
      </c>
    </row>
    <row r="2603" spans="1:8">
      <c r="A2603" s="268">
        <v>363</v>
      </c>
      <c r="B2603" s="484" t="s">
        <v>7265</v>
      </c>
      <c r="C2603" s="268" t="s">
        <v>7361</v>
      </c>
      <c r="D2603" s="290" t="s">
        <v>7362</v>
      </c>
      <c r="E2603" s="268" t="s">
        <v>7254</v>
      </c>
      <c r="F2603" s="268" t="s">
        <v>7266</v>
      </c>
      <c r="G2603" s="487">
        <v>1000</v>
      </c>
      <c r="H2603" s="702" t="s">
        <v>224</v>
      </c>
    </row>
    <row r="2604" spans="1:8">
      <c r="A2604" s="268">
        <v>364</v>
      </c>
      <c r="B2604" s="484" t="s">
        <v>7267</v>
      </c>
      <c r="C2604" s="268" t="s">
        <v>7361</v>
      </c>
      <c r="D2604" s="290" t="s">
        <v>7362</v>
      </c>
      <c r="E2604" s="268" t="s">
        <v>7254</v>
      </c>
      <c r="F2604" s="268" t="s">
        <v>7268</v>
      </c>
      <c r="G2604" s="487">
        <v>300</v>
      </c>
      <c r="H2604" s="702" t="s">
        <v>204</v>
      </c>
    </row>
    <row r="2605" spans="1:8">
      <c r="A2605" s="268">
        <v>365</v>
      </c>
      <c r="B2605" s="484" t="s">
        <v>7269</v>
      </c>
      <c r="C2605" s="268" t="s">
        <v>7361</v>
      </c>
      <c r="D2605" s="290" t="s">
        <v>7362</v>
      </c>
      <c r="E2605" s="268" t="s">
        <v>7254</v>
      </c>
      <c r="F2605" s="268" t="s">
        <v>7270</v>
      </c>
      <c r="G2605" s="487">
        <v>200</v>
      </c>
      <c r="H2605" s="702" t="s">
        <v>204</v>
      </c>
    </row>
    <row r="2606" spans="1:8">
      <c r="A2606" s="268">
        <v>366</v>
      </c>
      <c r="B2606" s="484" t="s">
        <v>7271</v>
      </c>
      <c r="C2606" s="268" t="s">
        <v>7361</v>
      </c>
      <c r="D2606" s="290" t="s">
        <v>7362</v>
      </c>
      <c r="E2606" s="268" t="s">
        <v>7254</v>
      </c>
      <c r="F2606" s="268" t="s">
        <v>7272</v>
      </c>
      <c r="G2606" s="487">
        <v>1890</v>
      </c>
      <c r="H2606" s="702" t="s">
        <v>224</v>
      </c>
    </row>
    <row r="2607" spans="1:8">
      <c r="A2607" s="268">
        <v>367</v>
      </c>
      <c r="B2607" s="484" t="s">
        <v>7273</v>
      </c>
      <c r="C2607" s="268" t="s">
        <v>7361</v>
      </c>
      <c r="D2607" s="290" t="s">
        <v>7362</v>
      </c>
      <c r="E2607" s="268" t="s">
        <v>7254</v>
      </c>
      <c r="F2607" s="268" t="s">
        <v>7274</v>
      </c>
      <c r="G2607" s="487">
        <v>800</v>
      </c>
      <c r="H2607" s="702" t="s">
        <v>9013</v>
      </c>
    </row>
    <row r="2608" spans="1:8">
      <c r="A2608" s="268">
        <v>368</v>
      </c>
      <c r="B2608" s="484" t="s">
        <v>7275</v>
      </c>
      <c r="C2608" s="268" t="s">
        <v>7361</v>
      </c>
      <c r="D2608" s="290" t="s">
        <v>7362</v>
      </c>
      <c r="E2608" s="268" t="s">
        <v>7254</v>
      </c>
      <c r="F2608" s="268" t="s">
        <v>7276</v>
      </c>
      <c r="G2608" s="487">
        <v>1000</v>
      </c>
      <c r="H2608" s="702" t="s">
        <v>204</v>
      </c>
    </row>
    <row r="2609" spans="1:8">
      <c r="A2609" s="268">
        <v>369</v>
      </c>
      <c r="B2609" s="484" t="s">
        <v>7277</v>
      </c>
      <c r="C2609" s="268" t="s">
        <v>7361</v>
      </c>
      <c r="D2609" s="290" t="s">
        <v>7362</v>
      </c>
      <c r="E2609" s="268" t="s">
        <v>7254</v>
      </c>
      <c r="F2609" s="268" t="s">
        <v>7278</v>
      </c>
      <c r="G2609" s="487">
        <v>500</v>
      </c>
      <c r="H2609" s="702" t="s">
        <v>224</v>
      </c>
    </row>
    <row r="2610" spans="1:8">
      <c r="A2610" s="268">
        <v>370</v>
      </c>
      <c r="B2610" s="484" t="s">
        <v>7279</v>
      </c>
      <c r="C2610" s="268" t="s">
        <v>7361</v>
      </c>
      <c r="D2610" s="290" t="s">
        <v>7362</v>
      </c>
      <c r="E2610" s="268" t="s">
        <v>7258</v>
      </c>
      <c r="F2610" s="268" t="s">
        <v>7280</v>
      </c>
      <c r="G2610" s="487">
        <v>1600</v>
      </c>
      <c r="H2610" s="702" t="s">
        <v>188</v>
      </c>
    </row>
    <row r="2611" spans="1:8">
      <c r="A2611" s="268">
        <v>371</v>
      </c>
      <c r="B2611" s="484" t="s">
        <v>640</v>
      </c>
      <c r="C2611" s="268" t="s">
        <v>7361</v>
      </c>
      <c r="D2611" s="290" t="s">
        <v>7362</v>
      </c>
      <c r="E2611" s="268" t="s">
        <v>7281</v>
      </c>
      <c r="F2611" s="268" t="s">
        <v>7282</v>
      </c>
      <c r="G2611" s="487">
        <v>700</v>
      </c>
      <c r="H2611" s="268">
        <v>20</v>
      </c>
    </row>
    <row r="2612" spans="1:8">
      <c r="A2612" s="268">
        <v>372</v>
      </c>
      <c r="B2612" s="484" t="s">
        <v>6366</v>
      </c>
      <c r="C2612" s="268" t="s">
        <v>7361</v>
      </c>
      <c r="D2612" s="290" t="s">
        <v>7362</v>
      </c>
      <c r="E2612" s="268" t="s">
        <v>7281</v>
      </c>
      <c r="F2612" s="268" t="s">
        <v>7282</v>
      </c>
      <c r="G2612" s="487">
        <v>350</v>
      </c>
      <c r="H2612" s="268">
        <v>18</v>
      </c>
    </row>
    <row r="2613" spans="1:8">
      <c r="A2613" s="268">
        <v>373</v>
      </c>
      <c r="B2613" s="484" t="s">
        <v>7283</v>
      </c>
      <c r="C2613" s="268" t="s">
        <v>7361</v>
      </c>
      <c r="D2613" s="290" t="s">
        <v>7362</v>
      </c>
      <c r="E2613" s="268" t="s">
        <v>7281</v>
      </c>
      <c r="F2613" s="268" t="s">
        <v>7282</v>
      </c>
      <c r="G2613" s="487">
        <v>550</v>
      </c>
      <c r="H2613" s="268">
        <v>22</v>
      </c>
    </row>
    <row r="2614" spans="1:8">
      <c r="A2614" s="268">
        <v>374</v>
      </c>
      <c r="B2614" s="484" t="s">
        <v>7284</v>
      </c>
      <c r="C2614" s="268" t="s">
        <v>7361</v>
      </c>
      <c r="D2614" s="290" t="s">
        <v>7362</v>
      </c>
      <c r="E2614" s="268" t="s">
        <v>7285</v>
      </c>
      <c r="F2614" s="268" t="s">
        <v>7282</v>
      </c>
      <c r="G2614" s="487">
        <v>670</v>
      </c>
      <c r="H2614" s="268">
        <v>6</v>
      </c>
    </row>
    <row r="2615" spans="1:8">
      <c r="A2615" s="268">
        <v>375</v>
      </c>
      <c r="B2615" s="484" t="s">
        <v>7286</v>
      </c>
      <c r="C2615" s="268" t="s">
        <v>7361</v>
      </c>
      <c r="D2615" s="290" t="s">
        <v>7362</v>
      </c>
      <c r="E2615" s="268" t="s">
        <v>7287</v>
      </c>
      <c r="F2615" s="268" t="s">
        <v>7288</v>
      </c>
      <c r="G2615" s="487">
        <v>2035</v>
      </c>
      <c r="H2615" s="268">
        <v>25</v>
      </c>
    </row>
    <row r="2616" spans="1:8">
      <c r="A2616" s="268">
        <v>376</v>
      </c>
      <c r="B2616" s="484" t="s">
        <v>3684</v>
      </c>
      <c r="C2616" s="268" t="s">
        <v>7361</v>
      </c>
      <c r="D2616" s="290" t="s">
        <v>7362</v>
      </c>
      <c r="E2616" s="268" t="s">
        <v>7287</v>
      </c>
      <c r="F2616" s="268" t="s">
        <v>7288</v>
      </c>
      <c r="G2616" s="487">
        <v>900</v>
      </c>
      <c r="H2616" s="268">
        <v>30</v>
      </c>
    </row>
    <row r="2617" spans="1:8">
      <c r="A2617" s="268">
        <v>377</v>
      </c>
      <c r="B2617" s="484" t="s">
        <v>7289</v>
      </c>
      <c r="C2617" s="268" t="s">
        <v>7361</v>
      </c>
      <c r="D2617" s="290" t="s">
        <v>7362</v>
      </c>
      <c r="E2617" s="268" t="s">
        <v>7281</v>
      </c>
      <c r="F2617" s="268" t="s">
        <v>7288</v>
      </c>
      <c r="G2617" s="487">
        <v>200</v>
      </c>
      <c r="H2617" s="268">
        <v>6</v>
      </c>
    </row>
    <row r="2618" spans="1:8">
      <c r="A2618" s="268">
        <v>378</v>
      </c>
      <c r="B2618" s="484" t="s">
        <v>7290</v>
      </c>
      <c r="C2618" s="268" t="s">
        <v>7361</v>
      </c>
      <c r="D2618" s="290" t="s">
        <v>7362</v>
      </c>
      <c r="E2618" s="268" t="s">
        <v>7291</v>
      </c>
      <c r="F2618" s="268" t="s">
        <v>7292</v>
      </c>
      <c r="G2618" s="487">
        <v>300</v>
      </c>
      <c r="H2618" s="268">
        <v>18</v>
      </c>
    </row>
    <row r="2619" spans="1:8">
      <c r="A2619" s="268">
        <v>379</v>
      </c>
      <c r="B2619" s="484" t="s">
        <v>7293</v>
      </c>
      <c r="C2619" s="268" t="s">
        <v>7361</v>
      </c>
      <c r="D2619" s="290" t="s">
        <v>7362</v>
      </c>
      <c r="E2619" s="268" t="s">
        <v>6131</v>
      </c>
      <c r="F2619" s="268" t="s">
        <v>7294</v>
      </c>
      <c r="G2619" s="487">
        <v>600</v>
      </c>
      <c r="H2619" s="268">
        <v>30</v>
      </c>
    </row>
    <row r="2620" spans="1:8">
      <c r="A2620" s="268">
        <v>380</v>
      </c>
      <c r="B2620" s="484" t="s">
        <v>7295</v>
      </c>
      <c r="C2620" s="268" t="s">
        <v>7361</v>
      </c>
      <c r="D2620" s="290" t="s">
        <v>7362</v>
      </c>
      <c r="E2620" s="268" t="s">
        <v>7281</v>
      </c>
      <c r="F2620" s="268" t="s">
        <v>7288</v>
      </c>
      <c r="G2620" s="487">
        <v>800</v>
      </c>
      <c r="H2620" s="268">
        <v>25</v>
      </c>
    </row>
    <row r="2621" spans="1:8">
      <c r="A2621" s="268">
        <v>381</v>
      </c>
      <c r="B2621" s="484" t="s">
        <v>7296</v>
      </c>
      <c r="C2621" s="268" t="s">
        <v>7361</v>
      </c>
      <c r="D2621" s="290" t="s">
        <v>7362</v>
      </c>
      <c r="E2621" s="268" t="s">
        <v>7294</v>
      </c>
      <c r="F2621" s="268" t="s">
        <v>7288</v>
      </c>
      <c r="G2621" s="487">
        <v>200</v>
      </c>
      <c r="H2621" s="268">
        <v>8</v>
      </c>
    </row>
    <row r="2622" spans="1:8">
      <c r="A2622" s="268">
        <v>382</v>
      </c>
      <c r="B2622" s="484" t="s">
        <v>7297</v>
      </c>
      <c r="C2622" s="268" t="s">
        <v>7361</v>
      </c>
      <c r="D2622" s="290" t="s">
        <v>7362</v>
      </c>
      <c r="E2622" s="268" t="s">
        <v>7298</v>
      </c>
      <c r="F2622" s="268" t="s">
        <v>7282</v>
      </c>
      <c r="G2622" s="487">
        <v>700</v>
      </c>
      <c r="H2622" s="268">
        <v>20</v>
      </c>
    </row>
    <row r="2623" spans="1:8">
      <c r="A2623" s="268">
        <v>383</v>
      </c>
      <c r="B2623" s="484" t="s">
        <v>7299</v>
      </c>
      <c r="C2623" s="268" t="s">
        <v>7361</v>
      </c>
      <c r="D2623" s="290" t="s">
        <v>7362</v>
      </c>
      <c r="E2623" s="268" t="s">
        <v>7282</v>
      </c>
      <c r="F2623" s="268" t="s">
        <v>7288</v>
      </c>
      <c r="G2623" s="487">
        <v>270</v>
      </c>
      <c r="H2623" s="268">
        <v>25</v>
      </c>
    </row>
    <row r="2624" spans="1:8">
      <c r="A2624" s="268">
        <v>384</v>
      </c>
      <c r="B2624" s="484" t="s">
        <v>7300</v>
      </c>
      <c r="C2624" s="268" t="s">
        <v>7361</v>
      </c>
      <c r="D2624" s="290" t="s">
        <v>7362</v>
      </c>
      <c r="E2624" s="268" t="s">
        <v>7287</v>
      </c>
      <c r="F2624" s="268" t="s">
        <v>7288</v>
      </c>
      <c r="G2624" s="487">
        <v>1700</v>
      </c>
      <c r="H2624" s="268">
        <v>25</v>
      </c>
    </row>
    <row r="2625" spans="1:8">
      <c r="A2625" s="268">
        <v>385</v>
      </c>
      <c r="B2625" s="484" t="s">
        <v>7301</v>
      </c>
      <c r="C2625" s="268" t="s">
        <v>7361</v>
      </c>
      <c r="D2625" s="290" t="s">
        <v>7362</v>
      </c>
      <c r="E2625" s="268" t="s">
        <v>7282</v>
      </c>
      <c r="F2625" s="268" t="s">
        <v>7302</v>
      </c>
      <c r="G2625" s="487">
        <v>500</v>
      </c>
      <c r="H2625" s="268">
        <v>30</v>
      </c>
    </row>
    <row r="2626" spans="1:8">
      <c r="A2626" s="268">
        <v>386</v>
      </c>
      <c r="B2626" s="484" t="s">
        <v>7303</v>
      </c>
      <c r="C2626" s="268" t="s">
        <v>7361</v>
      </c>
      <c r="D2626" s="290" t="s">
        <v>7362</v>
      </c>
      <c r="E2626" s="268" t="s">
        <v>7287</v>
      </c>
      <c r="F2626" s="268" t="s">
        <v>7281</v>
      </c>
      <c r="G2626" s="487">
        <v>450</v>
      </c>
      <c r="H2626" s="268">
        <v>6</v>
      </c>
    </row>
    <row r="2627" spans="1:8">
      <c r="A2627" s="268">
        <v>387</v>
      </c>
      <c r="B2627" s="484" t="s">
        <v>7304</v>
      </c>
      <c r="C2627" s="268" t="s">
        <v>7361</v>
      </c>
      <c r="D2627" s="290" t="s">
        <v>7362</v>
      </c>
      <c r="E2627" s="268" t="s">
        <v>7305</v>
      </c>
      <c r="F2627" s="268" t="s">
        <v>7281</v>
      </c>
      <c r="G2627" s="487">
        <v>350</v>
      </c>
      <c r="H2627" s="268">
        <v>6</v>
      </c>
    </row>
    <row r="2628" spans="1:8">
      <c r="A2628" s="268">
        <v>388</v>
      </c>
      <c r="B2628" s="484" t="s">
        <v>7306</v>
      </c>
      <c r="C2628" s="268" t="s">
        <v>7361</v>
      </c>
      <c r="D2628" s="290" t="s">
        <v>7362</v>
      </c>
      <c r="E2628" s="268" t="s">
        <v>7287</v>
      </c>
      <c r="F2628" s="268" t="s">
        <v>7307</v>
      </c>
      <c r="G2628" s="487">
        <v>400</v>
      </c>
      <c r="H2628" s="268">
        <v>6</v>
      </c>
    </row>
    <row r="2629" spans="1:8">
      <c r="A2629" s="268">
        <v>389</v>
      </c>
      <c r="B2629" s="484" t="s">
        <v>2825</v>
      </c>
      <c r="C2629" s="268" t="s">
        <v>7361</v>
      </c>
      <c r="D2629" s="290" t="s">
        <v>7362</v>
      </c>
      <c r="E2629" s="268" t="s">
        <v>7281</v>
      </c>
      <c r="F2629" s="268" t="s">
        <v>7287</v>
      </c>
      <c r="G2629" s="487">
        <v>2200</v>
      </c>
      <c r="H2629" s="268">
        <v>25</v>
      </c>
    </row>
    <row r="2630" spans="1:8">
      <c r="A2630" s="268">
        <v>390</v>
      </c>
      <c r="B2630" s="484" t="s">
        <v>7308</v>
      </c>
      <c r="C2630" s="268" t="s">
        <v>7361</v>
      </c>
      <c r="D2630" s="290" t="s">
        <v>7362</v>
      </c>
      <c r="E2630" s="268" t="s">
        <v>7281</v>
      </c>
      <c r="F2630" s="268" t="s">
        <v>7288</v>
      </c>
      <c r="G2630" s="487">
        <v>396</v>
      </c>
      <c r="H2630" s="268">
        <v>8</v>
      </c>
    </row>
    <row r="2631" spans="1:8">
      <c r="A2631" s="268">
        <v>391</v>
      </c>
      <c r="B2631" s="484" t="s">
        <v>7309</v>
      </c>
      <c r="C2631" s="268" t="s">
        <v>7361</v>
      </c>
      <c r="D2631" s="290" t="s">
        <v>7362</v>
      </c>
      <c r="E2631" s="268" t="s">
        <v>7281</v>
      </c>
      <c r="F2631" s="268" t="s">
        <v>7288</v>
      </c>
      <c r="G2631" s="487">
        <v>800</v>
      </c>
      <c r="H2631" s="268">
        <v>25</v>
      </c>
    </row>
    <row r="2632" spans="1:8">
      <c r="A2632" s="268">
        <v>392</v>
      </c>
      <c r="B2632" s="484" t="s">
        <v>7310</v>
      </c>
      <c r="C2632" s="268" t="s">
        <v>7361</v>
      </c>
      <c r="D2632" s="290" t="s">
        <v>7362</v>
      </c>
      <c r="E2632" s="268" t="s">
        <v>7311</v>
      </c>
      <c r="F2632" s="268" t="s">
        <v>7288</v>
      </c>
      <c r="G2632" s="487">
        <v>350</v>
      </c>
      <c r="H2632" s="268">
        <v>20</v>
      </c>
    </row>
    <row r="2633" spans="1:8">
      <c r="A2633" s="268">
        <v>393</v>
      </c>
      <c r="B2633" s="484" t="s">
        <v>132</v>
      </c>
      <c r="C2633" s="268" t="s">
        <v>7361</v>
      </c>
      <c r="D2633" s="290" t="s">
        <v>7362</v>
      </c>
      <c r="E2633" s="268" t="s">
        <v>7312</v>
      </c>
      <c r="F2633" s="268" t="s">
        <v>7292</v>
      </c>
      <c r="G2633" s="487">
        <v>950</v>
      </c>
      <c r="H2633" s="268">
        <v>20</v>
      </c>
    </row>
    <row r="2634" spans="1:8">
      <c r="A2634" s="268">
        <v>394</v>
      </c>
      <c r="B2634" s="484" t="s">
        <v>7313</v>
      </c>
      <c r="C2634" s="268" t="s">
        <v>7361</v>
      </c>
      <c r="D2634" s="290" t="s">
        <v>7362</v>
      </c>
      <c r="E2634" s="268" t="s">
        <v>7312</v>
      </c>
      <c r="F2634" s="268" t="s">
        <v>7288</v>
      </c>
      <c r="G2634" s="487">
        <v>600</v>
      </c>
      <c r="H2634" s="268">
        <v>25</v>
      </c>
    </row>
    <row r="2635" spans="1:8">
      <c r="A2635" s="268">
        <v>395</v>
      </c>
      <c r="B2635" s="484" t="s">
        <v>7314</v>
      </c>
      <c r="C2635" s="268" t="s">
        <v>7361</v>
      </c>
      <c r="D2635" s="290" t="s">
        <v>7362</v>
      </c>
      <c r="E2635" s="268" t="s">
        <v>7281</v>
      </c>
      <c r="F2635" s="268" t="s">
        <v>7288</v>
      </c>
      <c r="G2635" s="487">
        <v>900</v>
      </c>
      <c r="H2635" s="268">
        <v>30</v>
      </c>
    </row>
    <row r="2636" spans="1:8">
      <c r="A2636" s="268">
        <v>396</v>
      </c>
      <c r="B2636" s="484" t="s">
        <v>7315</v>
      </c>
      <c r="C2636" s="268" t="s">
        <v>7361</v>
      </c>
      <c r="D2636" s="290" t="s">
        <v>7362</v>
      </c>
      <c r="E2636" s="268" t="s">
        <v>7316</v>
      </c>
      <c r="F2636" s="268" t="s">
        <v>7288</v>
      </c>
      <c r="G2636" s="487">
        <v>1050</v>
      </c>
      <c r="H2636" s="268">
        <v>30</v>
      </c>
    </row>
    <row r="2637" spans="1:8">
      <c r="A2637" s="268">
        <v>397</v>
      </c>
      <c r="B2637" s="484" t="s">
        <v>1246</v>
      </c>
      <c r="C2637" s="268" t="s">
        <v>7361</v>
      </c>
      <c r="D2637" s="290" t="s">
        <v>7362</v>
      </c>
      <c r="E2637" s="268" t="s">
        <v>7317</v>
      </c>
      <c r="F2637" s="268" t="s">
        <v>7281</v>
      </c>
      <c r="G2637" s="487">
        <v>850</v>
      </c>
      <c r="H2637" s="268">
        <v>25</v>
      </c>
    </row>
    <row r="2638" spans="1:8">
      <c r="A2638" s="268">
        <v>398</v>
      </c>
      <c r="B2638" s="484" t="s">
        <v>7318</v>
      </c>
      <c r="C2638" s="268" t="s">
        <v>7361</v>
      </c>
      <c r="D2638" s="290" t="s">
        <v>7362</v>
      </c>
      <c r="E2638" s="268" t="s">
        <v>7281</v>
      </c>
      <c r="F2638" s="268" t="s">
        <v>7288</v>
      </c>
      <c r="G2638" s="487">
        <v>800</v>
      </c>
      <c r="H2638" s="268">
        <v>10</v>
      </c>
    </row>
    <row r="2639" spans="1:8">
      <c r="A2639" s="268">
        <v>399</v>
      </c>
      <c r="B2639" s="484" t="s">
        <v>7319</v>
      </c>
      <c r="C2639" s="268" t="s">
        <v>7361</v>
      </c>
      <c r="D2639" s="290" t="s">
        <v>7362</v>
      </c>
      <c r="E2639" s="268" t="s">
        <v>7320</v>
      </c>
      <c r="F2639" s="268" t="s">
        <v>7288</v>
      </c>
      <c r="G2639" s="487">
        <v>400</v>
      </c>
      <c r="H2639" s="268">
        <v>7</v>
      </c>
    </row>
    <row r="2640" spans="1:8">
      <c r="A2640" s="268">
        <v>400</v>
      </c>
      <c r="B2640" s="484" t="s">
        <v>5041</v>
      </c>
      <c r="C2640" s="268" t="s">
        <v>7361</v>
      </c>
      <c r="D2640" s="290" t="s">
        <v>7362</v>
      </c>
      <c r="E2640" s="268" t="s">
        <v>7320</v>
      </c>
      <c r="F2640" s="268" t="s">
        <v>7288</v>
      </c>
      <c r="G2640" s="487">
        <v>350</v>
      </c>
      <c r="H2640" s="268">
        <v>10</v>
      </c>
    </row>
    <row r="2641" spans="1:8">
      <c r="A2641" s="268">
        <v>401</v>
      </c>
      <c r="B2641" s="484" t="s">
        <v>6870</v>
      </c>
      <c r="C2641" s="268" t="s">
        <v>7361</v>
      </c>
      <c r="D2641" s="290" t="s">
        <v>7362</v>
      </c>
      <c r="E2641" s="268" t="s">
        <v>6601</v>
      </c>
      <c r="F2641" s="268" t="s">
        <v>7317</v>
      </c>
      <c r="G2641" s="487">
        <v>1700</v>
      </c>
      <c r="H2641" s="268">
        <v>15</v>
      </c>
    </row>
    <row r="2642" spans="1:8">
      <c r="A2642" s="268">
        <v>402</v>
      </c>
      <c r="B2642" s="270" t="s">
        <v>8527</v>
      </c>
      <c r="C2642" s="268" t="s">
        <v>8564</v>
      </c>
      <c r="D2642" s="268" t="s">
        <v>8565</v>
      </c>
      <c r="E2642" s="268"/>
      <c r="F2642" s="268"/>
      <c r="G2642" s="322">
        <v>850</v>
      </c>
      <c r="H2642" s="694"/>
    </row>
    <row r="2643" spans="1:8">
      <c r="A2643" s="268">
        <v>403</v>
      </c>
      <c r="B2643" s="270" t="s">
        <v>8528</v>
      </c>
      <c r="C2643" s="268" t="s">
        <v>8564</v>
      </c>
      <c r="D2643" s="268" t="s">
        <v>8565</v>
      </c>
      <c r="E2643" s="268"/>
      <c r="F2643" s="268"/>
      <c r="G2643" s="322">
        <v>1530</v>
      </c>
      <c r="H2643" s="694"/>
    </row>
    <row r="2644" spans="1:8">
      <c r="A2644" s="268">
        <v>404</v>
      </c>
      <c r="B2644" s="270" t="s">
        <v>8529</v>
      </c>
      <c r="C2644" s="268" t="s">
        <v>8564</v>
      </c>
      <c r="D2644" s="268" t="s">
        <v>8565</v>
      </c>
      <c r="E2644" s="268"/>
      <c r="F2644" s="268"/>
      <c r="G2644" s="322">
        <v>1220</v>
      </c>
      <c r="H2644" s="694"/>
    </row>
    <row r="2645" spans="1:8" ht="31.5">
      <c r="A2645" s="268">
        <v>405</v>
      </c>
      <c r="B2645" s="270" t="s">
        <v>8530</v>
      </c>
      <c r="C2645" s="268" t="s">
        <v>8564</v>
      </c>
      <c r="D2645" s="268" t="s">
        <v>8565</v>
      </c>
      <c r="E2645" s="622" t="s">
        <v>8566</v>
      </c>
      <c r="F2645" s="622" t="s">
        <v>5905</v>
      </c>
      <c r="G2645" s="322">
        <v>150</v>
      </c>
      <c r="H2645" s="694" t="s">
        <v>150</v>
      </c>
    </row>
    <row r="2646" spans="1:8">
      <c r="A2646" s="268">
        <v>406</v>
      </c>
      <c r="B2646" s="270" t="s">
        <v>8531</v>
      </c>
      <c r="C2646" s="268" t="s">
        <v>8564</v>
      </c>
      <c r="D2646" s="268" t="s">
        <v>8565</v>
      </c>
      <c r="E2646" s="622" t="s">
        <v>8567</v>
      </c>
      <c r="F2646" s="622" t="s">
        <v>5905</v>
      </c>
      <c r="G2646" s="322">
        <v>250</v>
      </c>
      <c r="H2646" s="694" t="s">
        <v>202</v>
      </c>
    </row>
    <row r="2647" spans="1:8">
      <c r="A2647" s="268">
        <v>407</v>
      </c>
      <c r="B2647" s="270" t="s">
        <v>8532</v>
      </c>
      <c r="C2647" s="268" t="s">
        <v>8564</v>
      </c>
      <c r="D2647" s="268" t="s">
        <v>8565</v>
      </c>
      <c r="E2647" s="622" t="s">
        <v>8568</v>
      </c>
      <c r="F2647" s="622" t="s">
        <v>5905</v>
      </c>
      <c r="G2647" s="322">
        <v>400</v>
      </c>
      <c r="H2647" s="694" t="s">
        <v>153</v>
      </c>
    </row>
    <row r="2648" spans="1:8">
      <c r="A2648" s="268">
        <v>408</v>
      </c>
      <c r="B2648" s="270" t="s">
        <v>8533</v>
      </c>
      <c r="C2648" s="268" t="s">
        <v>8564</v>
      </c>
      <c r="D2648" s="268" t="s">
        <v>8565</v>
      </c>
      <c r="E2648" s="622" t="s">
        <v>8569</v>
      </c>
      <c r="F2648" s="622" t="s">
        <v>5905</v>
      </c>
      <c r="G2648" s="322">
        <v>400</v>
      </c>
      <c r="H2648" s="694" t="s">
        <v>150</v>
      </c>
    </row>
    <row r="2649" spans="1:8">
      <c r="A2649" s="268">
        <v>409</v>
      </c>
      <c r="B2649" s="270" t="s">
        <v>8534</v>
      </c>
      <c r="C2649" s="268" t="s">
        <v>8564</v>
      </c>
      <c r="D2649" s="268" t="s">
        <v>8565</v>
      </c>
      <c r="E2649" s="622" t="s">
        <v>8570</v>
      </c>
      <c r="F2649" s="622" t="s">
        <v>5905</v>
      </c>
      <c r="G2649" s="322">
        <v>582</v>
      </c>
      <c r="H2649" s="694" t="s">
        <v>8630</v>
      </c>
    </row>
    <row r="2650" spans="1:8">
      <c r="A2650" s="268">
        <v>410</v>
      </c>
      <c r="B2650" s="270" t="s">
        <v>8535</v>
      </c>
      <c r="C2650" s="268" t="s">
        <v>8564</v>
      </c>
      <c r="D2650" s="268" t="s">
        <v>8565</v>
      </c>
      <c r="E2650" s="622" t="s">
        <v>8571</v>
      </c>
      <c r="F2650" s="622" t="s">
        <v>5905</v>
      </c>
      <c r="G2650" s="322">
        <v>800</v>
      </c>
      <c r="H2650" s="694" t="s">
        <v>162</v>
      </c>
    </row>
    <row r="2651" spans="1:8">
      <c r="A2651" s="268">
        <v>411</v>
      </c>
      <c r="B2651" s="270" t="s">
        <v>8536</v>
      </c>
      <c r="C2651" s="268" t="s">
        <v>8564</v>
      </c>
      <c r="D2651" s="268" t="s">
        <v>8565</v>
      </c>
      <c r="E2651" s="622" t="s">
        <v>8572</v>
      </c>
      <c r="F2651" s="622" t="s">
        <v>5905</v>
      </c>
      <c r="G2651" s="322">
        <v>400</v>
      </c>
      <c r="H2651" s="694" t="s">
        <v>202</v>
      </c>
    </row>
    <row r="2652" spans="1:8">
      <c r="A2652" s="268">
        <v>412</v>
      </c>
      <c r="B2652" s="270" t="s">
        <v>877</v>
      </c>
      <c r="C2652" s="268" t="s">
        <v>8564</v>
      </c>
      <c r="D2652" s="268" t="s">
        <v>8565</v>
      </c>
      <c r="E2652" s="622" t="s">
        <v>8573</v>
      </c>
      <c r="F2652" s="622" t="s">
        <v>5905</v>
      </c>
      <c r="G2652" s="322">
        <v>900</v>
      </c>
      <c r="H2652" s="694" t="s">
        <v>229</v>
      </c>
    </row>
    <row r="2653" spans="1:8">
      <c r="A2653" s="268">
        <v>413</v>
      </c>
      <c r="B2653" s="270" t="s">
        <v>8537</v>
      </c>
      <c r="C2653" s="268" t="s">
        <v>8564</v>
      </c>
      <c r="D2653" s="268" t="s">
        <v>8565</v>
      </c>
      <c r="E2653" s="622" t="s">
        <v>8574</v>
      </c>
      <c r="F2653" s="622" t="s">
        <v>5905</v>
      </c>
      <c r="G2653" s="322">
        <v>825</v>
      </c>
      <c r="H2653" s="694" t="s">
        <v>8630</v>
      </c>
    </row>
    <row r="2654" spans="1:8">
      <c r="A2654" s="268">
        <v>414</v>
      </c>
      <c r="B2654" s="270" t="s">
        <v>8538</v>
      </c>
      <c r="C2654" s="268" t="s">
        <v>8564</v>
      </c>
      <c r="D2654" s="268" t="s">
        <v>8565</v>
      </c>
      <c r="E2654" s="622" t="s">
        <v>8575</v>
      </c>
      <c r="F2654" s="622" t="s">
        <v>5905</v>
      </c>
      <c r="G2654" s="322">
        <v>950</v>
      </c>
      <c r="H2654" s="694" t="s">
        <v>165</v>
      </c>
    </row>
    <row r="2655" spans="1:8">
      <c r="A2655" s="268">
        <v>415</v>
      </c>
      <c r="B2655" s="270" t="s">
        <v>8539</v>
      </c>
      <c r="C2655" s="268" t="s">
        <v>8564</v>
      </c>
      <c r="D2655" s="268" t="s">
        <v>8565</v>
      </c>
      <c r="E2655" s="622" t="s">
        <v>8576</v>
      </c>
      <c r="F2655" s="622" t="s">
        <v>5905</v>
      </c>
      <c r="G2655" s="322">
        <v>1100</v>
      </c>
      <c r="H2655" s="694" t="s">
        <v>150</v>
      </c>
    </row>
    <row r="2656" spans="1:8">
      <c r="A2656" s="268">
        <v>416</v>
      </c>
      <c r="B2656" s="270" t="s">
        <v>8537</v>
      </c>
      <c r="C2656" s="268" t="s">
        <v>8564</v>
      </c>
      <c r="D2656" s="268" t="s">
        <v>8565</v>
      </c>
      <c r="E2656" s="622" t="s">
        <v>8577</v>
      </c>
      <c r="F2656" s="622" t="s">
        <v>5905</v>
      </c>
      <c r="G2656" s="322">
        <v>600</v>
      </c>
      <c r="H2656" s="694" t="s">
        <v>153</v>
      </c>
    </row>
    <row r="2657" spans="1:8">
      <c r="A2657" s="268">
        <v>417</v>
      </c>
      <c r="B2657" s="270" t="s">
        <v>8540</v>
      </c>
      <c r="C2657" s="268" t="s">
        <v>8564</v>
      </c>
      <c r="D2657" s="268" t="s">
        <v>8565</v>
      </c>
      <c r="E2657" s="622" t="s">
        <v>8578</v>
      </c>
      <c r="F2657" s="622" t="s">
        <v>5905</v>
      </c>
      <c r="G2657" s="322">
        <v>450</v>
      </c>
      <c r="H2657" s="694" t="s">
        <v>306</v>
      </c>
    </row>
    <row r="2658" spans="1:8">
      <c r="A2658" s="268">
        <v>418</v>
      </c>
      <c r="B2658" s="270" t="s">
        <v>8541</v>
      </c>
      <c r="C2658" s="268" t="s">
        <v>8564</v>
      </c>
      <c r="D2658" s="268" t="s">
        <v>8565</v>
      </c>
      <c r="E2658" s="622" t="s">
        <v>8579</v>
      </c>
      <c r="F2658" s="622" t="s">
        <v>5905</v>
      </c>
      <c r="G2658" s="322">
        <v>350</v>
      </c>
      <c r="H2658" s="694" t="s">
        <v>162</v>
      </c>
    </row>
    <row r="2659" spans="1:8">
      <c r="A2659" s="268">
        <v>419</v>
      </c>
      <c r="B2659" s="270" t="s">
        <v>8542</v>
      </c>
      <c r="C2659" s="268" t="s">
        <v>8564</v>
      </c>
      <c r="D2659" s="268" t="s">
        <v>8565</v>
      </c>
      <c r="E2659" s="622" t="s">
        <v>8580</v>
      </c>
      <c r="F2659" s="622" t="s">
        <v>5905</v>
      </c>
      <c r="G2659" s="322">
        <v>200</v>
      </c>
      <c r="H2659" s="694" t="s">
        <v>326</v>
      </c>
    </row>
    <row r="2660" spans="1:8">
      <c r="A2660" s="268">
        <v>420</v>
      </c>
      <c r="B2660" s="270" t="s">
        <v>8543</v>
      </c>
      <c r="C2660" s="268" t="s">
        <v>8564</v>
      </c>
      <c r="D2660" s="268" t="s">
        <v>8565</v>
      </c>
      <c r="E2660" s="622" t="s">
        <v>8581</v>
      </c>
      <c r="F2660" s="622" t="s">
        <v>5905</v>
      </c>
      <c r="G2660" s="322">
        <v>70</v>
      </c>
      <c r="H2660" s="694" t="s">
        <v>326</v>
      </c>
    </row>
    <row r="2661" spans="1:8">
      <c r="A2661" s="268">
        <v>421</v>
      </c>
      <c r="B2661" s="270" t="s">
        <v>8544</v>
      </c>
      <c r="C2661" s="268" t="s">
        <v>8564</v>
      </c>
      <c r="D2661" s="268" t="s">
        <v>8565</v>
      </c>
      <c r="E2661" s="622" t="s">
        <v>8582</v>
      </c>
      <c r="F2661" s="622" t="s">
        <v>5905</v>
      </c>
      <c r="G2661" s="322">
        <v>350</v>
      </c>
      <c r="H2661" s="694" t="s">
        <v>229</v>
      </c>
    </row>
    <row r="2662" spans="1:8">
      <c r="A2662" s="268">
        <v>422</v>
      </c>
      <c r="B2662" s="270" t="s">
        <v>8545</v>
      </c>
      <c r="C2662" s="268" t="s">
        <v>8564</v>
      </c>
      <c r="D2662" s="268" t="s">
        <v>8565</v>
      </c>
      <c r="E2662" s="622" t="s">
        <v>8583</v>
      </c>
      <c r="F2662" s="622" t="s">
        <v>5905</v>
      </c>
      <c r="G2662" s="322">
        <v>300</v>
      </c>
      <c r="H2662" s="694" t="s">
        <v>165</v>
      </c>
    </row>
    <row r="2663" spans="1:8">
      <c r="A2663" s="268">
        <v>423</v>
      </c>
      <c r="B2663" s="270" t="s">
        <v>8546</v>
      </c>
      <c r="C2663" s="268" t="s">
        <v>8564</v>
      </c>
      <c r="D2663" s="268" t="s">
        <v>8565</v>
      </c>
      <c r="E2663" s="622" t="s">
        <v>8584</v>
      </c>
      <c r="F2663" s="622" t="s">
        <v>5905</v>
      </c>
      <c r="G2663" s="322">
        <v>650</v>
      </c>
      <c r="H2663" s="694" t="s">
        <v>735</v>
      </c>
    </row>
    <row r="2664" spans="1:8">
      <c r="A2664" s="268">
        <v>424</v>
      </c>
      <c r="B2664" s="270" t="s">
        <v>8547</v>
      </c>
      <c r="C2664" s="268" t="s">
        <v>8564</v>
      </c>
      <c r="D2664" s="268" t="s">
        <v>8565</v>
      </c>
      <c r="E2664" s="622" t="s">
        <v>8585</v>
      </c>
      <c r="F2664" s="622" t="s">
        <v>5905</v>
      </c>
      <c r="G2664" s="322">
        <v>511</v>
      </c>
      <c r="H2664" s="694" t="s">
        <v>212</v>
      </c>
    </row>
    <row r="2665" spans="1:8">
      <c r="A2665" s="268">
        <v>425</v>
      </c>
      <c r="B2665" s="270" t="s">
        <v>8548</v>
      </c>
      <c r="C2665" s="268" t="s">
        <v>8564</v>
      </c>
      <c r="D2665" s="268" t="s">
        <v>8565</v>
      </c>
      <c r="E2665" s="622" t="s">
        <v>8586</v>
      </c>
      <c r="F2665" s="622" t="s">
        <v>5905</v>
      </c>
      <c r="G2665" s="322">
        <v>525</v>
      </c>
      <c r="H2665" s="694" t="s">
        <v>8630</v>
      </c>
    </row>
    <row r="2666" spans="1:8">
      <c r="A2666" s="268">
        <v>426</v>
      </c>
      <c r="B2666" s="270" t="s">
        <v>8549</v>
      </c>
      <c r="C2666" s="268" t="s">
        <v>8564</v>
      </c>
      <c r="D2666" s="268" t="s">
        <v>8565</v>
      </c>
      <c r="E2666" s="622" t="s">
        <v>8587</v>
      </c>
      <c r="F2666" s="622" t="s">
        <v>5905</v>
      </c>
      <c r="G2666" s="322">
        <v>456</v>
      </c>
      <c r="H2666" s="694" t="s">
        <v>165</v>
      </c>
    </row>
    <row r="2667" spans="1:8">
      <c r="A2667" s="268">
        <v>427</v>
      </c>
      <c r="B2667" s="270" t="s">
        <v>8550</v>
      </c>
      <c r="C2667" s="268" t="s">
        <v>8564</v>
      </c>
      <c r="D2667" s="268" t="s">
        <v>8565</v>
      </c>
      <c r="E2667" s="622" t="s">
        <v>8588</v>
      </c>
      <c r="F2667" s="622" t="s">
        <v>5905</v>
      </c>
      <c r="G2667" s="322">
        <v>350</v>
      </c>
      <c r="H2667" s="694" t="s">
        <v>153</v>
      </c>
    </row>
    <row r="2668" spans="1:8">
      <c r="A2668" s="268">
        <v>428</v>
      </c>
      <c r="B2668" s="270" t="s">
        <v>1105</v>
      </c>
      <c r="C2668" s="268" t="s">
        <v>8564</v>
      </c>
      <c r="D2668" s="268" t="s">
        <v>8565</v>
      </c>
      <c r="E2668" s="622" t="s">
        <v>8589</v>
      </c>
      <c r="F2668" s="622" t="s">
        <v>5905</v>
      </c>
      <c r="G2668" s="322">
        <v>200</v>
      </c>
      <c r="H2668" s="694" t="s">
        <v>184</v>
      </c>
    </row>
    <row r="2669" spans="1:8">
      <c r="A2669" s="268">
        <v>429</v>
      </c>
      <c r="B2669" s="270" t="s">
        <v>8551</v>
      </c>
      <c r="C2669" s="268" t="s">
        <v>8564</v>
      </c>
      <c r="D2669" s="268" t="s">
        <v>8565</v>
      </c>
      <c r="E2669" s="622" t="s">
        <v>8590</v>
      </c>
      <c r="F2669" s="622" t="s">
        <v>5905</v>
      </c>
      <c r="G2669" s="322">
        <v>215</v>
      </c>
      <c r="H2669" s="694" t="s">
        <v>165</v>
      </c>
    </row>
    <row r="2670" spans="1:8">
      <c r="A2670" s="268">
        <v>430</v>
      </c>
      <c r="B2670" s="270" t="s">
        <v>8552</v>
      </c>
      <c r="C2670" s="268" t="s">
        <v>8564</v>
      </c>
      <c r="D2670" s="268" t="s">
        <v>8565</v>
      </c>
      <c r="E2670" s="622" t="s">
        <v>8591</v>
      </c>
      <c r="F2670" s="622" t="s">
        <v>5905</v>
      </c>
      <c r="G2670" s="322">
        <v>300</v>
      </c>
      <c r="H2670" s="694" t="s">
        <v>229</v>
      </c>
    </row>
    <row r="2671" spans="1:8">
      <c r="A2671" s="268">
        <v>431</v>
      </c>
      <c r="B2671" s="270" t="s">
        <v>8553</v>
      </c>
      <c r="C2671" s="268" t="s">
        <v>8564</v>
      </c>
      <c r="D2671" s="268" t="s">
        <v>8565</v>
      </c>
      <c r="E2671" s="622" t="s">
        <v>8592</v>
      </c>
      <c r="F2671" s="622" t="s">
        <v>5905</v>
      </c>
      <c r="G2671" s="322">
        <v>350</v>
      </c>
      <c r="H2671" s="694" t="s">
        <v>329</v>
      </c>
    </row>
    <row r="2672" spans="1:8">
      <c r="A2672" s="268">
        <v>432</v>
      </c>
      <c r="B2672" s="270" t="s">
        <v>8554</v>
      </c>
      <c r="C2672" s="268" t="s">
        <v>8564</v>
      </c>
      <c r="D2672" s="268" t="s">
        <v>8565</v>
      </c>
      <c r="E2672" s="622" t="s">
        <v>6398</v>
      </c>
      <c r="F2672" s="622" t="s">
        <v>5905</v>
      </c>
      <c r="G2672" s="322">
        <v>100</v>
      </c>
      <c r="H2672" s="694" t="s">
        <v>326</v>
      </c>
    </row>
    <row r="2673" spans="1:8">
      <c r="A2673" s="268">
        <v>433</v>
      </c>
      <c r="B2673" s="270" t="s">
        <v>8555</v>
      </c>
      <c r="C2673" s="268" t="s">
        <v>8564</v>
      </c>
      <c r="D2673" s="268" t="s">
        <v>8565</v>
      </c>
      <c r="E2673" s="622" t="s">
        <v>8593</v>
      </c>
      <c r="F2673" s="622" t="s">
        <v>8594</v>
      </c>
      <c r="G2673" s="322">
        <v>400</v>
      </c>
      <c r="H2673" s="694" t="s">
        <v>183</v>
      </c>
    </row>
    <row r="2674" spans="1:8">
      <c r="A2674" s="268">
        <v>434</v>
      </c>
      <c r="B2674" s="270" t="s">
        <v>8555</v>
      </c>
      <c r="C2674" s="268" t="s">
        <v>8564</v>
      </c>
      <c r="D2674" s="268" t="s">
        <v>8565</v>
      </c>
      <c r="E2674" s="622" t="s">
        <v>8595</v>
      </c>
      <c r="F2674" s="622" t="s">
        <v>8596</v>
      </c>
      <c r="G2674" s="322">
        <v>300</v>
      </c>
      <c r="H2674" s="694" t="s">
        <v>177</v>
      </c>
    </row>
    <row r="2675" spans="1:8">
      <c r="A2675" s="268">
        <v>435</v>
      </c>
      <c r="B2675" s="270" t="s">
        <v>8556</v>
      </c>
      <c r="C2675" s="268" t="s">
        <v>8564</v>
      </c>
      <c r="D2675" s="268" t="s">
        <v>8565</v>
      </c>
      <c r="E2675" s="622" t="s">
        <v>8597</v>
      </c>
      <c r="F2675" s="622" t="s">
        <v>8598</v>
      </c>
      <c r="G2675" s="322">
        <v>2500</v>
      </c>
      <c r="H2675" s="694" t="s">
        <v>184</v>
      </c>
    </row>
    <row r="2676" spans="1:8">
      <c r="A2676" s="268">
        <v>436</v>
      </c>
      <c r="B2676" s="270" t="s">
        <v>8557</v>
      </c>
      <c r="C2676" s="268" t="s">
        <v>8564</v>
      </c>
      <c r="D2676" s="268" t="s">
        <v>8565</v>
      </c>
      <c r="E2676" s="622" t="s">
        <v>8599</v>
      </c>
      <c r="F2676" s="622" t="s">
        <v>8600</v>
      </c>
      <c r="G2676" s="322">
        <v>2000</v>
      </c>
      <c r="H2676" s="694" t="s">
        <v>184</v>
      </c>
    </row>
    <row r="2677" spans="1:8">
      <c r="A2677" s="268">
        <v>437</v>
      </c>
      <c r="B2677" s="270" t="s">
        <v>8558</v>
      </c>
      <c r="C2677" s="268" t="s">
        <v>8564</v>
      </c>
      <c r="D2677" s="268" t="s">
        <v>8565</v>
      </c>
      <c r="E2677" s="622" t="s">
        <v>8601</v>
      </c>
      <c r="F2677" s="622" t="s">
        <v>8602</v>
      </c>
      <c r="G2677" s="322">
        <v>1500</v>
      </c>
      <c r="H2677" s="694" t="s">
        <v>202</v>
      </c>
    </row>
    <row r="2678" spans="1:8">
      <c r="A2678" s="268">
        <v>438</v>
      </c>
      <c r="B2678" s="270" t="s">
        <v>8555</v>
      </c>
      <c r="C2678" s="268" t="s">
        <v>8564</v>
      </c>
      <c r="D2678" s="268" t="s">
        <v>8565</v>
      </c>
      <c r="E2678" s="622" t="s">
        <v>8603</v>
      </c>
      <c r="F2678" s="622" t="s">
        <v>8604</v>
      </c>
      <c r="G2678" s="322">
        <v>1000</v>
      </c>
      <c r="H2678" s="622">
        <v>5</v>
      </c>
    </row>
    <row r="2679" spans="1:8">
      <c r="A2679" s="268">
        <v>439</v>
      </c>
      <c r="B2679" s="270" t="s">
        <v>8555</v>
      </c>
      <c r="C2679" s="268" t="s">
        <v>8564</v>
      </c>
      <c r="D2679" s="268" t="s">
        <v>8565</v>
      </c>
      <c r="E2679" s="622" t="s">
        <v>8605</v>
      </c>
      <c r="F2679" s="622" t="s">
        <v>5905</v>
      </c>
      <c r="G2679" s="322">
        <v>1000</v>
      </c>
      <c r="H2679" s="622">
        <v>8</v>
      </c>
    </row>
    <row r="2680" spans="1:8">
      <c r="A2680" s="268">
        <v>440</v>
      </c>
      <c r="B2680" s="270" t="s">
        <v>8555</v>
      </c>
      <c r="C2680" s="268" t="s">
        <v>8564</v>
      </c>
      <c r="D2680" s="268" t="s">
        <v>8565</v>
      </c>
      <c r="E2680" s="622" t="s">
        <v>8606</v>
      </c>
      <c r="F2680" s="622" t="s">
        <v>5905</v>
      </c>
      <c r="G2680" s="322">
        <v>900</v>
      </c>
      <c r="H2680" s="622">
        <v>6</v>
      </c>
    </row>
    <row r="2681" spans="1:8">
      <c r="A2681" s="268">
        <v>441</v>
      </c>
      <c r="B2681" s="270" t="s">
        <v>8559</v>
      </c>
      <c r="C2681" s="268" t="s">
        <v>8564</v>
      </c>
      <c r="D2681" s="268" t="s">
        <v>8565</v>
      </c>
      <c r="E2681" s="622" t="s">
        <v>8607</v>
      </c>
      <c r="F2681" s="622" t="s">
        <v>8608</v>
      </c>
      <c r="G2681" s="322">
        <v>2000</v>
      </c>
      <c r="H2681" s="622">
        <v>5</v>
      </c>
    </row>
    <row r="2682" spans="1:8">
      <c r="A2682" s="268">
        <v>442</v>
      </c>
      <c r="B2682" s="270" t="s">
        <v>6116</v>
      </c>
      <c r="C2682" s="268" t="s">
        <v>8564</v>
      </c>
      <c r="D2682" s="268" t="s">
        <v>8565</v>
      </c>
      <c r="E2682" s="622" t="s">
        <v>8609</v>
      </c>
      <c r="F2682" s="622" t="s">
        <v>8610</v>
      </c>
      <c r="G2682" s="322">
        <v>3000</v>
      </c>
      <c r="H2682" s="622">
        <v>4</v>
      </c>
    </row>
    <row r="2683" spans="1:8">
      <c r="A2683" s="268">
        <v>443</v>
      </c>
      <c r="B2683" s="270" t="s">
        <v>8560</v>
      </c>
      <c r="C2683" s="268" t="s">
        <v>8564</v>
      </c>
      <c r="D2683" s="268" t="s">
        <v>8565</v>
      </c>
      <c r="E2683" s="622" t="s">
        <v>8611</v>
      </c>
      <c r="F2683" s="622" t="s">
        <v>8612</v>
      </c>
      <c r="G2683" s="322">
        <v>5500</v>
      </c>
      <c r="H2683" s="622">
        <v>5</v>
      </c>
    </row>
    <row r="2684" spans="1:8">
      <c r="A2684" s="268">
        <v>444</v>
      </c>
      <c r="B2684" s="270" t="s">
        <v>6735</v>
      </c>
      <c r="C2684" s="268" t="s">
        <v>8564</v>
      </c>
      <c r="D2684" s="268" t="s">
        <v>8565</v>
      </c>
      <c r="E2684" s="622" t="s">
        <v>8613</v>
      </c>
      <c r="F2684" s="622" t="s">
        <v>5287</v>
      </c>
      <c r="G2684" s="322">
        <v>5000</v>
      </c>
      <c r="H2684" s="622">
        <v>3</v>
      </c>
    </row>
    <row r="2685" spans="1:8">
      <c r="A2685" s="268">
        <v>445</v>
      </c>
      <c r="B2685" s="270" t="s">
        <v>8555</v>
      </c>
      <c r="C2685" s="268" t="s">
        <v>8564</v>
      </c>
      <c r="D2685" s="268" t="s">
        <v>8565</v>
      </c>
      <c r="E2685" s="622" t="s">
        <v>8614</v>
      </c>
      <c r="F2685" s="622" t="s">
        <v>8615</v>
      </c>
      <c r="G2685" s="322">
        <v>4000</v>
      </c>
      <c r="H2685" s="622">
        <v>3</v>
      </c>
    </row>
    <row r="2686" spans="1:8" ht="31.5">
      <c r="A2686" s="268">
        <v>446</v>
      </c>
      <c r="B2686" s="270" t="s">
        <v>8555</v>
      </c>
      <c r="C2686" s="268" t="s">
        <v>8564</v>
      </c>
      <c r="D2686" s="268" t="s">
        <v>8565</v>
      </c>
      <c r="E2686" s="622" t="s">
        <v>8616</v>
      </c>
      <c r="F2686" s="622" t="s">
        <v>8617</v>
      </c>
      <c r="G2686" s="322">
        <v>2000</v>
      </c>
      <c r="H2686" s="622">
        <v>3</v>
      </c>
    </row>
    <row r="2687" spans="1:8">
      <c r="A2687" s="268">
        <v>447</v>
      </c>
      <c r="B2687" s="270" t="s">
        <v>8561</v>
      </c>
      <c r="C2687" s="268" t="s">
        <v>8564</v>
      </c>
      <c r="D2687" s="268" t="s">
        <v>8565</v>
      </c>
      <c r="E2687" s="622" t="s">
        <v>8618</v>
      </c>
      <c r="F2687" s="622" t="s">
        <v>5905</v>
      </c>
      <c r="G2687" s="322">
        <v>1500</v>
      </c>
      <c r="H2687" s="622">
        <v>4</v>
      </c>
    </row>
    <row r="2688" spans="1:8">
      <c r="A2688" s="268">
        <v>448</v>
      </c>
      <c r="B2688" s="270" t="s">
        <v>8555</v>
      </c>
      <c r="C2688" s="268" t="s">
        <v>8564</v>
      </c>
      <c r="D2688" s="268" t="s">
        <v>8565</v>
      </c>
      <c r="E2688" s="622" t="s">
        <v>8619</v>
      </c>
      <c r="F2688" s="622" t="s">
        <v>5905</v>
      </c>
      <c r="G2688" s="322">
        <v>1600</v>
      </c>
      <c r="H2688" s="622">
        <v>3</v>
      </c>
    </row>
    <row r="2689" spans="1:8">
      <c r="A2689" s="268">
        <v>449</v>
      </c>
      <c r="B2689" s="270" t="s">
        <v>8562</v>
      </c>
      <c r="C2689" s="268" t="s">
        <v>8564</v>
      </c>
      <c r="D2689" s="268" t="s">
        <v>8565</v>
      </c>
      <c r="E2689" s="622" t="s">
        <v>8620</v>
      </c>
      <c r="F2689" s="622" t="s">
        <v>5905</v>
      </c>
      <c r="G2689" s="322">
        <v>1400</v>
      </c>
      <c r="H2689" s="622">
        <v>3</v>
      </c>
    </row>
    <row r="2690" spans="1:8" ht="31.5">
      <c r="A2690" s="268">
        <v>450</v>
      </c>
      <c r="B2690" s="270" t="s">
        <v>8563</v>
      </c>
      <c r="C2690" s="268" t="s">
        <v>8564</v>
      </c>
      <c r="D2690" s="268" t="s">
        <v>8565</v>
      </c>
      <c r="E2690" s="622" t="s">
        <v>8621</v>
      </c>
      <c r="F2690" s="622" t="s">
        <v>8622</v>
      </c>
      <c r="G2690" s="322">
        <v>3000</v>
      </c>
      <c r="H2690" s="622">
        <v>5</v>
      </c>
    </row>
    <row r="2691" spans="1:8">
      <c r="A2691" s="268">
        <v>451</v>
      </c>
      <c r="B2691" s="270" t="s">
        <v>8555</v>
      </c>
      <c r="C2691" s="268" t="s">
        <v>8564</v>
      </c>
      <c r="D2691" s="268" t="s">
        <v>8565</v>
      </c>
      <c r="E2691" s="622" t="s">
        <v>8623</v>
      </c>
      <c r="F2691" s="622" t="s">
        <v>8624</v>
      </c>
      <c r="G2691" s="322">
        <v>800</v>
      </c>
      <c r="H2691" s="622">
        <v>2</v>
      </c>
    </row>
    <row r="2692" spans="1:8" ht="31.5">
      <c r="A2692" s="268">
        <v>452</v>
      </c>
      <c r="B2692" s="270" t="s">
        <v>8563</v>
      </c>
      <c r="C2692" s="268" t="s">
        <v>8564</v>
      </c>
      <c r="D2692" s="268" t="s">
        <v>8565</v>
      </c>
      <c r="E2692" s="622" t="s">
        <v>8625</v>
      </c>
      <c r="F2692" s="622" t="s">
        <v>8626</v>
      </c>
      <c r="G2692" s="322">
        <v>2000</v>
      </c>
      <c r="H2692" s="622">
        <v>5</v>
      </c>
    </row>
    <row r="2693" spans="1:8">
      <c r="A2693" s="268">
        <v>453</v>
      </c>
      <c r="B2693" s="270" t="s">
        <v>8012</v>
      </c>
      <c r="C2693" s="268" t="s">
        <v>8564</v>
      </c>
      <c r="D2693" s="268" t="s">
        <v>8565</v>
      </c>
      <c r="E2693" s="622" t="s">
        <v>8627</v>
      </c>
      <c r="F2693" s="622" t="s">
        <v>8778</v>
      </c>
      <c r="G2693" s="322">
        <v>5500</v>
      </c>
      <c r="H2693" s="622">
        <v>5</v>
      </c>
    </row>
    <row r="2694" spans="1:8">
      <c r="A2694" s="268">
        <v>454</v>
      </c>
      <c r="B2694" s="270" t="s">
        <v>8555</v>
      </c>
      <c r="C2694" s="268" t="s">
        <v>8564</v>
      </c>
      <c r="D2694" s="268" t="s">
        <v>8565</v>
      </c>
      <c r="E2694" s="622" t="s">
        <v>8628</v>
      </c>
      <c r="F2694" s="622" t="s">
        <v>8629</v>
      </c>
      <c r="G2694" s="322">
        <v>4500</v>
      </c>
      <c r="H2694" s="622">
        <v>3</v>
      </c>
    </row>
    <row r="2695" spans="1:8">
      <c r="A2695" s="606" t="s">
        <v>1118</v>
      </c>
      <c r="B2695" s="803" t="s">
        <v>5898</v>
      </c>
      <c r="C2695" s="803"/>
      <c r="D2695" s="803"/>
      <c r="E2695" s="607"/>
      <c r="F2695" s="607"/>
      <c r="G2695" s="672">
        <f>SUM(G2696:G3261)</f>
        <v>594850.30000000005</v>
      </c>
      <c r="H2695" s="605"/>
    </row>
    <row r="2696" spans="1:8" s="673" customFormat="1">
      <c r="A2696" s="309">
        <v>1</v>
      </c>
      <c r="B2696" s="274" t="s">
        <v>7386</v>
      </c>
      <c r="C2696" s="309" t="s">
        <v>7106</v>
      </c>
      <c r="D2696" s="309" t="s">
        <v>7387</v>
      </c>
      <c r="E2696" s="309"/>
      <c r="F2696" s="309"/>
      <c r="G2696" s="415">
        <v>1350</v>
      </c>
      <c r="H2696" s="370" t="s">
        <v>9109</v>
      </c>
    </row>
    <row r="2697" spans="1:8" s="673" customFormat="1">
      <c r="A2697" s="309">
        <v>2</v>
      </c>
      <c r="B2697" s="274" t="s">
        <v>7388</v>
      </c>
      <c r="C2697" s="309" t="s">
        <v>7106</v>
      </c>
      <c r="D2697" s="309" t="s">
        <v>7387</v>
      </c>
      <c r="E2697" s="309"/>
      <c r="F2697" s="309"/>
      <c r="G2697" s="415">
        <v>650</v>
      </c>
      <c r="H2697" s="370" t="s">
        <v>9109</v>
      </c>
    </row>
    <row r="2698" spans="1:8" s="673" customFormat="1">
      <c r="A2698" s="309">
        <v>3</v>
      </c>
      <c r="B2698" s="274" t="s">
        <v>7389</v>
      </c>
      <c r="C2698" s="309" t="s">
        <v>7106</v>
      </c>
      <c r="D2698" s="309" t="s">
        <v>7387</v>
      </c>
      <c r="E2698" s="309"/>
      <c r="F2698" s="309"/>
      <c r="G2698" s="415">
        <v>600</v>
      </c>
      <c r="H2698" s="370" t="s">
        <v>9109</v>
      </c>
    </row>
    <row r="2699" spans="1:8" s="673" customFormat="1">
      <c r="A2699" s="309">
        <v>4</v>
      </c>
      <c r="B2699" s="274" t="s">
        <v>7390</v>
      </c>
      <c r="C2699" s="309" t="s">
        <v>7106</v>
      </c>
      <c r="D2699" s="309" t="s">
        <v>7387</v>
      </c>
      <c r="E2699" s="309"/>
      <c r="F2699" s="309"/>
      <c r="G2699" s="415">
        <v>870</v>
      </c>
      <c r="H2699" s="370" t="s">
        <v>9109</v>
      </c>
    </row>
    <row r="2700" spans="1:8" s="673" customFormat="1">
      <c r="A2700" s="309">
        <v>5</v>
      </c>
      <c r="B2700" s="274" t="s">
        <v>7391</v>
      </c>
      <c r="C2700" s="309" t="s">
        <v>7106</v>
      </c>
      <c r="D2700" s="309" t="s">
        <v>7387</v>
      </c>
      <c r="E2700" s="309"/>
      <c r="F2700" s="309"/>
      <c r="G2700" s="415">
        <v>700</v>
      </c>
      <c r="H2700" s="370" t="s">
        <v>9109</v>
      </c>
    </row>
    <row r="2701" spans="1:8" s="673" customFormat="1">
      <c r="A2701" s="309">
        <v>6</v>
      </c>
      <c r="B2701" s="274" t="s">
        <v>7392</v>
      </c>
      <c r="C2701" s="309" t="s">
        <v>7106</v>
      </c>
      <c r="D2701" s="309" t="s">
        <v>7387</v>
      </c>
      <c r="E2701" s="309"/>
      <c r="F2701" s="309"/>
      <c r="G2701" s="415">
        <v>830</v>
      </c>
      <c r="H2701" s="370" t="s">
        <v>9109</v>
      </c>
    </row>
    <row r="2702" spans="1:8" s="673" customFormat="1">
      <c r="A2702" s="309">
        <v>7</v>
      </c>
      <c r="B2702" s="274" t="s">
        <v>7393</v>
      </c>
      <c r="C2702" s="309" t="s">
        <v>176</v>
      </c>
      <c r="D2702" s="309" t="s">
        <v>7387</v>
      </c>
      <c r="E2702" s="309"/>
      <c r="F2702" s="309"/>
      <c r="G2702" s="415">
        <v>2000</v>
      </c>
      <c r="H2702" s="370" t="s">
        <v>9109</v>
      </c>
    </row>
    <row r="2703" spans="1:8" s="673" customFormat="1">
      <c r="A2703" s="309">
        <v>8</v>
      </c>
      <c r="B2703" s="274" t="s">
        <v>7394</v>
      </c>
      <c r="C2703" s="309" t="s">
        <v>7106</v>
      </c>
      <c r="D2703" s="309" t="s">
        <v>7387</v>
      </c>
      <c r="E2703" s="309"/>
      <c r="F2703" s="309"/>
      <c r="G2703" s="415">
        <v>1095</v>
      </c>
      <c r="H2703" s="370" t="s">
        <v>9109</v>
      </c>
    </row>
    <row r="2704" spans="1:8" s="673" customFormat="1">
      <c r="A2704" s="309">
        <v>9</v>
      </c>
      <c r="B2704" s="274" t="s">
        <v>7395</v>
      </c>
      <c r="C2704" s="309" t="s">
        <v>7106</v>
      </c>
      <c r="D2704" s="309" t="s">
        <v>7387</v>
      </c>
      <c r="E2704" s="309"/>
      <c r="F2704" s="309"/>
      <c r="G2704" s="415">
        <v>945</v>
      </c>
      <c r="H2704" s="370" t="s">
        <v>9109</v>
      </c>
    </row>
    <row r="2705" spans="1:8" s="673" customFormat="1">
      <c r="A2705" s="309">
        <v>10</v>
      </c>
      <c r="B2705" s="274" t="s">
        <v>7396</v>
      </c>
      <c r="C2705" s="309" t="s">
        <v>7106</v>
      </c>
      <c r="D2705" s="309" t="s">
        <v>7387</v>
      </c>
      <c r="E2705" s="309"/>
      <c r="F2705" s="309"/>
      <c r="G2705" s="415">
        <v>1160</v>
      </c>
      <c r="H2705" s="370" t="s">
        <v>9109</v>
      </c>
    </row>
    <row r="2706" spans="1:8" s="673" customFormat="1">
      <c r="A2706" s="309">
        <v>11</v>
      </c>
      <c r="B2706" s="274" t="s">
        <v>7397</v>
      </c>
      <c r="C2706" s="309" t="s">
        <v>7106</v>
      </c>
      <c r="D2706" s="309" t="s">
        <v>7387</v>
      </c>
      <c r="E2706" s="309"/>
      <c r="F2706" s="309"/>
      <c r="G2706" s="415">
        <v>1400</v>
      </c>
      <c r="H2706" s="370" t="s">
        <v>9109</v>
      </c>
    </row>
    <row r="2707" spans="1:8" s="673" customFormat="1">
      <c r="A2707" s="309">
        <v>12</v>
      </c>
      <c r="B2707" s="274" t="s">
        <v>7398</v>
      </c>
      <c r="C2707" s="309" t="s">
        <v>7106</v>
      </c>
      <c r="D2707" s="309" t="s">
        <v>7387</v>
      </c>
      <c r="E2707" s="309"/>
      <c r="F2707" s="309"/>
      <c r="G2707" s="415">
        <v>750</v>
      </c>
      <c r="H2707" s="370" t="s">
        <v>9109</v>
      </c>
    </row>
    <row r="2708" spans="1:8" s="673" customFormat="1">
      <c r="A2708" s="309">
        <v>13</v>
      </c>
      <c r="B2708" s="274" t="s">
        <v>7399</v>
      </c>
      <c r="C2708" s="309" t="s">
        <v>7106</v>
      </c>
      <c r="D2708" s="309" t="s">
        <v>7387</v>
      </c>
      <c r="E2708" s="309"/>
      <c r="F2708" s="309"/>
      <c r="G2708" s="415">
        <v>1000</v>
      </c>
      <c r="H2708" s="370" t="s">
        <v>9109</v>
      </c>
    </row>
    <row r="2709" spans="1:8" s="673" customFormat="1">
      <c r="A2709" s="309">
        <v>14</v>
      </c>
      <c r="B2709" s="274" t="s">
        <v>7400</v>
      </c>
      <c r="C2709" s="309" t="s">
        <v>7106</v>
      </c>
      <c r="D2709" s="309" t="s">
        <v>7387</v>
      </c>
      <c r="E2709" s="309"/>
      <c r="F2709" s="309"/>
      <c r="G2709" s="415">
        <v>1206</v>
      </c>
      <c r="H2709" s="370" t="s">
        <v>9109</v>
      </c>
    </row>
    <row r="2710" spans="1:8" s="673" customFormat="1">
      <c r="A2710" s="309">
        <v>15</v>
      </c>
      <c r="B2710" s="274" t="s">
        <v>7401</v>
      </c>
      <c r="C2710" s="309" t="s">
        <v>7106</v>
      </c>
      <c r="D2710" s="309" t="s">
        <v>7387</v>
      </c>
      <c r="E2710" s="309"/>
      <c r="F2710" s="309"/>
      <c r="G2710" s="415">
        <v>750</v>
      </c>
      <c r="H2710" s="370" t="s">
        <v>9109</v>
      </c>
    </row>
    <row r="2711" spans="1:8" s="673" customFormat="1">
      <c r="A2711" s="309">
        <v>16</v>
      </c>
      <c r="B2711" s="274" t="s">
        <v>7402</v>
      </c>
      <c r="C2711" s="309" t="s">
        <v>7106</v>
      </c>
      <c r="D2711" s="309" t="s">
        <v>7387</v>
      </c>
      <c r="E2711" s="309"/>
      <c r="F2711" s="309"/>
      <c r="G2711" s="415">
        <v>400</v>
      </c>
      <c r="H2711" s="370" t="s">
        <v>9109</v>
      </c>
    </row>
    <row r="2712" spans="1:8" s="673" customFormat="1">
      <c r="A2712" s="309">
        <v>17</v>
      </c>
      <c r="B2712" s="274" t="s">
        <v>7403</v>
      </c>
      <c r="C2712" s="309" t="s">
        <v>7106</v>
      </c>
      <c r="D2712" s="309" t="s">
        <v>7387</v>
      </c>
      <c r="E2712" s="309"/>
      <c r="F2712" s="309"/>
      <c r="G2712" s="415">
        <v>790</v>
      </c>
      <c r="H2712" s="370" t="s">
        <v>9109</v>
      </c>
    </row>
    <row r="2713" spans="1:8" s="673" customFormat="1">
      <c r="A2713" s="309">
        <v>18</v>
      </c>
      <c r="B2713" s="274" t="s">
        <v>7404</v>
      </c>
      <c r="C2713" s="309" t="s">
        <v>7106</v>
      </c>
      <c r="D2713" s="309" t="s">
        <v>7387</v>
      </c>
      <c r="E2713" s="309"/>
      <c r="F2713" s="309"/>
      <c r="G2713" s="415">
        <v>660</v>
      </c>
      <c r="H2713" s="370" t="s">
        <v>9109</v>
      </c>
    </row>
    <row r="2714" spans="1:8" s="673" customFormat="1">
      <c r="A2714" s="309">
        <v>19</v>
      </c>
      <c r="B2714" s="274" t="s">
        <v>7405</v>
      </c>
      <c r="C2714" s="309" t="s">
        <v>7106</v>
      </c>
      <c r="D2714" s="309" t="s">
        <v>7387</v>
      </c>
      <c r="E2714" s="309"/>
      <c r="F2714" s="309"/>
      <c r="G2714" s="415">
        <v>380</v>
      </c>
      <c r="H2714" s="370" t="s">
        <v>9109</v>
      </c>
    </row>
    <row r="2715" spans="1:8" s="673" customFormat="1">
      <c r="A2715" s="309">
        <v>20</v>
      </c>
      <c r="B2715" s="276" t="s">
        <v>7406</v>
      </c>
      <c r="C2715" s="309" t="s">
        <v>6962</v>
      </c>
      <c r="D2715" s="309" t="s">
        <v>6963</v>
      </c>
      <c r="E2715" s="309"/>
      <c r="F2715" s="309"/>
      <c r="G2715" s="415">
        <v>1000</v>
      </c>
      <c r="H2715" s="370"/>
    </row>
    <row r="2716" spans="1:8" s="673" customFormat="1">
      <c r="A2716" s="309">
        <v>21</v>
      </c>
      <c r="B2716" s="276" t="s">
        <v>7407</v>
      </c>
      <c r="C2716" s="309" t="s">
        <v>6962</v>
      </c>
      <c r="D2716" s="309" t="s">
        <v>6963</v>
      </c>
      <c r="E2716" s="309"/>
      <c r="F2716" s="309"/>
      <c r="G2716" s="415">
        <v>700</v>
      </c>
      <c r="H2716" s="370"/>
    </row>
    <row r="2717" spans="1:8" s="673" customFormat="1">
      <c r="A2717" s="309">
        <v>22</v>
      </c>
      <c r="B2717" s="276" t="s">
        <v>7407</v>
      </c>
      <c r="C2717" s="309" t="s">
        <v>6962</v>
      </c>
      <c r="D2717" s="309" t="s">
        <v>6963</v>
      </c>
      <c r="E2717" s="309"/>
      <c r="F2717" s="309"/>
      <c r="G2717" s="415">
        <v>400</v>
      </c>
      <c r="H2717" s="370"/>
    </row>
    <row r="2718" spans="1:8" s="673" customFormat="1">
      <c r="A2718" s="309">
        <v>23</v>
      </c>
      <c r="B2718" s="276" t="s">
        <v>7408</v>
      </c>
      <c r="C2718" s="309" t="s">
        <v>6962</v>
      </c>
      <c r="D2718" s="309" t="s">
        <v>6963</v>
      </c>
      <c r="E2718" s="309"/>
      <c r="F2718" s="309"/>
      <c r="G2718" s="415">
        <v>1000</v>
      </c>
      <c r="H2718" s="370"/>
    </row>
    <row r="2719" spans="1:8" s="673" customFormat="1">
      <c r="A2719" s="309">
        <v>24</v>
      </c>
      <c r="B2719" s="276" t="s">
        <v>7409</v>
      </c>
      <c r="C2719" s="309" t="s">
        <v>6962</v>
      </c>
      <c r="D2719" s="309" t="s">
        <v>6963</v>
      </c>
      <c r="E2719" s="309"/>
      <c r="F2719" s="309"/>
      <c r="G2719" s="415">
        <v>300</v>
      </c>
      <c r="H2719" s="370"/>
    </row>
    <row r="2720" spans="1:8" s="673" customFormat="1">
      <c r="A2720" s="309">
        <v>25</v>
      </c>
      <c r="B2720" s="271" t="s">
        <v>7410</v>
      </c>
      <c r="C2720" s="309" t="s">
        <v>6856</v>
      </c>
      <c r="D2720" s="309" t="s">
        <v>6857</v>
      </c>
      <c r="E2720" s="290" t="s">
        <v>7411</v>
      </c>
      <c r="F2720" s="290" t="s">
        <v>7412</v>
      </c>
      <c r="G2720" s="415" t="s">
        <v>7413</v>
      </c>
      <c r="H2720" s="370"/>
    </row>
    <row r="2721" spans="1:8" s="673" customFormat="1">
      <c r="A2721" s="309">
        <v>26</v>
      </c>
      <c r="B2721" s="271" t="s">
        <v>7414</v>
      </c>
      <c r="C2721" s="309" t="s">
        <v>6856</v>
      </c>
      <c r="D2721" s="309" t="s">
        <v>6857</v>
      </c>
      <c r="E2721" s="290" t="s">
        <v>7415</v>
      </c>
      <c r="F2721" s="290" t="s">
        <v>7416</v>
      </c>
      <c r="G2721" s="415" t="s">
        <v>7417</v>
      </c>
      <c r="H2721" s="370"/>
    </row>
    <row r="2722" spans="1:8" s="673" customFormat="1">
      <c r="A2722" s="309">
        <v>27</v>
      </c>
      <c r="B2722" s="271" t="s">
        <v>7418</v>
      </c>
      <c r="C2722" s="309" t="s">
        <v>6856</v>
      </c>
      <c r="D2722" s="309" t="s">
        <v>6857</v>
      </c>
      <c r="E2722" s="290" t="s">
        <v>7419</v>
      </c>
      <c r="F2722" s="290" t="s">
        <v>7420</v>
      </c>
      <c r="G2722" s="415" t="s">
        <v>7421</v>
      </c>
      <c r="H2722" s="370"/>
    </row>
    <row r="2723" spans="1:8" s="673" customFormat="1">
      <c r="A2723" s="309">
        <v>28</v>
      </c>
      <c r="B2723" s="271" t="s">
        <v>7422</v>
      </c>
      <c r="C2723" s="309" t="s">
        <v>6856</v>
      </c>
      <c r="D2723" s="309" t="s">
        <v>6857</v>
      </c>
      <c r="E2723" s="290" t="s">
        <v>7423</v>
      </c>
      <c r="F2723" s="290" t="s">
        <v>7424</v>
      </c>
      <c r="G2723" s="415" t="s">
        <v>7425</v>
      </c>
      <c r="H2723" s="370"/>
    </row>
    <row r="2724" spans="1:8" s="673" customFormat="1">
      <c r="A2724" s="309">
        <v>29</v>
      </c>
      <c r="B2724" s="271" t="s">
        <v>7426</v>
      </c>
      <c r="C2724" s="309" t="s">
        <v>6856</v>
      </c>
      <c r="D2724" s="309" t="s">
        <v>6857</v>
      </c>
      <c r="E2724" s="290" t="s">
        <v>7427</v>
      </c>
      <c r="F2724" s="290" t="s">
        <v>7428</v>
      </c>
      <c r="G2724" s="415" t="s">
        <v>7429</v>
      </c>
      <c r="H2724" s="370"/>
    </row>
    <row r="2725" spans="1:8" s="673" customFormat="1">
      <c r="A2725" s="309">
        <v>30</v>
      </c>
      <c r="B2725" s="271" t="s">
        <v>7430</v>
      </c>
      <c r="C2725" s="309" t="s">
        <v>6856</v>
      </c>
      <c r="D2725" s="309" t="s">
        <v>6857</v>
      </c>
      <c r="E2725" s="290" t="s">
        <v>7431</v>
      </c>
      <c r="F2725" s="290" t="s">
        <v>7432</v>
      </c>
      <c r="G2725" s="415" t="s">
        <v>7433</v>
      </c>
      <c r="H2725" s="370"/>
    </row>
    <row r="2726" spans="1:8" s="673" customFormat="1">
      <c r="A2726" s="309">
        <v>31</v>
      </c>
      <c r="B2726" s="271" t="s">
        <v>7434</v>
      </c>
      <c r="C2726" s="309" t="s">
        <v>6856</v>
      </c>
      <c r="D2726" s="309" t="s">
        <v>6857</v>
      </c>
      <c r="E2726" s="290" t="s">
        <v>7435</v>
      </c>
      <c r="F2726" s="290" t="s">
        <v>7436</v>
      </c>
      <c r="G2726" s="415" t="s">
        <v>7437</v>
      </c>
      <c r="H2726" s="370"/>
    </row>
    <row r="2727" spans="1:8" s="673" customFormat="1">
      <c r="A2727" s="309">
        <v>32</v>
      </c>
      <c r="B2727" s="682" t="s">
        <v>7438</v>
      </c>
      <c r="C2727" s="309" t="s">
        <v>6856</v>
      </c>
      <c r="D2727" s="309" t="s">
        <v>6857</v>
      </c>
      <c r="E2727" s="290" t="s">
        <v>7439</v>
      </c>
      <c r="F2727" s="290" t="s">
        <v>7440</v>
      </c>
      <c r="G2727" s="415" t="s">
        <v>7441</v>
      </c>
      <c r="H2727" s="370"/>
    </row>
    <row r="2728" spans="1:8" s="673" customFormat="1">
      <c r="A2728" s="309">
        <v>33</v>
      </c>
      <c r="B2728" s="682" t="s">
        <v>7442</v>
      </c>
      <c r="C2728" s="309" t="s">
        <v>6856</v>
      </c>
      <c r="D2728" s="309" t="s">
        <v>6857</v>
      </c>
      <c r="E2728" s="290" t="s">
        <v>7443</v>
      </c>
      <c r="F2728" s="290" t="s">
        <v>7444</v>
      </c>
      <c r="G2728" s="416" t="s">
        <v>7445</v>
      </c>
      <c r="H2728" s="370"/>
    </row>
    <row r="2729" spans="1:8" s="673" customFormat="1">
      <c r="A2729" s="309">
        <v>34</v>
      </c>
      <c r="B2729" s="682" t="s">
        <v>7446</v>
      </c>
      <c r="C2729" s="309" t="s">
        <v>6856</v>
      </c>
      <c r="D2729" s="309" t="s">
        <v>6857</v>
      </c>
      <c r="E2729" s="290" t="s">
        <v>7447</v>
      </c>
      <c r="F2729" s="290" t="s">
        <v>7448</v>
      </c>
      <c r="G2729" s="415" t="s">
        <v>7449</v>
      </c>
      <c r="H2729" s="370"/>
    </row>
    <row r="2730" spans="1:8" s="673" customFormat="1">
      <c r="A2730" s="309">
        <v>35</v>
      </c>
      <c r="B2730" s="271" t="s">
        <v>7450</v>
      </c>
      <c r="C2730" s="309" t="s">
        <v>6856</v>
      </c>
      <c r="D2730" s="309" t="s">
        <v>6857</v>
      </c>
      <c r="E2730" s="290" t="s">
        <v>7451</v>
      </c>
      <c r="F2730" s="290" t="s">
        <v>7452</v>
      </c>
      <c r="G2730" s="415" t="s">
        <v>7453</v>
      </c>
      <c r="H2730" s="371"/>
    </row>
    <row r="2731" spans="1:8" s="673" customFormat="1" ht="19.5">
      <c r="A2731" s="309">
        <v>36</v>
      </c>
      <c r="B2731" s="271" t="s">
        <v>8392</v>
      </c>
      <c r="C2731" s="309" t="s">
        <v>7454</v>
      </c>
      <c r="D2731" s="309" t="s">
        <v>7455</v>
      </c>
      <c r="E2731" s="290"/>
      <c r="F2731" s="290"/>
      <c r="G2731" s="415">
        <v>400</v>
      </c>
      <c r="H2731" s="370" t="s">
        <v>9109</v>
      </c>
    </row>
    <row r="2732" spans="1:8" s="673" customFormat="1">
      <c r="A2732" s="309">
        <v>37</v>
      </c>
      <c r="B2732" s="271" t="s">
        <v>7456</v>
      </c>
      <c r="C2732" s="309" t="s">
        <v>7454</v>
      </c>
      <c r="D2732" s="309" t="s">
        <v>7455</v>
      </c>
      <c r="E2732" s="290"/>
      <c r="F2732" s="290"/>
      <c r="G2732" s="415">
        <v>1270</v>
      </c>
      <c r="H2732" s="370" t="s">
        <v>9109</v>
      </c>
    </row>
    <row r="2733" spans="1:8" s="673" customFormat="1" ht="49.5">
      <c r="A2733" s="309">
        <v>38</v>
      </c>
      <c r="B2733" s="271" t="s">
        <v>7457</v>
      </c>
      <c r="C2733" s="309" t="s">
        <v>7454</v>
      </c>
      <c r="D2733" s="309" t="s">
        <v>7455</v>
      </c>
      <c r="E2733" s="290"/>
      <c r="F2733" s="290"/>
      <c r="G2733" s="415">
        <v>670</v>
      </c>
      <c r="H2733" s="370" t="s">
        <v>9109</v>
      </c>
    </row>
    <row r="2734" spans="1:8" s="673" customFormat="1" ht="33">
      <c r="A2734" s="309">
        <v>39</v>
      </c>
      <c r="B2734" s="271" t="s">
        <v>7458</v>
      </c>
      <c r="C2734" s="309" t="s">
        <v>7454</v>
      </c>
      <c r="D2734" s="309" t="s">
        <v>7455</v>
      </c>
      <c r="E2734" s="290"/>
      <c r="F2734" s="290"/>
      <c r="G2734" s="415">
        <v>880</v>
      </c>
      <c r="H2734" s="370" t="s">
        <v>9109</v>
      </c>
    </row>
    <row r="2735" spans="1:8" s="673" customFormat="1">
      <c r="A2735" s="309">
        <v>40</v>
      </c>
      <c r="B2735" s="271" t="s">
        <v>7459</v>
      </c>
      <c r="C2735" s="309" t="s">
        <v>5827</v>
      </c>
      <c r="D2735" s="309" t="s">
        <v>6921</v>
      </c>
      <c r="E2735" s="290"/>
      <c r="F2735" s="290"/>
      <c r="G2735" s="415">
        <v>1000</v>
      </c>
      <c r="H2735" s="371"/>
    </row>
    <row r="2736" spans="1:8" s="673" customFormat="1">
      <c r="A2736" s="309">
        <v>41</v>
      </c>
      <c r="B2736" s="271" t="s">
        <v>7460</v>
      </c>
      <c r="C2736" s="309" t="s">
        <v>5827</v>
      </c>
      <c r="D2736" s="309" t="s">
        <v>6921</v>
      </c>
      <c r="E2736" s="290"/>
      <c r="F2736" s="290"/>
      <c r="G2736" s="415">
        <v>2100</v>
      </c>
      <c r="H2736" s="371"/>
    </row>
    <row r="2737" spans="1:8" s="673" customFormat="1">
      <c r="A2737" s="309">
        <v>42</v>
      </c>
      <c r="B2737" s="271" t="s">
        <v>7461</v>
      </c>
      <c r="C2737" s="309" t="s">
        <v>5827</v>
      </c>
      <c r="D2737" s="309" t="s">
        <v>6921</v>
      </c>
      <c r="E2737" s="290"/>
      <c r="F2737" s="290"/>
      <c r="G2737" s="415">
        <v>1800</v>
      </c>
      <c r="H2737" s="371"/>
    </row>
    <row r="2738" spans="1:8" s="673" customFormat="1">
      <c r="A2738" s="309">
        <v>43</v>
      </c>
      <c r="B2738" s="271" t="s">
        <v>7462</v>
      </c>
      <c r="C2738" s="309" t="s">
        <v>5827</v>
      </c>
      <c r="D2738" s="309" t="s">
        <v>6921</v>
      </c>
      <c r="E2738" s="290"/>
      <c r="F2738" s="290"/>
      <c r="G2738" s="415">
        <v>800</v>
      </c>
      <c r="H2738" s="371"/>
    </row>
    <row r="2739" spans="1:8" s="673" customFormat="1" ht="53.25" customHeight="1">
      <c r="A2739" s="309">
        <v>44</v>
      </c>
      <c r="B2739" s="271" t="s">
        <v>7463</v>
      </c>
      <c r="C2739" s="309" t="s">
        <v>6909</v>
      </c>
      <c r="D2739" s="309" t="s">
        <v>6910</v>
      </c>
      <c r="E2739" s="290" t="s">
        <v>8383</v>
      </c>
      <c r="F2739" s="290" t="s">
        <v>8387</v>
      </c>
      <c r="G2739" s="415">
        <v>1300</v>
      </c>
      <c r="H2739" s="681" t="s">
        <v>215</v>
      </c>
    </row>
    <row r="2740" spans="1:8" s="673" customFormat="1" ht="33">
      <c r="A2740" s="309">
        <v>45</v>
      </c>
      <c r="B2740" s="271" t="s">
        <v>7464</v>
      </c>
      <c r="C2740" s="309" t="s">
        <v>6909</v>
      </c>
      <c r="D2740" s="309" t="s">
        <v>6910</v>
      </c>
      <c r="E2740" s="287" t="s">
        <v>8382</v>
      </c>
      <c r="F2740" s="287" t="s">
        <v>8386</v>
      </c>
      <c r="G2740" s="415">
        <v>1000</v>
      </c>
      <c r="H2740" s="681" t="s">
        <v>215</v>
      </c>
    </row>
    <row r="2741" spans="1:8" s="288" customFormat="1" ht="33">
      <c r="A2741" s="309">
        <v>46</v>
      </c>
      <c r="B2741" s="271" t="s">
        <v>8380</v>
      </c>
      <c r="C2741" s="290" t="s">
        <v>8381</v>
      </c>
      <c r="D2741" s="309" t="s">
        <v>6910</v>
      </c>
      <c r="E2741" s="287" t="s">
        <v>8384</v>
      </c>
      <c r="F2741" s="287" t="s">
        <v>8385</v>
      </c>
      <c r="G2741" s="415">
        <v>2000</v>
      </c>
      <c r="H2741" s="681" t="s">
        <v>210</v>
      </c>
    </row>
    <row r="2742" spans="1:8" s="673" customFormat="1">
      <c r="A2742" s="309">
        <v>47</v>
      </c>
      <c r="B2742" s="271" t="s">
        <v>7465</v>
      </c>
      <c r="C2742" s="309" t="s">
        <v>6909</v>
      </c>
      <c r="D2742" s="309" t="s">
        <v>6910</v>
      </c>
      <c r="E2742" s="287"/>
      <c r="F2742" s="287"/>
      <c r="G2742" s="415">
        <v>1300</v>
      </c>
      <c r="H2742" s="681"/>
    </row>
    <row r="2743" spans="1:8" s="673" customFormat="1">
      <c r="A2743" s="309">
        <v>48</v>
      </c>
      <c r="B2743" s="271" t="s">
        <v>7466</v>
      </c>
      <c r="C2743" s="309" t="s">
        <v>6909</v>
      </c>
      <c r="D2743" s="309" t="s">
        <v>6910</v>
      </c>
      <c r="E2743" s="287"/>
      <c r="F2743" s="287"/>
      <c r="G2743" s="415">
        <v>2987</v>
      </c>
      <c r="H2743" s="681"/>
    </row>
    <row r="2744" spans="1:8" s="673" customFormat="1">
      <c r="A2744" s="309">
        <v>49</v>
      </c>
      <c r="B2744" s="271" t="s">
        <v>7467</v>
      </c>
      <c r="C2744" s="309" t="s">
        <v>6909</v>
      </c>
      <c r="D2744" s="309" t="s">
        <v>6910</v>
      </c>
      <c r="E2744" s="287"/>
      <c r="F2744" s="287"/>
      <c r="G2744" s="415">
        <v>1529</v>
      </c>
      <c r="H2744" s="681"/>
    </row>
    <row r="2745" spans="1:8" s="673" customFormat="1" ht="33">
      <c r="A2745" s="309">
        <v>50</v>
      </c>
      <c r="B2745" s="271" t="s">
        <v>7468</v>
      </c>
      <c r="C2745" s="309" t="s">
        <v>6909</v>
      </c>
      <c r="D2745" s="309" t="s">
        <v>6910</v>
      </c>
      <c r="E2745" s="287"/>
      <c r="F2745" s="287"/>
      <c r="G2745" s="415">
        <v>1065</v>
      </c>
      <c r="H2745" s="681"/>
    </row>
    <row r="2746" spans="1:8" s="673" customFormat="1">
      <c r="A2746" s="309">
        <v>51</v>
      </c>
      <c r="B2746" s="271" t="s">
        <v>7469</v>
      </c>
      <c r="C2746" s="309" t="s">
        <v>6909</v>
      </c>
      <c r="D2746" s="309" t="s">
        <v>6910</v>
      </c>
      <c r="E2746" s="287"/>
      <c r="F2746" s="287"/>
      <c r="G2746" s="415">
        <v>1172</v>
      </c>
      <c r="H2746" s="681"/>
    </row>
    <row r="2747" spans="1:8" s="673" customFormat="1" ht="33">
      <c r="A2747" s="309">
        <v>52</v>
      </c>
      <c r="B2747" s="271" t="s">
        <v>7470</v>
      </c>
      <c r="C2747" s="309" t="s">
        <v>6800</v>
      </c>
      <c r="D2747" s="309" t="s">
        <v>6801</v>
      </c>
      <c r="E2747" s="290" t="s">
        <v>7471</v>
      </c>
      <c r="F2747" s="290" t="s">
        <v>7472</v>
      </c>
      <c r="G2747" s="415">
        <v>3700</v>
      </c>
      <c r="H2747" s="681" t="s">
        <v>224</v>
      </c>
    </row>
    <row r="2748" spans="1:8" s="673" customFormat="1">
      <c r="A2748" s="309">
        <v>53</v>
      </c>
      <c r="B2748" s="271" t="s">
        <v>7473</v>
      </c>
      <c r="C2748" s="309" t="s">
        <v>6800</v>
      </c>
      <c r="D2748" s="309" t="s">
        <v>6801</v>
      </c>
      <c r="E2748" s="290" t="s">
        <v>7474</v>
      </c>
      <c r="F2748" s="290" t="s">
        <v>7475</v>
      </c>
      <c r="G2748" s="415">
        <v>1350</v>
      </c>
      <c r="H2748" s="681" t="s">
        <v>189</v>
      </c>
    </row>
    <row r="2749" spans="1:8" s="673" customFormat="1">
      <c r="A2749" s="309">
        <v>54</v>
      </c>
      <c r="B2749" s="271" t="s">
        <v>7476</v>
      </c>
      <c r="C2749" s="309" t="s">
        <v>6800</v>
      </c>
      <c r="D2749" s="309" t="s">
        <v>6801</v>
      </c>
      <c r="E2749" s="290" t="s">
        <v>7477</v>
      </c>
      <c r="F2749" s="290" t="s">
        <v>7478</v>
      </c>
      <c r="G2749" s="415">
        <v>800</v>
      </c>
      <c r="H2749" s="681" t="s">
        <v>189</v>
      </c>
    </row>
    <row r="2750" spans="1:8" s="673" customFormat="1">
      <c r="A2750" s="309">
        <v>55</v>
      </c>
      <c r="B2750" s="271" t="s">
        <v>7479</v>
      </c>
      <c r="C2750" s="309" t="s">
        <v>6800</v>
      </c>
      <c r="D2750" s="309" t="s">
        <v>6801</v>
      </c>
      <c r="E2750" s="290" t="s">
        <v>7480</v>
      </c>
      <c r="F2750" s="290" t="s">
        <v>7481</v>
      </c>
      <c r="G2750" s="415">
        <v>1400</v>
      </c>
      <c r="H2750" s="681" t="s">
        <v>189</v>
      </c>
    </row>
    <row r="2751" spans="1:8" s="673" customFormat="1">
      <c r="A2751" s="309">
        <v>56</v>
      </c>
      <c r="B2751" s="271" t="s">
        <v>7482</v>
      </c>
      <c r="C2751" s="309" t="s">
        <v>6800</v>
      </c>
      <c r="D2751" s="309" t="s">
        <v>6801</v>
      </c>
      <c r="E2751" s="290" t="s">
        <v>7483</v>
      </c>
      <c r="F2751" s="290" t="s">
        <v>7484</v>
      </c>
      <c r="G2751" s="415">
        <v>1850</v>
      </c>
      <c r="H2751" s="681" t="s">
        <v>189</v>
      </c>
    </row>
    <row r="2752" spans="1:8" s="673" customFormat="1">
      <c r="A2752" s="309">
        <v>57</v>
      </c>
      <c r="B2752" s="271" t="s">
        <v>7485</v>
      </c>
      <c r="C2752" s="309" t="s">
        <v>6800</v>
      </c>
      <c r="D2752" s="309" t="s">
        <v>6801</v>
      </c>
      <c r="E2752" s="290" t="s">
        <v>7486</v>
      </c>
      <c r="F2752" s="290" t="s">
        <v>7487</v>
      </c>
      <c r="G2752" s="415">
        <v>600</v>
      </c>
      <c r="H2752" s="681" t="s">
        <v>189</v>
      </c>
    </row>
    <row r="2753" spans="1:8" s="673" customFormat="1">
      <c r="A2753" s="309">
        <v>58</v>
      </c>
      <c r="B2753" s="271" t="s">
        <v>7488</v>
      </c>
      <c r="C2753" s="309" t="s">
        <v>6800</v>
      </c>
      <c r="D2753" s="309" t="s">
        <v>6801</v>
      </c>
      <c r="E2753" s="290" t="s">
        <v>7489</v>
      </c>
      <c r="F2753" s="290" t="s">
        <v>7490</v>
      </c>
      <c r="G2753" s="415">
        <v>420</v>
      </c>
      <c r="H2753" s="681" t="s">
        <v>189</v>
      </c>
    </row>
    <row r="2754" spans="1:8" s="673" customFormat="1">
      <c r="A2754" s="309">
        <v>59</v>
      </c>
      <c r="B2754" s="271" t="s">
        <v>7491</v>
      </c>
      <c r="C2754" s="309" t="s">
        <v>6800</v>
      </c>
      <c r="D2754" s="309" t="s">
        <v>6801</v>
      </c>
      <c r="E2754" s="290" t="s">
        <v>7492</v>
      </c>
      <c r="F2754" s="290" t="s">
        <v>7493</v>
      </c>
      <c r="G2754" s="415">
        <v>560</v>
      </c>
      <c r="H2754" s="681" t="s">
        <v>189</v>
      </c>
    </row>
    <row r="2755" spans="1:8" s="673" customFormat="1">
      <c r="A2755" s="309">
        <v>60</v>
      </c>
      <c r="B2755" s="271" t="s">
        <v>7494</v>
      </c>
      <c r="C2755" s="309" t="s">
        <v>6800</v>
      </c>
      <c r="D2755" s="309" t="s">
        <v>6801</v>
      </c>
      <c r="E2755" s="290" t="s">
        <v>7495</v>
      </c>
      <c r="F2755" s="290" t="s">
        <v>7496</v>
      </c>
      <c r="G2755" s="415">
        <v>820</v>
      </c>
      <c r="H2755" s="681" t="s">
        <v>189</v>
      </c>
    </row>
    <row r="2756" spans="1:8" s="673" customFormat="1">
      <c r="A2756" s="309">
        <v>61</v>
      </c>
      <c r="B2756" s="271" t="s">
        <v>7497</v>
      </c>
      <c r="C2756" s="309" t="s">
        <v>6800</v>
      </c>
      <c r="D2756" s="309" t="s">
        <v>6801</v>
      </c>
      <c r="E2756" s="290" t="s">
        <v>7498</v>
      </c>
      <c r="F2756" s="290" t="s">
        <v>7496</v>
      </c>
      <c r="G2756" s="415">
        <v>810</v>
      </c>
      <c r="H2756" s="681" t="s">
        <v>189</v>
      </c>
    </row>
    <row r="2757" spans="1:8" s="673" customFormat="1">
      <c r="A2757" s="309">
        <v>62</v>
      </c>
      <c r="B2757" s="271" t="s">
        <v>7499</v>
      </c>
      <c r="C2757" s="309" t="s">
        <v>6800</v>
      </c>
      <c r="D2757" s="309" t="s">
        <v>6801</v>
      </c>
      <c r="E2757" s="290" t="s">
        <v>7500</v>
      </c>
      <c r="F2757" s="290" t="s">
        <v>7501</v>
      </c>
      <c r="G2757" s="415">
        <v>3500</v>
      </c>
      <c r="H2757" s="695" t="s">
        <v>9109</v>
      </c>
    </row>
    <row r="2758" spans="1:8" s="673" customFormat="1">
      <c r="A2758" s="309">
        <v>63</v>
      </c>
      <c r="B2758" s="271" t="s">
        <v>7502</v>
      </c>
      <c r="C2758" s="309" t="s">
        <v>6800</v>
      </c>
      <c r="D2758" s="309" t="s">
        <v>6801</v>
      </c>
      <c r="E2758" s="290" t="s">
        <v>7503</v>
      </c>
      <c r="F2758" s="290" t="s">
        <v>7504</v>
      </c>
      <c r="G2758" s="415">
        <v>350</v>
      </c>
      <c r="H2758" s="681" t="s">
        <v>296</v>
      </c>
    </row>
    <row r="2759" spans="1:8" s="673" customFormat="1">
      <c r="A2759" s="309">
        <v>64</v>
      </c>
      <c r="B2759" s="271" t="s">
        <v>7505</v>
      </c>
      <c r="C2759" s="309" t="s">
        <v>6800</v>
      </c>
      <c r="D2759" s="309" t="s">
        <v>6801</v>
      </c>
      <c r="E2759" s="290" t="s">
        <v>7506</v>
      </c>
      <c r="F2759" s="290" t="s">
        <v>7507</v>
      </c>
      <c r="G2759" s="415">
        <v>270</v>
      </c>
      <c r="H2759" s="681" t="s">
        <v>296</v>
      </c>
    </row>
    <row r="2760" spans="1:8" s="673" customFormat="1">
      <c r="A2760" s="309">
        <v>65</v>
      </c>
      <c r="B2760" s="271" t="s">
        <v>7508</v>
      </c>
      <c r="C2760" s="309" t="s">
        <v>6800</v>
      </c>
      <c r="D2760" s="309" t="s">
        <v>6801</v>
      </c>
      <c r="E2760" s="290" t="s">
        <v>7509</v>
      </c>
      <c r="F2760" s="290" t="s">
        <v>7510</v>
      </c>
      <c r="G2760" s="415">
        <v>800</v>
      </c>
      <c r="H2760" s="371" t="s">
        <v>186</v>
      </c>
    </row>
    <row r="2761" spans="1:8" s="673" customFormat="1">
      <c r="A2761" s="309">
        <v>66</v>
      </c>
      <c r="B2761" s="271" t="s">
        <v>7511</v>
      </c>
      <c r="C2761" s="309" t="s">
        <v>6800</v>
      </c>
      <c r="D2761" s="309" t="s">
        <v>6801</v>
      </c>
      <c r="E2761" s="290" t="s">
        <v>7512</v>
      </c>
      <c r="F2761" s="290" t="s">
        <v>7513</v>
      </c>
      <c r="G2761" s="415">
        <v>1260</v>
      </c>
      <c r="H2761" s="371" t="s">
        <v>186</v>
      </c>
    </row>
    <row r="2762" spans="1:8" s="673" customFormat="1" ht="33">
      <c r="A2762" s="309">
        <v>67</v>
      </c>
      <c r="B2762" s="271" t="s">
        <v>7514</v>
      </c>
      <c r="C2762" s="309" t="s">
        <v>5832</v>
      </c>
      <c r="D2762" s="309" t="s">
        <v>7515</v>
      </c>
      <c r="E2762" s="290"/>
      <c r="F2762" s="290"/>
      <c r="G2762" s="415">
        <v>2810</v>
      </c>
      <c r="H2762" s="371"/>
    </row>
    <row r="2763" spans="1:8" s="673" customFormat="1">
      <c r="A2763" s="309">
        <v>68</v>
      </c>
      <c r="B2763" s="271" t="s">
        <v>7516</v>
      </c>
      <c r="C2763" s="309" t="s">
        <v>5832</v>
      </c>
      <c r="D2763" s="309" t="s">
        <v>7515</v>
      </c>
      <c r="E2763" s="290"/>
      <c r="F2763" s="290"/>
      <c r="G2763" s="415">
        <v>2980</v>
      </c>
      <c r="H2763" s="371"/>
    </row>
    <row r="2764" spans="1:8" s="673" customFormat="1">
      <c r="A2764" s="309">
        <v>69</v>
      </c>
      <c r="B2764" s="271" t="s">
        <v>7517</v>
      </c>
      <c r="C2764" s="309" t="s">
        <v>5832</v>
      </c>
      <c r="D2764" s="309" t="s">
        <v>7515</v>
      </c>
      <c r="E2764" s="290"/>
      <c r="F2764" s="290"/>
      <c r="G2764" s="415">
        <v>1332</v>
      </c>
      <c r="H2764" s="371"/>
    </row>
    <row r="2765" spans="1:8" s="673" customFormat="1" ht="49.5">
      <c r="A2765" s="309">
        <v>70</v>
      </c>
      <c r="B2765" s="271" t="s">
        <v>7518</v>
      </c>
      <c r="C2765" s="309" t="s">
        <v>5832</v>
      </c>
      <c r="D2765" s="309" t="s">
        <v>7515</v>
      </c>
      <c r="E2765" s="290"/>
      <c r="F2765" s="290"/>
      <c r="G2765" s="415">
        <v>1783</v>
      </c>
      <c r="H2765" s="371"/>
    </row>
    <row r="2766" spans="1:8" s="673" customFormat="1" ht="33">
      <c r="A2766" s="309">
        <v>71</v>
      </c>
      <c r="B2766" s="271" t="s">
        <v>7519</v>
      </c>
      <c r="C2766" s="309" t="s">
        <v>5832</v>
      </c>
      <c r="D2766" s="309" t="s">
        <v>7515</v>
      </c>
      <c r="E2766" s="290"/>
      <c r="F2766" s="290"/>
      <c r="G2766" s="415">
        <v>2438</v>
      </c>
      <c r="H2766" s="371"/>
    </row>
    <row r="2767" spans="1:8" s="673" customFormat="1" ht="33">
      <c r="A2767" s="309">
        <v>72</v>
      </c>
      <c r="B2767" s="271" t="s">
        <v>7520</v>
      </c>
      <c r="C2767" s="309" t="s">
        <v>5832</v>
      </c>
      <c r="D2767" s="309" t="s">
        <v>7515</v>
      </c>
      <c r="E2767" s="290"/>
      <c r="F2767" s="290"/>
      <c r="G2767" s="415">
        <v>2541</v>
      </c>
      <c r="H2767" s="371"/>
    </row>
    <row r="2768" spans="1:8" s="673" customFormat="1" ht="33">
      <c r="A2768" s="309">
        <v>73</v>
      </c>
      <c r="B2768" s="271" t="s">
        <v>7521</v>
      </c>
      <c r="C2768" s="309" t="s">
        <v>5832</v>
      </c>
      <c r="D2768" s="309" t="s">
        <v>7515</v>
      </c>
      <c r="E2768" s="290"/>
      <c r="F2768" s="290"/>
      <c r="G2768" s="415">
        <v>1498</v>
      </c>
      <c r="H2768" s="371"/>
    </row>
    <row r="2769" spans="1:8" s="673" customFormat="1" ht="33">
      <c r="A2769" s="309">
        <v>74</v>
      </c>
      <c r="B2769" s="271" t="s">
        <v>7522</v>
      </c>
      <c r="C2769" s="309" t="s">
        <v>5832</v>
      </c>
      <c r="D2769" s="309" t="s">
        <v>7515</v>
      </c>
      <c r="E2769" s="290"/>
      <c r="F2769" s="290"/>
      <c r="G2769" s="415">
        <v>954</v>
      </c>
      <c r="H2769" s="371"/>
    </row>
    <row r="2770" spans="1:8" s="673" customFormat="1">
      <c r="A2770" s="309">
        <v>75</v>
      </c>
      <c r="B2770" s="271" t="s">
        <v>7523</v>
      </c>
      <c r="C2770" s="309" t="s">
        <v>5832</v>
      </c>
      <c r="D2770" s="309" t="s">
        <v>7515</v>
      </c>
      <c r="E2770" s="290"/>
      <c r="F2770" s="290"/>
      <c r="G2770" s="415">
        <v>1376</v>
      </c>
      <c r="H2770" s="371"/>
    </row>
    <row r="2771" spans="1:8" s="673" customFormat="1" ht="33">
      <c r="A2771" s="309">
        <v>76</v>
      </c>
      <c r="B2771" s="271" t="s">
        <v>7524</v>
      </c>
      <c r="C2771" s="309" t="s">
        <v>5832</v>
      </c>
      <c r="D2771" s="309" t="s">
        <v>7515</v>
      </c>
      <c r="E2771" s="290"/>
      <c r="F2771" s="290"/>
      <c r="G2771" s="415">
        <v>4855</v>
      </c>
      <c r="H2771" s="371"/>
    </row>
    <row r="2772" spans="1:8" s="673" customFormat="1" ht="33">
      <c r="A2772" s="309">
        <v>77</v>
      </c>
      <c r="B2772" s="271" t="s">
        <v>7525</v>
      </c>
      <c r="C2772" s="309" t="s">
        <v>5832</v>
      </c>
      <c r="D2772" s="309" t="s">
        <v>7515</v>
      </c>
      <c r="E2772" s="290"/>
      <c r="F2772" s="290"/>
      <c r="G2772" s="415">
        <v>500</v>
      </c>
      <c r="H2772" s="371"/>
    </row>
    <row r="2773" spans="1:8" s="673" customFormat="1">
      <c r="A2773" s="309">
        <v>78</v>
      </c>
      <c r="B2773" s="271" t="s">
        <v>7526</v>
      </c>
      <c r="C2773" s="309" t="s">
        <v>5832</v>
      </c>
      <c r="D2773" s="309" t="s">
        <v>7515</v>
      </c>
      <c r="E2773" s="290"/>
      <c r="F2773" s="290"/>
      <c r="G2773" s="415">
        <v>184</v>
      </c>
      <c r="H2773" s="371"/>
    </row>
    <row r="2774" spans="1:8" s="673" customFormat="1">
      <c r="A2774" s="309">
        <v>79</v>
      </c>
      <c r="B2774" s="271" t="s">
        <v>7527</v>
      </c>
      <c r="C2774" s="309" t="s">
        <v>5832</v>
      </c>
      <c r="D2774" s="309" t="s">
        <v>7515</v>
      </c>
      <c r="E2774" s="290"/>
      <c r="F2774" s="290"/>
      <c r="G2774" s="415">
        <v>72</v>
      </c>
      <c r="H2774" s="371"/>
    </row>
    <row r="2775" spans="1:8" s="673" customFormat="1" ht="33">
      <c r="A2775" s="309">
        <v>80</v>
      </c>
      <c r="B2775" s="271" t="s">
        <v>7528</v>
      </c>
      <c r="C2775" s="309" t="s">
        <v>5832</v>
      </c>
      <c r="D2775" s="309" t="s">
        <v>7515</v>
      </c>
      <c r="E2775" s="290"/>
      <c r="F2775" s="290"/>
      <c r="G2775" s="415">
        <v>388</v>
      </c>
      <c r="H2775" s="371"/>
    </row>
    <row r="2776" spans="1:8" s="673" customFormat="1">
      <c r="A2776" s="309">
        <v>81</v>
      </c>
      <c r="B2776" s="271" t="s">
        <v>7529</v>
      </c>
      <c r="C2776" s="309" t="s">
        <v>5832</v>
      </c>
      <c r="D2776" s="309" t="s">
        <v>7515</v>
      </c>
      <c r="E2776" s="290"/>
      <c r="F2776" s="290"/>
      <c r="G2776" s="415">
        <v>248</v>
      </c>
      <c r="H2776" s="371"/>
    </row>
    <row r="2777" spans="1:8" s="673" customFormat="1" ht="33">
      <c r="A2777" s="309">
        <v>82</v>
      </c>
      <c r="B2777" s="271" t="s">
        <v>7530</v>
      </c>
      <c r="C2777" s="309" t="s">
        <v>5832</v>
      </c>
      <c r="D2777" s="309" t="s">
        <v>7515</v>
      </c>
      <c r="E2777" s="290"/>
      <c r="F2777" s="290"/>
      <c r="G2777" s="415">
        <v>187</v>
      </c>
      <c r="H2777" s="371"/>
    </row>
    <row r="2778" spans="1:8" s="673" customFormat="1" ht="33">
      <c r="A2778" s="309">
        <v>83</v>
      </c>
      <c r="B2778" s="271" t="s">
        <v>7531</v>
      </c>
      <c r="C2778" s="309" t="s">
        <v>5832</v>
      </c>
      <c r="D2778" s="309" t="s">
        <v>7515</v>
      </c>
      <c r="E2778" s="290"/>
      <c r="F2778" s="290"/>
      <c r="G2778" s="415">
        <v>266</v>
      </c>
      <c r="H2778" s="371"/>
    </row>
    <row r="2779" spans="1:8" s="673" customFormat="1" ht="33">
      <c r="A2779" s="309">
        <v>84</v>
      </c>
      <c r="B2779" s="271" t="s">
        <v>7532</v>
      </c>
      <c r="C2779" s="309" t="s">
        <v>5832</v>
      </c>
      <c r="D2779" s="309" t="s">
        <v>7515</v>
      </c>
      <c r="E2779" s="290"/>
      <c r="F2779" s="290"/>
      <c r="G2779" s="415">
        <v>140</v>
      </c>
      <c r="H2779" s="371"/>
    </row>
    <row r="2780" spans="1:8" s="673" customFormat="1" ht="33">
      <c r="A2780" s="309">
        <v>85</v>
      </c>
      <c r="B2780" s="271" t="s">
        <v>7533</v>
      </c>
      <c r="C2780" s="309" t="s">
        <v>5832</v>
      </c>
      <c r="D2780" s="309" t="s">
        <v>7515</v>
      </c>
      <c r="E2780" s="290"/>
      <c r="F2780" s="290"/>
      <c r="G2780" s="415">
        <v>714</v>
      </c>
      <c r="H2780" s="371"/>
    </row>
    <row r="2781" spans="1:8" s="673" customFormat="1" ht="33">
      <c r="A2781" s="309">
        <v>86</v>
      </c>
      <c r="B2781" s="271" t="s">
        <v>7534</v>
      </c>
      <c r="C2781" s="309" t="s">
        <v>5832</v>
      </c>
      <c r="D2781" s="309" t="s">
        <v>7515</v>
      </c>
      <c r="E2781" s="290"/>
      <c r="F2781" s="290"/>
      <c r="G2781" s="415">
        <v>307</v>
      </c>
      <c r="H2781" s="371"/>
    </row>
    <row r="2782" spans="1:8" s="673" customFormat="1" ht="33">
      <c r="A2782" s="309">
        <v>87</v>
      </c>
      <c r="B2782" s="271" t="s">
        <v>7535</v>
      </c>
      <c r="C2782" s="309" t="s">
        <v>5832</v>
      </c>
      <c r="D2782" s="309" t="s">
        <v>7515</v>
      </c>
      <c r="E2782" s="290"/>
      <c r="F2782" s="290"/>
      <c r="G2782" s="415">
        <v>722</v>
      </c>
      <c r="H2782" s="371"/>
    </row>
    <row r="2783" spans="1:8" s="673" customFormat="1" ht="49.5">
      <c r="A2783" s="309">
        <v>88</v>
      </c>
      <c r="B2783" s="271" t="s">
        <v>7536</v>
      </c>
      <c r="C2783" s="309" t="s">
        <v>5832</v>
      </c>
      <c r="D2783" s="309" t="s">
        <v>7515</v>
      </c>
      <c r="E2783" s="290"/>
      <c r="F2783" s="290"/>
      <c r="G2783" s="415">
        <v>258</v>
      </c>
      <c r="H2783" s="371"/>
    </row>
    <row r="2784" spans="1:8" s="673" customFormat="1">
      <c r="A2784" s="309">
        <v>89</v>
      </c>
      <c r="B2784" s="271" t="s">
        <v>7537</v>
      </c>
      <c r="C2784" s="309" t="s">
        <v>5832</v>
      </c>
      <c r="D2784" s="309" t="s">
        <v>7515</v>
      </c>
      <c r="E2784" s="290"/>
      <c r="F2784" s="290"/>
      <c r="G2784" s="415">
        <v>223</v>
      </c>
      <c r="H2784" s="371"/>
    </row>
    <row r="2785" spans="1:8" s="673" customFormat="1" ht="33">
      <c r="A2785" s="309">
        <v>90</v>
      </c>
      <c r="B2785" s="271" t="s">
        <v>7538</v>
      </c>
      <c r="C2785" s="309" t="s">
        <v>5832</v>
      </c>
      <c r="D2785" s="309" t="s">
        <v>7515</v>
      </c>
      <c r="E2785" s="290"/>
      <c r="F2785" s="290"/>
      <c r="G2785" s="415">
        <v>282</v>
      </c>
      <c r="H2785" s="371"/>
    </row>
    <row r="2786" spans="1:8" s="673" customFormat="1" ht="33">
      <c r="A2786" s="309">
        <v>91</v>
      </c>
      <c r="B2786" s="271" t="s">
        <v>7539</v>
      </c>
      <c r="C2786" s="309" t="s">
        <v>5832</v>
      </c>
      <c r="D2786" s="309" t="s">
        <v>7515</v>
      </c>
      <c r="E2786" s="290"/>
      <c r="F2786" s="290"/>
      <c r="G2786" s="415">
        <v>124</v>
      </c>
      <c r="H2786" s="371"/>
    </row>
    <row r="2787" spans="1:8" s="673" customFormat="1">
      <c r="A2787" s="309">
        <v>92</v>
      </c>
      <c r="B2787" s="271" t="s">
        <v>7540</v>
      </c>
      <c r="C2787" s="309" t="s">
        <v>5832</v>
      </c>
      <c r="D2787" s="309" t="s">
        <v>7515</v>
      </c>
      <c r="E2787" s="290"/>
      <c r="F2787" s="290"/>
      <c r="G2787" s="415">
        <v>532</v>
      </c>
      <c r="H2787" s="371"/>
    </row>
    <row r="2788" spans="1:8" s="673" customFormat="1">
      <c r="A2788" s="309">
        <v>93</v>
      </c>
      <c r="B2788" s="271" t="s">
        <v>7541</v>
      </c>
      <c r="C2788" s="309" t="s">
        <v>5832</v>
      </c>
      <c r="D2788" s="309" t="s">
        <v>7515</v>
      </c>
      <c r="E2788" s="290"/>
      <c r="F2788" s="290"/>
      <c r="G2788" s="415">
        <v>400</v>
      </c>
      <c r="H2788" s="371"/>
    </row>
    <row r="2789" spans="1:8" s="673" customFormat="1">
      <c r="A2789" s="309">
        <v>94</v>
      </c>
      <c r="B2789" s="271" t="s">
        <v>7542</v>
      </c>
      <c r="C2789" s="309" t="s">
        <v>5832</v>
      </c>
      <c r="D2789" s="309" t="s">
        <v>7515</v>
      </c>
      <c r="E2789" s="290"/>
      <c r="F2789" s="290"/>
      <c r="G2789" s="415">
        <v>1272</v>
      </c>
      <c r="H2789" s="371"/>
    </row>
    <row r="2790" spans="1:8" s="673" customFormat="1">
      <c r="A2790" s="309">
        <v>95</v>
      </c>
      <c r="B2790" s="271" t="s">
        <v>7543</v>
      </c>
      <c r="C2790" s="309" t="s">
        <v>5832</v>
      </c>
      <c r="D2790" s="309" t="s">
        <v>7515</v>
      </c>
      <c r="E2790" s="290"/>
      <c r="F2790" s="290"/>
      <c r="G2790" s="415">
        <v>4235</v>
      </c>
      <c r="H2790" s="371"/>
    </row>
    <row r="2791" spans="1:8" s="673" customFormat="1" ht="33">
      <c r="A2791" s="309">
        <v>96</v>
      </c>
      <c r="B2791" s="271" t="s">
        <v>7544</v>
      </c>
      <c r="C2791" s="309" t="s">
        <v>5832</v>
      </c>
      <c r="D2791" s="309" t="s">
        <v>7515</v>
      </c>
      <c r="E2791" s="290"/>
      <c r="F2791" s="290"/>
      <c r="G2791" s="415">
        <v>406</v>
      </c>
      <c r="H2791" s="371"/>
    </row>
    <row r="2792" spans="1:8" s="673" customFormat="1">
      <c r="A2792" s="309">
        <v>97</v>
      </c>
      <c r="B2792" s="271" t="s">
        <v>7545</v>
      </c>
      <c r="C2792" s="309" t="s">
        <v>5832</v>
      </c>
      <c r="D2792" s="309" t="s">
        <v>7515</v>
      </c>
      <c r="E2792" s="290"/>
      <c r="F2792" s="290"/>
      <c r="G2792" s="415">
        <v>591</v>
      </c>
      <c r="H2792" s="371"/>
    </row>
    <row r="2793" spans="1:8" s="673" customFormat="1" ht="33">
      <c r="A2793" s="309">
        <v>98</v>
      </c>
      <c r="B2793" s="271" t="s">
        <v>7546</v>
      </c>
      <c r="C2793" s="309" t="s">
        <v>5832</v>
      </c>
      <c r="D2793" s="309" t="s">
        <v>7515</v>
      </c>
      <c r="E2793" s="290"/>
      <c r="F2793" s="290"/>
      <c r="G2793" s="415">
        <v>408</v>
      </c>
      <c r="H2793" s="371"/>
    </row>
    <row r="2794" spans="1:8" s="673" customFormat="1" ht="33">
      <c r="A2794" s="309">
        <v>99</v>
      </c>
      <c r="B2794" s="271" t="s">
        <v>7547</v>
      </c>
      <c r="C2794" s="309" t="s">
        <v>5832</v>
      </c>
      <c r="D2794" s="309" t="s">
        <v>7515</v>
      </c>
      <c r="E2794" s="290"/>
      <c r="F2794" s="290"/>
      <c r="G2794" s="415">
        <v>874</v>
      </c>
      <c r="H2794" s="371"/>
    </row>
    <row r="2795" spans="1:8" s="673" customFormat="1" ht="49.5">
      <c r="A2795" s="309">
        <v>100</v>
      </c>
      <c r="B2795" s="271" t="s">
        <v>7548</v>
      </c>
      <c r="C2795" s="309" t="s">
        <v>5832</v>
      </c>
      <c r="D2795" s="309" t="s">
        <v>7515</v>
      </c>
      <c r="E2795" s="290"/>
      <c r="F2795" s="290"/>
      <c r="G2795" s="415">
        <v>1485</v>
      </c>
      <c r="H2795" s="371"/>
    </row>
    <row r="2796" spans="1:8" s="673" customFormat="1">
      <c r="A2796" s="309">
        <v>101</v>
      </c>
      <c r="B2796" s="271" t="s">
        <v>7549</v>
      </c>
      <c r="C2796" s="309" t="s">
        <v>5832</v>
      </c>
      <c r="D2796" s="309" t="s">
        <v>7515</v>
      </c>
      <c r="E2796" s="290"/>
      <c r="F2796" s="290"/>
      <c r="G2796" s="415">
        <v>4117</v>
      </c>
      <c r="H2796" s="371"/>
    </row>
    <row r="2797" spans="1:8" s="673" customFormat="1" ht="33">
      <c r="A2797" s="309">
        <v>102</v>
      </c>
      <c r="B2797" s="271" t="s">
        <v>7550</v>
      </c>
      <c r="C2797" s="309" t="s">
        <v>5832</v>
      </c>
      <c r="D2797" s="309" t="s">
        <v>7515</v>
      </c>
      <c r="E2797" s="290"/>
      <c r="F2797" s="290"/>
      <c r="G2797" s="415">
        <v>2544</v>
      </c>
      <c r="H2797" s="371"/>
    </row>
    <row r="2798" spans="1:8" s="673" customFormat="1" ht="33">
      <c r="A2798" s="309">
        <v>103</v>
      </c>
      <c r="B2798" s="271" t="s">
        <v>7551</v>
      </c>
      <c r="C2798" s="309" t="s">
        <v>5832</v>
      </c>
      <c r="D2798" s="309" t="s">
        <v>7515</v>
      </c>
      <c r="E2798" s="290"/>
      <c r="F2798" s="290"/>
      <c r="G2798" s="415">
        <v>1787</v>
      </c>
      <c r="H2798" s="371"/>
    </row>
    <row r="2799" spans="1:8" s="673" customFormat="1" ht="33">
      <c r="A2799" s="309">
        <v>104</v>
      </c>
      <c r="B2799" s="353" t="s">
        <v>7552</v>
      </c>
      <c r="C2799" s="309" t="s">
        <v>5832</v>
      </c>
      <c r="D2799" s="309" t="s">
        <v>7515</v>
      </c>
      <c r="E2799" s="290"/>
      <c r="F2799" s="290"/>
      <c r="G2799" s="415">
        <v>2520</v>
      </c>
      <c r="H2799" s="371"/>
    </row>
    <row r="2800" spans="1:8" s="673" customFormat="1" ht="33">
      <c r="A2800" s="309">
        <v>105</v>
      </c>
      <c r="B2800" s="274" t="s">
        <v>7553</v>
      </c>
      <c r="C2800" s="309" t="s">
        <v>5832</v>
      </c>
      <c r="D2800" s="309" t="s">
        <v>7515</v>
      </c>
      <c r="E2800" s="290"/>
      <c r="F2800" s="290"/>
      <c r="G2800" s="415">
        <v>6267</v>
      </c>
      <c r="H2800" s="371"/>
    </row>
    <row r="2801" spans="1:8" s="673" customFormat="1">
      <c r="A2801" s="309">
        <v>106</v>
      </c>
      <c r="B2801" s="271" t="s">
        <v>7554</v>
      </c>
      <c r="C2801" s="309" t="s">
        <v>5832</v>
      </c>
      <c r="D2801" s="309" t="s">
        <v>7515</v>
      </c>
      <c r="E2801" s="290"/>
      <c r="F2801" s="290"/>
      <c r="G2801" s="415">
        <v>1491</v>
      </c>
      <c r="H2801" s="371"/>
    </row>
    <row r="2802" spans="1:8" s="673" customFormat="1" ht="33">
      <c r="A2802" s="309">
        <v>107</v>
      </c>
      <c r="B2802" s="271" t="s">
        <v>7555</v>
      </c>
      <c r="C2802" s="309" t="s">
        <v>5832</v>
      </c>
      <c r="D2802" s="309" t="s">
        <v>7515</v>
      </c>
      <c r="E2802" s="290"/>
      <c r="F2802" s="290"/>
      <c r="G2802" s="415">
        <v>1364</v>
      </c>
      <c r="H2802" s="371"/>
    </row>
    <row r="2803" spans="1:8" s="673" customFormat="1">
      <c r="A2803" s="309">
        <v>108</v>
      </c>
      <c r="B2803" s="271" t="s">
        <v>7556</v>
      </c>
      <c r="C2803" s="309" t="s">
        <v>5832</v>
      </c>
      <c r="D2803" s="309" t="s">
        <v>7515</v>
      </c>
      <c r="E2803" s="290"/>
      <c r="F2803" s="290"/>
      <c r="G2803" s="415">
        <v>650</v>
      </c>
      <c r="H2803" s="371"/>
    </row>
    <row r="2804" spans="1:8" s="673" customFormat="1">
      <c r="A2804" s="309">
        <v>109</v>
      </c>
      <c r="B2804" s="271" t="s">
        <v>7557</v>
      </c>
      <c r="C2804" s="309" t="s">
        <v>6874</v>
      </c>
      <c r="D2804" s="309" t="s">
        <v>6875</v>
      </c>
      <c r="E2804" s="290"/>
      <c r="F2804" s="290"/>
      <c r="G2804" s="415">
        <v>1164</v>
      </c>
      <c r="H2804" s="371"/>
    </row>
    <row r="2805" spans="1:8" s="673" customFormat="1">
      <c r="A2805" s="309">
        <v>110</v>
      </c>
      <c r="B2805" s="271" t="s">
        <v>7558</v>
      </c>
      <c r="C2805" s="309" t="s">
        <v>6874</v>
      </c>
      <c r="D2805" s="309" t="s">
        <v>6875</v>
      </c>
      <c r="E2805" s="290"/>
      <c r="F2805" s="290"/>
      <c r="G2805" s="415">
        <v>1249</v>
      </c>
      <c r="H2805" s="371"/>
    </row>
    <row r="2806" spans="1:8" s="673" customFormat="1">
      <c r="A2806" s="309">
        <v>111</v>
      </c>
      <c r="B2806" s="271" t="s">
        <v>7559</v>
      </c>
      <c r="C2806" s="309" t="s">
        <v>6874</v>
      </c>
      <c r="D2806" s="309" t="s">
        <v>6875</v>
      </c>
      <c r="E2806" s="290"/>
      <c r="F2806" s="290"/>
      <c r="G2806" s="415">
        <v>2165</v>
      </c>
      <c r="H2806" s="371"/>
    </row>
    <row r="2807" spans="1:8" s="673" customFormat="1">
      <c r="A2807" s="309">
        <v>112</v>
      </c>
      <c r="B2807" s="271" t="s">
        <v>7560</v>
      </c>
      <c r="C2807" s="309" t="s">
        <v>6874</v>
      </c>
      <c r="D2807" s="309" t="s">
        <v>6875</v>
      </c>
      <c r="E2807" s="290"/>
      <c r="F2807" s="290"/>
      <c r="G2807" s="415">
        <v>450</v>
      </c>
      <c r="H2807" s="371"/>
    </row>
    <row r="2808" spans="1:8" s="673" customFormat="1" ht="33">
      <c r="A2808" s="309">
        <v>113</v>
      </c>
      <c r="B2808" s="271" t="s">
        <v>7561</v>
      </c>
      <c r="C2808" s="309" t="s">
        <v>6874</v>
      </c>
      <c r="D2808" s="309" t="s">
        <v>6875</v>
      </c>
      <c r="E2808" s="290"/>
      <c r="F2808" s="290"/>
      <c r="G2808" s="415">
        <v>1212</v>
      </c>
      <c r="H2808" s="371"/>
    </row>
    <row r="2809" spans="1:8" s="673" customFormat="1" ht="33">
      <c r="A2809" s="309">
        <v>114</v>
      </c>
      <c r="B2809" s="271" t="s">
        <v>7562</v>
      </c>
      <c r="C2809" s="309" t="s">
        <v>6874</v>
      </c>
      <c r="D2809" s="309" t="s">
        <v>6875</v>
      </c>
      <c r="E2809" s="290"/>
      <c r="F2809" s="290"/>
      <c r="G2809" s="415">
        <v>2710</v>
      </c>
      <c r="H2809" s="371"/>
    </row>
    <row r="2810" spans="1:8" s="673" customFormat="1" ht="33">
      <c r="A2810" s="309">
        <v>115</v>
      </c>
      <c r="B2810" s="271" t="s">
        <v>7563</v>
      </c>
      <c r="C2810" s="309" t="s">
        <v>6874</v>
      </c>
      <c r="D2810" s="309" t="s">
        <v>6875</v>
      </c>
      <c r="E2810" s="290"/>
      <c r="F2810" s="290"/>
      <c r="G2810" s="415">
        <v>422</v>
      </c>
      <c r="H2810" s="371"/>
    </row>
    <row r="2811" spans="1:8" s="673" customFormat="1" ht="33">
      <c r="A2811" s="309">
        <v>116</v>
      </c>
      <c r="B2811" s="271" t="s">
        <v>7564</v>
      </c>
      <c r="C2811" s="309" t="s">
        <v>6874</v>
      </c>
      <c r="D2811" s="309" t="s">
        <v>6875</v>
      </c>
      <c r="E2811" s="290"/>
      <c r="F2811" s="290"/>
      <c r="G2811" s="415">
        <v>860</v>
      </c>
      <c r="H2811" s="371"/>
    </row>
    <row r="2812" spans="1:8" s="673" customFormat="1" ht="33">
      <c r="A2812" s="309">
        <v>117</v>
      </c>
      <c r="B2812" s="271" t="s">
        <v>7565</v>
      </c>
      <c r="C2812" s="309" t="s">
        <v>6874</v>
      </c>
      <c r="D2812" s="309" t="s">
        <v>6875</v>
      </c>
      <c r="E2812" s="290"/>
      <c r="F2812" s="290"/>
      <c r="G2812" s="415">
        <v>1031</v>
      </c>
      <c r="H2812" s="371"/>
    </row>
    <row r="2813" spans="1:8" s="673" customFormat="1" ht="49.5">
      <c r="A2813" s="309">
        <v>118</v>
      </c>
      <c r="B2813" s="271" t="s">
        <v>7566</v>
      </c>
      <c r="C2813" s="309" t="s">
        <v>6874</v>
      </c>
      <c r="D2813" s="309" t="s">
        <v>6875</v>
      </c>
      <c r="E2813" s="290"/>
      <c r="F2813" s="290"/>
      <c r="G2813" s="415">
        <v>956</v>
      </c>
      <c r="H2813" s="371"/>
    </row>
    <row r="2814" spans="1:8" s="673" customFormat="1" ht="33">
      <c r="A2814" s="309">
        <v>119</v>
      </c>
      <c r="B2814" s="271" t="s">
        <v>7567</v>
      </c>
      <c r="C2814" s="309" t="s">
        <v>6874</v>
      </c>
      <c r="D2814" s="309" t="s">
        <v>6875</v>
      </c>
      <c r="E2814" s="290"/>
      <c r="F2814" s="290"/>
      <c r="G2814" s="415">
        <v>1685</v>
      </c>
      <c r="H2814" s="371"/>
    </row>
    <row r="2815" spans="1:8" s="673" customFormat="1" ht="33">
      <c r="A2815" s="309">
        <v>120</v>
      </c>
      <c r="B2815" s="271" t="s">
        <v>7568</v>
      </c>
      <c r="C2815" s="309" t="s">
        <v>6874</v>
      </c>
      <c r="D2815" s="309" t="s">
        <v>6875</v>
      </c>
      <c r="E2815" s="290"/>
      <c r="F2815" s="290"/>
      <c r="G2815" s="415">
        <v>1716</v>
      </c>
      <c r="H2815" s="371"/>
    </row>
    <row r="2816" spans="1:8" s="673" customFormat="1" ht="33">
      <c r="A2816" s="309">
        <v>121</v>
      </c>
      <c r="B2816" s="271" t="s">
        <v>7569</v>
      </c>
      <c r="C2816" s="309" t="s">
        <v>6874</v>
      </c>
      <c r="D2816" s="309" t="s">
        <v>6875</v>
      </c>
      <c r="E2816" s="290"/>
      <c r="F2816" s="290"/>
      <c r="G2816" s="415">
        <v>1185</v>
      </c>
      <c r="H2816" s="371"/>
    </row>
    <row r="2817" spans="1:8" s="673" customFormat="1" ht="33">
      <c r="A2817" s="309">
        <v>122</v>
      </c>
      <c r="B2817" s="271" t="s">
        <v>7570</v>
      </c>
      <c r="C2817" s="309" t="s">
        <v>6874</v>
      </c>
      <c r="D2817" s="309" t="s">
        <v>6875</v>
      </c>
      <c r="E2817" s="290"/>
      <c r="F2817" s="290"/>
      <c r="G2817" s="415">
        <v>2117</v>
      </c>
      <c r="H2817" s="371"/>
    </row>
    <row r="2818" spans="1:8" s="673" customFormat="1" ht="33">
      <c r="A2818" s="309">
        <v>123</v>
      </c>
      <c r="B2818" s="271" t="s">
        <v>7571</v>
      </c>
      <c r="C2818" s="309" t="s">
        <v>6874</v>
      </c>
      <c r="D2818" s="309" t="s">
        <v>6875</v>
      </c>
      <c r="E2818" s="290"/>
      <c r="F2818" s="290"/>
      <c r="G2818" s="415">
        <v>2200</v>
      </c>
      <c r="H2818" s="371"/>
    </row>
    <row r="2819" spans="1:8" s="673" customFormat="1" ht="33">
      <c r="A2819" s="309">
        <v>124</v>
      </c>
      <c r="B2819" s="271" t="s">
        <v>7572</v>
      </c>
      <c r="C2819" s="309" t="s">
        <v>6874</v>
      </c>
      <c r="D2819" s="309" t="s">
        <v>6875</v>
      </c>
      <c r="E2819" s="290"/>
      <c r="F2819" s="290"/>
      <c r="G2819" s="415">
        <v>1749</v>
      </c>
      <c r="H2819" s="371"/>
    </row>
    <row r="2820" spans="1:8" s="673" customFormat="1" ht="33">
      <c r="A2820" s="309">
        <v>125</v>
      </c>
      <c r="B2820" s="271" t="s">
        <v>7573</v>
      </c>
      <c r="C2820" s="309" t="s">
        <v>6874</v>
      </c>
      <c r="D2820" s="309" t="s">
        <v>6875</v>
      </c>
      <c r="E2820" s="290"/>
      <c r="F2820" s="290"/>
      <c r="G2820" s="415">
        <v>780</v>
      </c>
      <c r="H2820" s="371"/>
    </row>
    <row r="2821" spans="1:8" s="673" customFormat="1">
      <c r="A2821" s="309">
        <v>126</v>
      </c>
      <c r="B2821" s="271" t="s">
        <v>7574</v>
      </c>
      <c r="C2821" s="309" t="s">
        <v>6874</v>
      </c>
      <c r="D2821" s="309" t="s">
        <v>6875</v>
      </c>
      <c r="E2821" s="290"/>
      <c r="F2821" s="290"/>
      <c r="G2821" s="415">
        <v>3158</v>
      </c>
      <c r="H2821" s="371"/>
    </row>
    <row r="2822" spans="1:8" s="673" customFormat="1" ht="33">
      <c r="A2822" s="309">
        <v>127</v>
      </c>
      <c r="B2822" s="271" t="s">
        <v>7575</v>
      </c>
      <c r="C2822" s="309" t="s">
        <v>6874</v>
      </c>
      <c r="D2822" s="309" t="s">
        <v>6875</v>
      </c>
      <c r="E2822" s="290"/>
      <c r="F2822" s="290"/>
      <c r="G2822" s="415">
        <v>2145</v>
      </c>
      <c r="H2822" s="371"/>
    </row>
    <row r="2823" spans="1:8" s="673" customFormat="1" ht="33">
      <c r="A2823" s="309">
        <v>128</v>
      </c>
      <c r="B2823" s="271" t="s">
        <v>7576</v>
      </c>
      <c r="C2823" s="309" t="s">
        <v>6874</v>
      </c>
      <c r="D2823" s="309" t="s">
        <v>6875</v>
      </c>
      <c r="E2823" s="290"/>
      <c r="F2823" s="290"/>
      <c r="G2823" s="415">
        <v>982</v>
      </c>
      <c r="H2823" s="371"/>
    </row>
    <row r="2824" spans="1:8" s="673" customFormat="1">
      <c r="A2824" s="309">
        <v>129</v>
      </c>
      <c r="B2824" s="271" t="s">
        <v>7577</v>
      </c>
      <c r="C2824" s="309" t="s">
        <v>6874</v>
      </c>
      <c r="D2824" s="309" t="s">
        <v>6875</v>
      </c>
      <c r="E2824" s="290"/>
      <c r="F2824" s="290"/>
      <c r="G2824" s="415">
        <v>2401</v>
      </c>
      <c r="H2824" s="371"/>
    </row>
    <row r="2825" spans="1:8" s="673" customFormat="1" ht="33">
      <c r="A2825" s="309">
        <v>130</v>
      </c>
      <c r="B2825" s="271" t="s">
        <v>7578</v>
      </c>
      <c r="C2825" s="309" t="s">
        <v>6874</v>
      </c>
      <c r="D2825" s="309" t="s">
        <v>6875</v>
      </c>
      <c r="E2825" s="290"/>
      <c r="F2825" s="290"/>
      <c r="G2825" s="415">
        <v>950</v>
      </c>
      <c r="H2825" s="371"/>
    </row>
    <row r="2826" spans="1:8" s="673" customFormat="1" ht="33">
      <c r="A2826" s="309">
        <v>131</v>
      </c>
      <c r="B2826" s="271" t="s">
        <v>7579</v>
      </c>
      <c r="C2826" s="309" t="s">
        <v>6874</v>
      </c>
      <c r="D2826" s="309" t="s">
        <v>6875</v>
      </c>
      <c r="E2826" s="290"/>
      <c r="F2826" s="290"/>
      <c r="G2826" s="415">
        <v>1771</v>
      </c>
      <c r="H2826" s="371"/>
    </row>
    <row r="2827" spans="1:8" s="673" customFormat="1" ht="49.5">
      <c r="A2827" s="309">
        <v>132</v>
      </c>
      <c r="B2827" s="271" t="s">
        <v>7580</v>
      </c>
      <c r="C2827" s="309" t="s">
        <v>6874</v>
      </c>
      <c r="D2827" s="309" t="s">
        <v>6875</v>
      </c>
      <c r="E2827" s="290"/>
      <c r="F2827" s="290"/>
      <c r="G2827" s="415">
        <v>480</v>
      </c>
      <c r="H2827" s="371"/>
    </row>
    <row r="2828" spans="1:8" s="673" customFormat="1" ht="33">
      <c r="A2828" s="309">
        <v>133</v>
      </c>
      <c r="B2828" s="271" t="s">
        <v>7581</v>
      </c>
      <c r="C2828" s="309" t="s">
        <v>6874</v>
      </c>
      <c r="D2828" s="309" t="s">
        <v>6875</v>
      </c>
      <c r="E2828" s="290"/>
      <c r="F2828" s="290"/>
      <c r="G2828" s="415">
        <v>614</v>
      </c>
      <c r="H2828" s="371"/>
    </row>
    <row r="2829" spans="1:8" s="673" customFormat="1" ht="33">
      <c r="A2829" s="309">
        <v>134</v>
      </c>
      <c r="B2829" s="271" t="s">
        <v>7582</v>
      </c>
      <c r="C2829" s="309" t="s">
        <v>6874</v>
      </c>
      <c r="D2829" s="309" t="s">
        <v>6875</v>
      </c>
      <c r="E2829" s="290"/>
      <c r="F2829" s="290"/>
      <c r="G2829" s="415">
        <v>903</v>
      </c>
      <c r="H2829" s="371"/>
    </row>
    <row r="2830" spans="1:8" s="673" customFormat="1" ht="49.5">
      <c r="A2830" s="309">
        <v>135</v>
      </c>
      <c r="B2830" s="271" t="s">
        <v>7583</v>
      </c>
      <c r="C2830" s="309" t="s">
        <v>6874</v>
      </c>
      <c r="D2830" s="309" t="s">
        <v>6875</v>
      </c>
      <c r="E2830" s="290"/>
      <c r="F2830" s="290"/>
      <c r="G2830" s="415">
        <v>554</v>
      </c>
      <c r="H2830" s="371"/>
    </row>
    <row r="2831" spans="1:8" s="673" customFormat="1" ht="49.5">
      <c r="A2831" s="309">
        <v>136</v>
      </c>
      <c r="B2831" s="271" t="s">
        <v>7584</v>
      </c>
      <c r="C2831" s="309" t="s">
        <v>6874</v>
      </c>
      <c r="D2831" s="309" t="s">
        <v>6875</v>
      </c>
      <c r="E2831" s="290"/>
      <c r="F2831" s="290"/>
      <c r="G2831" s="415">
        <v>1282</v>
      </c>
      <c r="H2831" s="371"/>
    </row>
    <row r="2832" spans="1:8" s="673" customFormat="1" ht="49.5">
      <c r="A2832" s="309">
        <v>137</v>
      </c>
      <c r="B2832" s="271" t="s">
        <v>7585</v>
      </c>
      <c r="C2832" s="309" t="s">
        <v>6874</v>
      </c>
      <c r="D2832" s="309" t="s">
        <v>6875</v>
      </c>
      <c r="E2832" s="290"/>
      <c r="F2832" s="290"/>
      <c r="G2832" s="415">
        <v>532</v>
      </c>
      <c r="H2832" s="371"/>
    </row>
    <row r="2833" spans="1:8" s="673" customFormat="1" ht="49.5">
      <c r="A2833" s="309">
        <v>138</v>
      </c>
      <c r="B2833" s="271" t="s">
        <v>7586</v>
      </c>
      <c r="C2833" s="309" t="s">
        <v>6874</v>
      </c>
      <c r="D2833" s="309" t="s">
        <v>6875</v>
      </c>
      <c r="E2833" s="290"/>
      <c r="F2833" s="290"/>
      <c r="G2833" s="415">
        <v>1278</v>
      </c>
      <c r="H2833" s="371"/>
    </row>
    <row r="2834" spans="1:8" s="673" customFormat="1" ht="49.5">
      <c r="A2834" s="309">
        <v>139</v>
      </c>
      <c r="B2834" s="271" t="s">
        <v>7587</v>
      </c>
      <c r="C2834" s="309" t="s">
        <v>6874</v>
      </c>
      <c r="D2834" s="309" t="s">
        <v>6875</v>
      </c>
      <c r="E2834" s="290"/>
      <c r="F2834" s="290"/>
      <c r="G2834" s="415">
        <v>487</v>
      </c>
      <c r="H2834" s="371"/>
    </row>
    <row r="2835" spans="1:8" s="673" customFormat="1" ht="49.5">
      <c r="A2835" s="309">
        <v>140</v>
      </c>
      <c r="B2835" s="271" t="s">
        <v>7588</v>
      </c>
      <c r="C2835" s="309" t="s">
        <v>6874</v>
      </c>
      <c r="D2835" s="309" t="s">
        <v>6875</v>
      </c>
      <c r="E2835" s="290"/>
      <c r="F2835" s="290"/>
      <c r="G2835" s="415">
        <v>784</v>
      </c>
      <c r="H2835" s="371"/>
    </row>
    <row r="2836" spans="1:8" s="673" customFormat="1" ht="33">
      <c r="A2836" s="309">
        <v>141</v>
      </c>
      <c r="B2836" s="271" t="s">
        <v>7589</v>
      </c>
      <c r="C2836" s="309" t="s">
        <v>6874</v>
      </c>
      <c r="D2836" s="309" t="s">
        <v>6875</v>
      </c>
      <c r="E2836" s="290"/>
      <c r="F2836" s="290"/>
      <c r="G2836" s="415">
        <v>844</v>
      </c>
      <c r="H2836" s="371"/>
    </row>
    <row r="2837" spans="1:8" s="673" customFormat="1" ht="33">
      <c r="A2837" s="309">
        <v>142</v>
      </c>
      <c r="B2837" s="271" t="s">
        <v>7590</v>
      </c>
      <c r="C2837" s="309" t="s">
        <v>6874</v>
      </c>
      <c r="D2837" s="309" t="s">
        <v>6875</v>
      </c>
      <c r="E2837" s="290"/>
      <c r="F2837" s="290"/>
      <c r="G2837" s="415">
        <v>408</v>
      </c>
      <c r="H2837" s="371"/>
    </row>
    <row r="2838" spans="1:8" s="673" customFormat="1" ht="49.5">
      <c r="A2838" s="309">
        <v>143</v>
      </c>
      <c r="B2838" s="271" t="s">
        <v>7591</v>
      </c>
      <c r="C2838" s="309" t="s">
        <v>6874</v>
      </c>
      <c r="D2838" s="309" t="s">
        <v>6875</v>
      </c>
      <c r="E2838" s="290"/>
      <c r="F2838" s="290"/>
      <c r="G2838" s="415">
        <v>745</v>
      </c>
      <c r="H2838" s="371"/>
    </row>
    <row r="2839" spans="1:8" s="673" customFormat="1" ht="49.5">
      <c r="A2839" s="309">
        <v>144</v>
      </c>
      <c r="B2839" s="271" t="s">
        <v>7592</v>
      </c>
      <c r="C2839" s="309" t="s">
        <v>6874</v>
      </c>
      <c r="D2839" s="309" t="s">
        <v>6875</v>
      </c>
      <c r="E2839" s="290"/>
      <c r="F2839" s="290"/>
      <c r="G2839" s="415">
        <v>593</v>
      </c>
      <c r="H2839" s="371"/>
    </row>
    <row r="2840" spans="1:8" s="673" customFormat="1" ht="49.5">
      <c r="A2840" s="309">
        <v>145</v>
      </c>
      <c r="B2840" s="271" t="s">
        <v>7593</v>
      </c>
      <c r="C2840" s="309" t="s">
        <v>6874</v>
      </c>
      <c r="D2840" s="309" t="s">
        <v>6875</v>
      </c>
      <c r="E2840" s="290"/>
      <c r="F2840" s="290"/>
      <c r="G2840" s="415">
        <v>1296</v>
      </c>
      <c r="H2840" s="371"/>
    </row>
    <row r="2841" spans="1:8" s="673" customFormat="1" ht="49.5">
      <c r="A2841" s="309">
        <v>146</v>
      </c>
      <c r="B2841" s="271" t="s">
        <v>7594</v>
      </c>
      <c r="C2841" s="309" t="s">
        <v>6874</v>
      </c>
      <c r="D2841" s="309" t="s">
        <v>6875</v>
      </c>
      <c r="E2841" s="290"/>
      <c r="F2841" s="290"/>
      <c r="G2841" s="415">
        <v>780</v>
      </c>
      <c r="H2841" s="371"/>
    </row>
    <row r="2842" spans="1:8" s="673" customFormat="1" ht="33">
      <c r="A2842" s="309">
        <v>147</v>
      </c>
      <c r="B2842" s="271" t="s">
        <v>7595</v>
      </c>
      <c r="C2842" s="309" t="s">
        <v>6874</v>
      </c>
      <c r="D2842" s="309" t="s">
        <v>6875</v>
      </c>
      <c r="E2842" s="290"/>
      <c r="F2842" s="290"/>
      <c r="G2842" s="415">
        <v>1745</v>
      </c>
      <c r="H2842" s="371"/>
    </row>
    <row r="2843" spans="1:8" s="673" customFormat="1" ht="49.5">
      <c r="A2843" s="309">
        <v>148</v>
      </c>
      <c r="B2843" s="271" t="s">
        <v>7596</v>
      </c>
      <c r="C2843" s="309" t="s">
        <v>6874</v>
      </c>
      <c r="D2843" s="309" t="s">
        <v>6875</v>
      </c>
      <c r="E2843" s="290"/>
      <c r="F2843" s="290"/>
      <c r="G2843" s="415">
        <v>5213</v>
      </c>
      <c r="H2843" s="371"/>
    </row>
    <row r="2844" spans="1:8" s="673" customFormat="1" ht="33">
      <c r="A2844" s="309">
        <v>149</v>
      </c>
      <c r="B2844" s="271" t="s">
        <v>7597</v>
      </c>
      <c r="C2844" s="309" t="s">
        <v>6874</v>
      </c>
      <c r="D2844" s="309" t="s">
        <v>6875</v>
      </c>
      <c r="E2844" s="290"/>
      <c r="F2844" s="290"/>
      <c r="G2844" s="415">
        <v>1167</v>
      </c>
      <c r="H2844" s="371"/>
    </row>
    <row r="2845" spans="1:8" s="673" customFormat="1" ht="66">
      <c r="A2845" s="309">
        <v>150</v>
      </c>
      <c r="B2845" s="271" t="s">
        <v>7598</v>
      </c>
      <c r="C2845" s="309" t="s">
        <v>6874</v>
      </c>
      <c r="D2845" s="309" t="s">
        <v>6875</v>
      </c>
      <c r="E2845" s="290"/>
      <c r="F2845" s="290"/>
      <c r="G2845" s="415">
        <v>462</v>
      </c>
      <c r="H2845" s="371"/>
    </row>
    <row r="2846" spans="1:8" s="673" customFormat="1" ht="49.5">
      <c r="A2846" s="309">
        <v>151</v>
      </c>
      <c r="B2846" s="271" t="s">
        <v>7599</v>
      </c>
      <c r="C2846" s="309" t="s">
        <v>6874</v>
      </c>
      <c r="D2846" s="309" t="s">
        <v>6875</v>
      </c>
      <c r="E2846" s="290"/>
      <c r="F2846" s="290"/>
      <c r="G2846" s="415">
        <v>1250</v>
      </c>
      <c r="H2846" s="371"/>
    </row>
    <row r="2847" spans="1:8" s="673" customFormat="1" ht="49.5">
      <c r="A2847" s="309">
        <v>152</v>
      </c>
      <c r="B2847" s="271" t="s">
        <v>7600</v>
      </c>
      <c r="C2847" s="309" t="s">
        <v>6874</v>
      </c>
      <c r="D2847" s="309" t="s">
        <v>6875</v>
      </c>
      <c r="E2847" s="290"/>
      <c r="F2847" s="290"/>
      <c r="G2847" s="415">
        <v>572</v>
      </c>
      <c r="H2847" s="371"/>
    </row>
    <row r="2848" spans="1:8" s="673" customFormat="1">
      <c r="A2848" s="309">
        <v>153</v>
      </c>
      <c r="B2848" s="271" t="s">
        <v>7601</v>
      </c>
      <c r="C2848" s="309" t="s">
        <v>6874</v>
      </c>
      <c r="D2848" s="309" t="s">
        <v>6875</v>
      </c>
      <c r="E2848" s="290"/>
      <c r="F2848" s="290"/>
      <c r="G2848" s="415">
        <v>800</v>
      </c>
      <c r="H2848" s="371"/>
    </row>
    <row r="2849" spans="1:8" s="673" customFormat="1" ht="49.5">
      <c r="A2849" s="309">
        <v>154</v>
      </c>
      <c r="B2849" s="271" t="s">
        <v>7602</v>
      </c>
      <c r="C2849" s="309" t="s">
        <v>6874</v>
      </c>
      <c r="D2849" s="309" t="s">
        <v>6875</v>
      </c>
      <c r="E2849" s="290"/>
      <c r="F2849" s="290"/>
      <c r="G2849" s="415">
        <v>700</v>
      </c>
      <c r="H2849" s="371"/>
    </row>
    <row r="2850" spans="1:8" s="673" customFormat="1" ht="33">
      <c r="A2850" s="309">
        <v>155</v>
      </c>
      <c r="B2850" s="271" t="s">
        <v>7603</v>
      </c>
      <c r="C2850" s="309" t="s">
        <v>6874</v>
      </c>
      <c r="D2850" s="309" t="s">
        <v>6875</v>
      </c>
      <c r="E2850" s="290"/>
      <c r="F2850" s="290"/>
      <c r="G2850" s="415">
        <v>500</v>
      </c>
      <c r="H2850" s="371"/>
    </row>
    <row r="2851" spans="1:8" s="673" customFormat="1" ht="33">
      <c r="A2851" s="309">
        <v>156</v>
      </c>
      <c r="B2851" s="271" t="s">
        <v>7604</v>
      </c>
      <c r="C2851" s="309" t="s">
        <v>6874</v>
      </c>
      <c r="D2851" s="309" t="s">
        <v>6875</v>
      </c>
      <c r="E2851" s="290"/>
      <c r="F2851" s="290"/>
      <c r="G2851" s="415">
        <v>300</v>
      </c>
      <c r="H2851" s="371"/>
    </row>
    <row r="2852" spans="1:8" s="673" customFormat="1" ht="49.5">
      <c r="A2852" s="309">
        <v>157</v>
      </c>
      <c r="B2852" s="271" t="s">
        <v>7605</v>
      </c>
      <c r="C2852" s="309" t="s">
        <v>6874</v>
      </c>
      <c r="D2852" s="309" t="s">
        <v>6875</v>
      </c>
      <c r="E2852" s="290"/>
      <c r="F2852" s="290"/>
      <c r="G2852" s="415">
        <v>250</v>
      </c>
      <c r="H2852" s="371"/>
    </row>
    <row r="2853" spans="1:8" s="673" customFormat="1" ht="49.5">
      <c r="A2853" s="309">
        <v>158</v>
      </c>
      <c r="B2853" s="271" t="s">
        <v>7606</v>
      </c>
      <c r="C2853" s="309" t="s">
        <v>6874</v>
      </c>
      <c r="D2853" s="309" t="s">
        <v>6875</v>
      </c>
      <c r="E2853" s="290"/>
      <c r="F2853" s="290"/>
      <c r="G2853" s="415">
        <v>650</v>
      </c>
      <c r="H2853" s="371"/>
    </row>
    <row r="2854" spans="1:8" s="673" customFormat="1">
      <c r="A2854" s="309">
        <v>159</v>
      </c>
      <c r="B2854" s="271" t="s">
        <v>7607</v>
      </c>
      <c r="C2854" s="309" t="s">
        <v>6874</v>
      </c>
      <c r="D2854" s="309" t="s">
        <v>6875</v>
      </c>
      <c r="E2854" s="290"/>
      <c r="F2854" s="290"/>
      <c r="G2854" s="415">
        <v>1100</v>
      </c>
      <c r="H2854" s="371"/>
    </row>
    <row r="2855" spans="1:8" s="673" customFormat="1">
      <c r="A2855" s="309">
        <v>160</v>
      </c>
      <c r="B2855" s="271" t="s">
        <v>7608</v>
      </c>
      <c r="C2855" s="309" t="s">
        <v>6874</v>
      </c>
      <c r="D2855" s="309" t="s">
        <v>6875</v>
      </c>
      <c r="E2855" s="290"/>
      <c r="F2855" s="290"/>
      <c r="G2855" s="415">
        <v>1200</v>
      </c>
      <c r="H2855" s="371"/>
    </row>
    <row r="2856" spans="1:8" s="673" customFormat="1" ht="49.5">
      <c r="A2856" s="309">
        <v>161</v>
      </c>
      <c r="B2856" s="271" t="s">
        <v>7609</v>
      </c>
      <c r="C2856" s="309" t="s">
        <v>6874</v>
      </c>
      <c r="D2856" s="309" t="s">
        <v>6875</v>
      </c>
      <c r="E2856" s="290"/>
      <c r="F2856" s="290"/>
      <c r="G2856" s="415">
        <v>1050</v>
      </c>
      <c r="H2856" s="371"/>
    </row>
    <row r="2857" spans="1:8" s="673" customFormat="1" ht="49.5">
      <c r="A2857" s="309">
        <v>162</v>
      </c>
      <c r="B2857" s="271" t="s">
        <v>7610</v>
      </c>
      <c r="C2857" s="309" t="s">
        <v>6874</v>
      </c>
      <c r="D2857" s="309" t="s">
        <v>6875</v>
      </c>
      <c r="E2857" s="290"/>
      <c r="F2857" s="290"/>
      <c r="G2857" s="415">
        <v>1200</v>
      </c>
      <c r="H2857" s="371"/>
    </row>
    <row r="2858" spans="1:8" s="673" customFormat="1">
      <c r="A2858" s="309">
        <v>163</v>
      </c>
      <c r="B2858" s="271" t="s">
        <v>7611</v>
      </c>
      <c r="C2858" s="309" t="s">
        <v>6874</v>
      </c>
      <c r="D2858" s="309" t="s">
        <v>6875</v>
      </c>
      <c r="E2858" s="290"/>
      <c r="F2858" s="290"/>
      <c r="G2858" s="415">
        <v>300</v>
      </c>
      <c r="H2858" s="371"/>
    </row>
    <row r="2859" spans="1:8" s="673" customFormat="1">
      <c r="A2859" s="309">
        <v>164</v>
      </c>
      <c r="B2859" s="271" t="s">
        <v>7612</v>
      </c>
      <c r="C2859" s="309" t="s">
        <v>6874</v>
      </c>
      <c r="D2859" s="309" t="s">
        <v>6875</v>
      </c>
      <c r="E2859" s="290"/>
      <c r="F2859" s="290"/>
      <c r="G2859" s="415">
        <v>650</v>
      </c>
      <c r="H2859" s="371"/>
    </row>
    <row r="2860" spans="1:8" s="673" customFormat="1">
      <c r="A2860" s="309">
        <v>165</v>
      </c>
      <c r="B2860" s="271" t="s">
        <v>7613</v>
      </c>
      <c r="C2860" s="309" t="s">
        <v>6874</v>
      </c>
      <c r="D2860" s="309" t="s">
        <v>6875</v>
      </c>
      <c r="E2860" s="290"/>
      <c r="F2860" s="290"/>
      <c r="G2860" s="415">
        <v>420</v>
      </c>
      <c r="H2860" s="371"/>
    </row>
    <row r="2861" spans="1:8" s="673" customFormat="1" ht="49.5">
      <c r="A2861" s="309">
        <v>166</v>
      </c>
      <c r="B2861" s="271" t="s">
        <v>7614</v>
      </c>
      <c r="C2861" s="309" t="s">
        <v>6874</v>
      </c>
      <c r="D2861" s="309" t="s">
        <v>6875</v>
      </c>
      <c r="E2861" s="290"/>
      <c r="F2861" s="290"/>
      <c r="G2861" s="415">
        <v>460</v>
      </c>
      <c r="H2861" s="371"/>
    </row>
    <row r="2862" spans="1:8" s="673" customFormat="1" ht="66">
      <c r="A2862" s="309">
        <v>167</v>
      </c>
      <c r="B2862" s="271" t="s">
        <v>7615</v>
      </c>
      <c r="C2862" s="309" t="s">
        <v>6874</v>
      </c>
      <c r="D2862" s="309" t="s">
        <v>6875</v>
      </c>
      <c r="E2862" s="290"/>
      <c r="F2862" s="290"/>
      <c r="G2862" s="415">
        <v>1250</v>
      </c>
      <c r="H2862" s="371"/>
    </row>
    <row r="2863" spans="1:8" s="673" customFormat="1" ht="49.5">
      <c r="A2863" s="309">
        <v>168</v>
      </c>
      <c r="B2863" s="271" t="s">
        <v>7616</v>
      </c>
      <c r="C2863" s="309" t="s">
        <v>6874</v>
      </c>
      <c r="D2863" s="309" t="s">
        <v>6875</v>
      </c>
      <c r="E2863" s="290"/>
      <c r="F2863" s="290"/>
      <c r="G2863" s="415">
        <v>1130</v>
      </c>
      <c r="H2863" s="371"/>
    </row>
    <row r="2864" spans="1:8" s="673" customFormat="1" ht="49.5">
      <c r="A2864" s="309">
        <v>169</v>
      </c>
      <c r="B2864" s="271" t="s">
        <v>7617</v>
      </c>
      <c r="C2864" s="309" t="s">
        <v>6874</v>
      </c>
      <c r="D2864" s="309" t="s">
        <v>6875</v>
      </c>
      <c r="E2864" s="290"/>
      <c r="F2864" s="290"/>
      <c r="G2864" s="415">
        <v>800</v>
      </c>
      <c r="H2864" s="371"/>
    </row>
    <row r="2865" spans="1:8" s="673" customFormat="1" ht="49.5">
      <c r="A2865" s="309">
        <v>170</v>
      </c>
      <c r="B2865" s="271" t="s">
        <v>7618</v>
      </c>
      <c r="C2865" s="309" t="s">
        <v>6874</v>
      </c>
      <c r="D2865" s="309" t="s">
        <v>6875</v>
      </c>
      <c r="E2865" s="290"/>
      <c r="F2865" s="290"/>
      <c r="G2865" s="415">
        <v>900</v>
      </c>
      <c r="H2865" s="371"/>
    </row>
    <row r="2866" spans="1:8" s="673" customFormat="1">
      <c r="A2866" s="309">
        <v>171</v>
      </c>
      <c r="B2866" s="271" t="s">
        <v>7619</v>
      </c>
      <c r="C2866" s="309" t="s">
        <v>6874</v>
      </c>
      <c r="D2866" s="309" t="s">
        <v>6875</v>
      </c>
      <c r="E2866" s="290"/>
      <c r="F2866" s="290"/>
      <c r="G2866" s="415">
        <v>906</v>
      </c>
      <c r="H2866" s="371"/>
    </row>
    <row r="2867" spans="1:8" s="673" customFormat="1">
      <c r="A2867" s="309">
        <v>172</v>
      </c>
      <c r="B2867" s="271" t="s">
        <v>7620</v>
      </c>
      <c r="C2867" s="309" t="s">
        <v>6874</v>
      </c>
      <c r="D2867" s="309" t="s">
        <v>6875</v>
      </c>
      <c r="E2867" s="290"/>
      <c r="F2867" s="290"/>
      <c r="G2867" s="415">
        <v>200</v>
      </c>
      <c r="H2867" s="371"/>
    </row>
    <row r="2868" spans="1:8" s="673" customFormat="1" ht="33">
      <c r="A2868" s="309">
        <v>173</v>
      </c>
      <c r="B2868" s="271" t="s">
        <v>7621</v>
      </c>
      <c r="C2868" s="309" t="s">
        <v>6874</v>
      </c>
      <c r="D2868" s="309" t="s">
        <v>6875</v>
      </c>
      <c r="E2868" s="290"/>
      <c r="F2868" s="290"/>
      <c r="G2868" s="415">
        <v>1200</v>
      </c>
      <c r="H2868" s="371"/>
    </row>
    <row r="2869" spans="1:8" s="673" customFormat="1" ht="49.5">
      <c r="A2869" s="309">
        <v>174</v>
      </c>
      <c r="B2869" s="271" t="s">
        <v>7622</v>
      </c>
      <c r="C2869" s="309" t="s">
        <v>6874</v>
      </c>
      <c r="D2869" s="309" t="s">
        <v>6875</v>
      </c>
      <c r="E2869" s="290"/>
      <c r="F2869" s="290"/>
      <c r="G2869" s="415">
        <v>165</v>
      </c>
      <c r="H2869" s="371"/>
    </row>
    <row r="2870" spans="1:8" s="673" customFormat="1" ht="49.5">
      <c r="A2870" s="309">
        <v>175</v>
      </c>
      <c r="B2870" s="271" t="s">
        <v>7623</v>
      </c>
      <c r="C2870" s="309" t="s">
        <v>6874</v>
      </c>
      <c r="D2870" s="309" t="s">
        <v>6875</v>
      </c>
      <c r="E2870" s="290"/>
      <c r="F2870" s="290"/>
      <c r="G2870" s="415">
        <v>540</v>
      </c>
      <c r="H2870" s="371"/>
    </row>
    <row r="2871" spans="1:8" s="673" customFormat="1" ht="49.5">
      <c r="A2871" s="309">
        <v>176</v>
      </c>
      <c r="B2871" s="271" t="s">
        <v>7624</v>
      </c>
      <c r="C2871" s="309" t="s">
        <v>6874</v>
      </c>
      <c r="D2871" s="309" t="s">
        <v>6875</v>
      </c>
      <c r="E2871" s="290"/>
      <c r="F2871" s="290"/>
      <c r="G2871" s="415">
        <v>1239</v>
      </c>
      <c r="H2871" s="371"/>
    </row>
    <row r="2872" spans="1:8" s="673" customFormat="1" ht="49.5">
      <c r="A2872" s="309">
        <v>177</v>
      </c>
      <c r="B2872" s="271" t="s">
        <v>7625</v>
      </c>
      <c r="C2872" s="309" t="s">
        <v>6874</v>
      </c>
      <c r="D2872" s="309" t="s">
        <v>6875</v>
      </c>
      <c r="E2872" s="290"/>
      <c r="F2872" s="290"/>
      <c r="G2872" s="415">
        <v>560</v>
      </c>
      <c r="H2872" s="371"/>
    </row>
    <row r="2873" spans="1:8" s="673" customFormat="1" ht="33">
      <c r="A2873" s="309">
        <v>178</v>
      </c>
      <c r="B2873" s="271" t="s">
        <v>7626</v>
      </c>
      <c r="C2873" s="309" t="s">
        <v>6874</v>
      </c>
      <c r="D2873" s="309" t="s">
        <v>6875</v>
      </c>
      <c r="E2873" s="290"/>
      <c r="F2873" s="290"/>
      <c r="G2873" s="415">
        <v>4725</v>
      </c>
      <c r="H2873" s="371"/>
    </row>
    <row r="2874" spans="1:8" s="673" customFormat="1" ht="49.5">
      <c r="A2874" s="309">
        <v>179</v>
      </c>
      <c r="B2874" s="271" t="s">
        <v>7627</v>
      </c>
      <c r="C2874" s="309" t="s">
        <v>6874</v>
      </c>
      <c r="D2874" s="309" t="s">
        <v>6875</v>
      </c>
      <c r="E2874" s="290"/>
      <c r="F2874" s="290"/>
      <c r="G2874" s="415">
        <v>2373</v>
      </c>
      <c r="H2874" s="371"/>
    </row>
    <row r="2875" spans="1:8" s="673" customFormat="1" ht="49.5">
      <c r="A2875" s="309">
        <v>180</v>
      </c>
      <c r="B2875" s="271" t="s">
        <v>7628</v>
      </c>
      <c r="C2875" s="309" t="s">
        <v>6874</v>
      </c>
      <c r="D2875" s="309" t="s">
        <v>6875</v>
      </c>
      <c r="E2875" s="290"/>
      <c r="F2875" s="290"/>
      <c r="G2875" s="415">
        <v>2894</v>
      </c>
      <c r="H2875" s="371"/>
    </row>
    <row r="2876" spans="1:8" s="673" customFormat="1" ht="33">
      <c r="A2876" s="309">
        <v>181</v>
      </c>
      <c r="B2876" s="271" t="s">
        <v>7629</v>
      </c>
      <c r="C2876" s="309" t="s">
        <v>6874</v>
      </c>
      <c r="D2876" s="309" t="s">
        <v>6875</v>
      </c>
      <c r="E2876" s="290"/>
      <c r="F2876" s="290"/>
      <c r="G2876" s="415">
        <v>2250</v>
      </c>
      <c r="H2876" s="371"/>
    </row>
    <row r="2877" spans="1:8" s="673" customFormat="1">
      <c r="A2877" s="309">
        <v>182</v>
      </c>
      <c r="B2877" s="271" t="s">
        <v>7630</v>
      </c>
      <c r="C2877" s="309" t="s">
        <v>6874</v>
      </c>
      <c r="D2877" s="309" t="s">
        <v>6875</v>
      </c>
      <c r="E2877" s="290"/>
      <c r="F2877" s="290"/>
      <c r="G2877" s="415">
        <v>1631</v>
      </c>
      <c r="H2877" s="371"/>
    </row>
    <row r="2878" spans="1:8" s="673" customFormat="1" ht="33">
      <c r="A2878" s="309">
        <v>183</v>
      </c>
      <c r="B2878" s="271" t="s">
        <v>7631</v>
      </c>
      <c r="C2878" s="309" t="s">
        <v>6874</v>
      </c>
      <c r="D2878" s="309" t="s">
        <v>6875</v>
      </c>
      <c r="E2878" s="290"/>
      <c r="F2878" s="290"/>
      <c r="G2878" s="415">
        <v>1404</v>
      </c>
      <c r="H2878" s="371"/>
    </row>
    <row r="2879" spans="1:8" s="673" customFormat="1" ht="33">
      <c r="A2879" s="309">
        <v>184</v>
      </c>
      <c r="B2879" s="271" t="s">
        <v>7632</v>
      </c>
      <c r="C2879" s="309" t="s">
        <v>6874</v>
      </c>
      <c r="D2879" s="309" t="s">
        <v>6875</v>
      </c>
      <c r="E2879" s="290"/>
      <c r="F2879" s="290"/>
      <c r="G2879" s="415">
        <v>1042</v>
      </c>
      <c r="H2879" s="371"/>
    </row>
    <row r="2880" spans="1:8" s="673" customFormat="1">
      <c r="A2880" s="309">
        <v>185</v>
      </c>
      <c r="B2880" s="271" t="s">
        <v>7633</v>
      </c>
      <c r="C2880" s="309" t="s">
        <v>6874</v>
      </c>
      <c r="D2880" s="309" t="s">
        <v>6875</v>
      </c>
      <c r="E2880" s="290"/>
      <c r="F2880" s="290"/>
      <c r="G2880" s="415">
        <v>2759</v>
      </c>
      <c r="H2880" s="371"/>
    </row>
    <row r="2881" spans="1:8" s="673" customFormat="1" ht="33">
      <c r="A2881" s="309">
        <v>186</v>
      </c>
      <c r="B2881" s="271" t="s">
        <v>7634</v>
      </c>
      <c r="C2881" s="309" t="s">
        <v>6874</v>
      </c>
      <c r="D2881" s="309" t="s">
        <v>6875</v>
      </c>
      <c r="E2881" s="290"/>
      <c r="F2881" s="290"/>
      <c r="G2881" s="415">
        <v>600</v>
      </c>
      <c r="H2881" s="371"/>
    </row>
    <row r="2882" spans="1:8" s="673" customFormat="1">
      <c r="A2882" s="309">
        <v>187</v>
      </c>
      <c r="B2882" s="271" t="s">
        <v>7635</v>
      </c>
      <c r="C2882" s="309" t="s">
        <v>6874</v>
      </c>
      <c r="D2882" s="309" t="s">
        <v>6875</v>
      </c>
      <c r="E2882" s="290"/>
      <c r="F2882" s="290"/>
      <c r="G2882" s="415">
        <v>1100</v>
      </c>
      <c r="H2882" s="371"/>
    </row>
    <row r="2883" spans="1:8" s="673" customFormat="1" ht="33">
      <c r="A2883" s="309">
        <v>188</v>
      </c>
      <c r="B2883" s="271" t="s">
        <v>7636</v>
      </c>
      <c r="C2883" s="309" t="s">
        <v>6874</v>
      </c>
      <c r="D2883" s="309" t="s">
        <v>6875</v>
      </c>
      <c r="E2883" s="290"/>
      <c r="F2883" s="290"/>
      <c r="G2883" s="415">
        <v>4187</v>
      </c>
      <c r="H2883" s="371"/>
    </row>
    <row r="2884" spans="1:8" s="673" customFormat="1">
      <c r="A2884" s="309">
        <v>189</v>
      </c>
      <c r="B2884" s="271" t="s">
        <v>7637</v>
      </c>
      <c r="C2884" s="309" t="s">
        <v>6874</v>
      </c>
      <c r="D2884" s="309" t="s">
        <v>6875</v>
      </c>
      <c r="E2884" s="290"/>
      <c r="F2884" s="290"/>
      <c r="G2884" s="415">
        <v>1600</v>
      </c>
      <c r="H2884" s="371"/>
    </row>
    <row r="2885" spans="1:8" s="673" customFormat="1" ht="33">
      <c r="A2885" s="309">
        <v>190</v>
      </c>
      <c r="B2885" s="271" t="s">
        <v>7638</v>
      </c>
      <c r="C2885" s="309" t="s">
        <v>6874</v>
      </c>
      <c r="D2885" s="309" t="s">
        <v>6875</v>
      </c>
      <c r="E2885" s="290"/>
      <c r="F2885" s="290"/>
      <c r="G2885" s="415">
        <v>1022</v>
      </c>
      <c r="H2885" s="371"/>
    </row>
    <row r="2886" spans="1:8" s="673" customFormat="1" ht="33">
      <c r="A2886" s="309">
        <v>191</v>
      </c>
      <c r="B2886" s="271" t="s">
        <v>7639</v>
      </c>
      <c r="C2886" s="309" t="s">
        <v>6874</v>
      </c>
      <c r="D2886" s="309" t="s">
        <v>6875</v>
      </c>
      <c r="E2886" s="290"/>
      <c r="F2886" s="290"/>
      <c r="G2886" s="415">
        <v>1246</v>
      </c>
      <c r="H2886" s="371"/>
    </row>
    <row r="2887" spans="1:8" s="673" customFormat="1">
      <c r="A2887" s="309">
        <v>192</v>
      </c>
      <c r="B2887" s="271" t="s">
        <v>7640</v>
      </c>
      <c r="C2887" s="309" t="s">
        <v>6874</v>
      </c>
      <c r="D2887" s="309" t="s">
        <v>6875</v>
      </c>
      <c r="E2887" s="290"/>
      <c r="F2887" s="290"/>
      <c r="G2887" s="415">
        <v>1545</v>
      </c>
      <c r="H2887" s="371"/>
    </row>
    <row r="2888" spans="1:8" s="673" customFormat="1" ht="33">
      <c r="A2888" s="309">
        <v>193</v>
      </c>
      <c r="B2888" s="271" t="s">
        <v>7641</v>
      </c>
      <c r="C2888" s="309" t="s">
        <v>6874</v>
      </c>
      <c r="D2888" s="309" t="s">
        <v>6875</v>
      </c>
      <c r="E2888" s="290"/>
      <c r="F2888" s="290"/>
      <c r="G2888" s="415">
        <v>950</v>
      </c>
      <c r="H2888" s="371"/>
    </row>
    <row r="2889" spans="1:8" s="673" customFormat="1">
      <c r="A2889" s="309">
        <v>194</v>
      </c>
      <c r="B2889" s="271" t="s">
        <v>7642</v>
      </c>
      <c r="C2889" s="309" t="s">
        <v>6874</v>
      </c>
      <c r="D2889" s="309" t="s">
        <v>6875</v>
      </c>
      <c r="E2889" s="290"/>
      <c r="F2889" s="290"/>
      <c r="G2889" s="415">
        <v>500</v>
      </c>
      <c r="H2889" s="371"/>
    </row>
    <row r="2890" spans="1:8" s="673" customFormat="1">
      <c r="A2890" s="309">
        <v>195</v>
      </c>
      <c r="B2890" s="271" t="s">
        <v>7643</v>
      </c>
      <c r="C2890" s="309" t="s">
        <v>6874</v>
      </c>
      <c r="D2890" s="309" t="s">
        <v>6875</v>
      </c>
      <c r="E2890" s="290"/>
      <c r="F2890" s="290"/>
      <c r="G2890" s="415">
        <v>1000</v>
      </c>
      <c r="H2890" s="371"/>
    </row>
    <row r="2891" spans="1:8" s="673" customFormat="1">
      <c r="A2891" s="309">
        <v>196</v>
      </c>
      <c r="B2891" s="271" t="s">
        <v>7644</v>
      </c>
      <c r="C2891" s="309" t="s">
        <v>6874</v>
      </c>
      <c r="D2891" s="309" t="s">
        <v>6875</v>
      </c>
      <c r="E2891" s="290"/>
      <c r="F2891" s="290"/>
      <c r="G2891" s="415">
        <v>3000</v>
      </c>
      <c r="H2891" s="371"/>
    </row>
    <row r="2892" spans="1:8" s="673" customFormat="1">
      <c r="A2892" s="309">
        <v>197</v>
      </c>
      <c r="B2892" s="271" t="s">
        <v>7645</v>
      </c>
      <c r="C2892" s="309" t="s">
        <v>6874</v>
      </c>
      <c r="D2892" s="309" t="s">
        <v>6875</v>
      </c>
      <c r="E2892" s="290"/>
      <c r="F2892" s="290"/>
      <c r="G2892" s="415">
        <v>800</v>
      </c>
      <c r="H2892" s="371"/>
    </row>
    <row r="2893" spans="1:8" s="673" customFormat="1">
      <c r="A2893" s="309">
        <v>198</v>
      </c>
      <c r="B2893" s="271" t="s">
        <v>7646</v>
      </c>
      <c r="C2893" s="309" t="s">
        <v>6874</v>
      </c>
      <c r="D2893" s="309" t="s">
        <v>6875</v>
      </c>
      <c r="E2893" s="290"/>
      <c r="F2893" s="290"/>
      <c r="G2893" s="415">
        <v>900</v>
      </c>
      <c r="H2893" s="371"/>
    </row>
    <row r="2894" spans="1:8" s="673" customFormat="1">
      <c r="A2894" s="309">
        <v>199</v>
      </c>
      <c r="B2894" s="271" t="s">
        <v>7647</v>
      </c>
      <c r="C2894" s="309" t="s">
        <v>6874</v>
      </c>
      <c r="D2894" s="309" t="s">
        <v>6875</v>
      </c>
      <c r="E2894" s="290"/>
      <c r="F2894" s="290"/>
      <c r="G2894" s="415">
        <v>1200</v>
      </c>
      <c r="H2894" s="371"/>
    </row>
    <row r="2895" spans="1:8" s="673" customFormat="1" ht="33">
      <c r="A2895" s="309">
        <v>200</v>
      </c>
      <c r="B2895" s="271" t="s">
        <v>7648</v>
      </c>
      <c r="C2895" s="309" t="s">
        <v>6874</v>
      </c>
      <c r="D2895" s="309" t="s">
        <v>6875</v>
      </c>
      <c r="E2895" s="290"/>
      <c r="F2895" s="290"/>
      <c r="G2895" s="415">
        <v>710</v>
      </c>
      <c r="H2895" s="371"/>
    </row>
    <row r="2896" spans="1:8" s="673" customFormat="1" ht="33">
      <c r="A2896" s="309">
        <v>201</v>
      </c>
      <c r="B2896" s="271" t="s">
        <v>7649</v>
      </c>
      <c r="C2896" s="309" t="s">
        <v>6874</v>
      </c>
      <c r="D2896" s="309" t="s">
        <v>6875</v>
      </c>
      <c r="E2896" s="290"/>
      <c r="F2896" s="290"/>
      <c r="G2896" s="416">
        <v>432.09999999999997</v>
      </c>
      <c r="H2896" s="371"/>
    </row>
    <row r="2897" spans="1:8" s="673" customFormat="1">
      <c r="A2897" s="309">
        <v>202</v>
      </c>
      <c r="B2897" s="271" t="s">
        <v>7650</v>
      </c>
      <c r="C2897" s="309" t="s">
        <v>6874</v>
      </c>
      <c r="D2897" s="309" t="s">
        <v>6875</v>
      </c>
      <c r="E2897" s="290"/>
      <c r="F2897" s="290"/>
      <c r="G2897" s="416">
        <v>4697</v>
      </c>
      <c r="H2897" s="371"/>
    </row>
    <row r="2898" spans="1:8" s="673" customFormat="1" ht="33">
      <c r="A2898" s="309">
        <v>203</v>
      </c>
      <c r="B2898" s="271" t="s">
        <v>7651</v>
      </c>
      <c r="C2898" s="309" t="s">
        <v>6874</v>
      </c>
      <c r="D2898" s="309" t="s">
        <v>6875</v>
      </c>
      <c r="E2898" s="290"/>
      <c r="F2898" s="290"/>
      <c r="G2898" s="416">
        <v>1200</v>
      </c>
      <c r="H2898" s="371"/>
    </row>
    <row r="2899" spans="1:8" s="673" customFormat="1" ht="33">
      <c r="A2899" s="309">
        <v>204</v>
      </c>
      <c r="B2899" s="271" t="s">
        <v>7652</v>
      </c>
      <c r="C2899" s="309" t="s">
        <v>6874</v>
      </c>
      <c r="D2899" s="309" t="s">
        <v>6875</v>
      </c>
      <c r="E2899" s="290"/>
      <c r="F2899" s="290"/>
      <c r="G2899" s="416">
        <v>1700</v>
      </c>
      <c r="H2899" s="371"/>
    </row>
    <row r="2900" spans="1:8" s="673" customFormat="1" ht="33">
      <c r="A2900" s="309">
        <v>205</v>
      </c>
      <c r="B2900" s="271" t="s">
        <v>7653</v>
      </c>
      <c r="C2900" s="309" t="s">
        <v>6874</v>
      </c>
      <c r="D2900" s="309" t="s">
        <v>6875</v>
      </c>
      <c r="E2900" s="290"/>
      <c r="F2900" s="290"/>
      <c r="G2900" s="416">
        <v>2200</v>
      </c>
      <c r="H2900" s="371"/>
    </row>
    <row r="2901" spans="1:8" s="673" customFormat="1" ht="33">
      <c r="A2901" s="309">
        <v>206</v>
      </c>
      <c r="B2901" s="271" t="s">
        <v>7654</v>
      </c>
      <c r="C2901" s="309" t="s">
        <v>6874</v>
      </c>
      <c r="D2901" s="309" t="s">
        <v>6875</v>
      </c>
      <c r="E2901" s="290"/>
      <c r="F2901" s="290"/>
      <c r="G2901" s="416">
        <v>1800</v>
      </c>
      <c r="H2901" s="371"/>
    </row>
    <row r="2902" spans="1:8" s="673" customFormat="1" ht="49.5">
      <c r="A2902" s="309">
        <v>207</v>
      </c>
      <c r="B2902" s="271" t="s">
        <v>7655</v>
      </c>
      <c r="C2902" s="309" t="s">
        <v>6874</v>
      </c>
      <c r="D2902" s="309" t="s">
        <v>6875</v>
      </c>
      <c r="E2902" s="290"/>
      <c r="F2902" s="290"/>
      <c r="G2902" s="416">
        <v>2200</v>
      </c>
      <c r="H2902" s="371"/>
    </row>
    <row r="2903" spans="1:8" s="673" customFormat="1">
      <c r="A2903" s="309">
        <v>208</v>
      </c>
      <c r="B2903" s="271" t="s">
        <v>7656</v>
      </c>
      <c r="C2903" s="309" t="s">
        <v>6874</v>
      </c>
      <c r="D2903" s="309" t="s">
        <v>6875</v>
      </c>
      <c r="E2903" s="290"/>
      <c r="F2903" s="290"/>
      <c r="G2903" s="416">
        <v>2900</v>
      </c>
      <c r="H2903" s="371"/>
    </row>
    <row r="2904" spans="1:8" s="673" customFormat="1">
      <c r="A2904" s="309">
        <v>209</v>
      </c>
      <c r="B2904" s="271" t="s">
        <v>7657</v>
      </c>
      <c r="C2904" s="309" t="s">
        <v>6874</v>
      </c>
      <c r="D2904" s="309" t="s">
        <v>6875</v>
      </c>
      <c r="E2904" s="290"/>
      <c r="F2904" s="290"/>
      <c r="G2904" s="416">
        <v>1526</v>
      </c>
      <c r="H2904" s="371"/>
    </row>
    <row r="2905" spans="1:8" s="673" customFormat="1" ht="33">
      <c r="A2905" s="309">
        <v>210</v>
      </c>
      <c r="B2905" s="271" t="s">
        <v>7658</v>
      </c>
      <c r="C2905" s="309" t="s">
        <v>6874</v>
      </c>
      <c r="D2905" s="309" t="s">
        <v>6875</v>
      </c>
      <c r="E2905" s="290"/>
      <c r="F2905" s="290"/>
      <c r="G2905" s="416">
        <v>3000</v>
      </c>
      <c r="H2905" s="371"/>
    </row>
    <row r="2906" spans="1:8" s="673" customFormat="1">
      <c r="A2906" s="309">
        <v>211</v>
      </c>
      <c r="B2906" s="271" t="s">
        <v>7659</v>
      </c>
      <c r="C2906" s="309" t="s">
        <v>6874</v>
      </c>
      <c r="D2906" s="309" t="s">
        <v>6875</v>
      </c>
      <c r="E2906" s="290"/>
      <c r="F2906" s="290"/>
      <c r="G2906" s="416">
        <v>5260</v>
      </c>
      <c r="H2906" s="371"/>
    </row>
    <row r="2907" spans="1:8" s="673" customFormat="1" ht="33">
      <c r="A2907" s="309">
        <v>212</v>
      </c>
      <c r="B2907" s="271" t="s">
        <v>7660</v>
      </c>
      <c r="C2907" s="309" t="s">
        <v>6874</v>
      </c>
      <c r="D2907" s="309" t="s">
        <v>6875</v>
      </c>
      <c r="E2907" s="290"/>
      <c r="F2907" s="290"/>
      <c r="G2907" s="416">
        <v>2515</v>
      </c>
      <c r="H2907" s="371"/>
    </row>
    <row r="2908" spans="1:8" s="673" customFormat="1" ht="33">
      <c r="A2908" s="309">
        <v>213</v>
      </c>
      <c r="B2908" s="271" t="s">
        <v>7661</v>
      </c>
      <c r="C2908" s="309" t="s">
        <v>6874</v>
      </c>
      <c r="D2908" s="309" t="s">
        <v>6875</v>
      </c>
      <c r="E2908" s="290"/>
      <c r="F2908" s="290"/>
      <c r="G2908" s="416">
        <v>1374</v>
      </c>
      <c r="H2908" s="371"/>
    </row>
    <row r="2909" spans="1:8" s="673" customFormat="1" ht="33">
      <c r="A2909" s="309">
        <v>214</v>
      </c>
      <c r="B2909" s="271" t="s">
        <v>7662</v>
      </c>
      <c r="C2909" s="309" t="s">
        <v>6874</v>
      </c>
      <c r="D2909" s="309" t="s">
        <v>6875</v>
      </c>
      <c r="E2909" s="290"/>
      <c r="F2909" s="290"/>
      <c r="G2909" s="416">
        <v>1700</v>
      </c>
      <c r="H2909" s="371"/>
    </row>
    <row r="2910" spans="1:8" s="673" customFormat="1" ht="33">
      <c r="A2910" s="309">
        <v>215</v>
      </c>
      <c r="B2910" s="271" t="s">
        <v>7663</v>
      </c>
      <c r="C2910" s="309" t="s">
        <v>6874</v>
      </c>
      <c r="D2910" s="309" t="s">
        <v>6875</v>
      </c>
      <c r="E2910" s="290"/>
      <c r="F2910" s="290"/>
      <c r="G2910" s="416">
        <v>1004.9999999999999</v>
      </c>
      <c r="H2910" s="371"/>
    </row>
    <row r="2911" spans="1:8" s="673" customFormat="1" ht="33">
      <c r="A2911" s="309">
        <v>216</v>
      </c>
      <c r="B2911" s="271" t="s">
        <v>7664</v>
      </c>
      <c r="C2911" s="309" t="s">
        <v>6874</v>
      </c>
      <c r="D2911" s="309" t="s">
        <v>6875</v>
      </c>
      <c r="E2911" s="290"/>
      <c r="F2911" s="290"/>
      <c r="G2911" s="416">
        <v>576</v>
      </c>
      <c r="H2911" s="371"/>
    </row>
    <row r="2912" spans="1:8" s="673" customFormat="1" ht="33">
      <c r="A2912" s="309">
        <v>217</v>
      </c>
      <c r="B2912" s="271" t="s">
        <v>7665</v>
      </c>
      <c r="C2912" s="309" t="s">
        <v>6874</v>
      </c>
      <c r="D2912" s="309" t="s">
        <v>6875</v>
      </c>
      <c r="E2912" s="290"/>
      <c r="F2912" s="290"/>
      <c r="G2912" s="416">
        <v>1066</v>
      </c>
      <c r="H2912" s="371"/>
    </row>
    <row r="2913" spans="1:8" s="673" customFormat="1" ht="33">
      <c r="A2913" s="309">
        <v>218</v>
      </c>
      <c r="B2913" s="271" t="s">
        <v>7666</v>
      </c>
      <c r="C2913" s="309" t="s">
        <v>6874</v>
      </c>
      <c r="D2913" s="309" t="s">
        <v>6875</v>
      </c>
      <c r="E2913" s="290"/>
      <c r="F2913" s="290"/>
      <c r="G2913" s="416">
        <v>770</v>
      </c>
      <c r="H2913" s="371"/>
    </row>
    <row r="2914" spans="1:8" s="673" customFormat="1" ht="33">
      <c r="A2914" s="309">
        <v>219</v>
      </c>
      <c r="B2914" s="271" t="s">
        <v>7667</v>
      </c>
      <c r="C2914" s="309" t="s">
        <v>6874</v>
      </c>
      <c r="D2914" s="309" t="s">
        <v>6875</v>
      </c>
      <c r="E2914" s="290"/>
      <c r="F2914" s="290"/>
      <c r="G2914" s="416">
        <v>830</v>
      </c>
      <c r="H2914" s="371"/>
    </row>
    <row r="2915" spans="1:8" s="673" customFormat="1" ht="33">
      <c r="A2915" s="309">
        <v>220</v>
      </c>
      <c r="B2915" s="271" t="s">
        <v>7668</v>
      </c>
      <c r="C2915" s="309" t="s">
        <v>6874</v>
      </c>
      <c r="D2915" s="309" t="s">
        <v>6875</v>
      </c>
      <c r="E2915" s="290"/>
      <c r="F2915" s="290"/>
      <c r="G2915" s="416">
        <v>1400</v>
      </c>
      <c r="H2915" s="371"/>
    </row>
    <row r="2916" spans="1:8" s="673" customFormat="1" ht="33">
      <c r="A2916" s="309">
        <v>221</v>
      </c>
      <c r="B2916" s="271" t="s">
        <v>7669</v>
      </c>
      <c r="C2916" s="309" t="s">
        <v>6874</v>
      </c>
      <c r="D2916" s="309" t="s">
        <v>6875</v>
      </c>
      <c r="E2916" s="290"/>
      <c r="F2916" s="290"/>
      <c r="G2916" s="416">
        <v>3200</v>
      </c>
      <c r="H2916" s="371"/>
    </row>
    <row r="2917" spans="1:8" s="673" customFormat="1" ht="33">
      <c r="A2917" s="309">
        <v>222</v>
      </c>
      <c r="B2917" s="271" t="s">
        <v>7670</v>
      </c>
      <c r="C2917" s="309" t="s">
        <v>6874</v>
      </c>
      <c r="D2917" s="309" t="s">
        <v>6875</v>
      </c>
      <c r="E2917" s="290"/>
      <c r="F2917" s="290"/>
      <c r="G2917" s="416">
        <v>2000</v>
      </c>
      <c r="H2917" s="371"/>
    </row>
    <row r="2918" spans="1:8" s="673" customFormat="1" ht="33">
      <c r="A2918" s="309">
        <v>223</v>
      </c>
      <c r="B2918" s="271" t="s">
        <v>7671</v>
      </c>
      <c r="C2918" s="309" t="s">
        <v>6874</v>
      </c>
      <c r="D2918" s="309" t="s">
        <v>6875</v>
      </c>
      <c r="E2918" s="290"/>
      <c r="F2918" s="290"/>
      <c r="G2918" s="416">
        <v>777</v>
      </c>
      <c r="H2918" s="371"/>
    </row>
    <row r="2919" spans="1:8" s="673" customFormat="1" ht="33">
      <c r="A2919" s="309">
        <v>224</v>
      </c>
      <c r="B2919" s="271" t="s">
        <v>7672</v>
      </c>
      <c r="C2919" s="309" t="s">
        <v>6874</v>
      </c>
      <c r="D2919" s="309" t="s">
        <v>6875</v>
      </c>
      <c r="E2919" s="290"/>
      <c r="F2919" s="290"/>
      <c r="G2919" s="416">
        <v>700</v>
      </c>
      <c r="H2919" s="371"/>
    </row>
    <row r="2920" spans="1:8" s="673" customFormat="1" ht="33">
      <c r="A2920" s="309">
        <v>225</v>
      </c>
      <c r="B2920" s="271" t="s">
        <v>7673</v>
      </c>
      <c r="C2920" s="309" t="s">
        <v>6874</v>
      </c>
      <c r="D2920" s="309" t="s">
        <v>6875</v>
      </c>
      <c r="E2920" s="290"/>
      <c r="F2920" s="290"/>
      <c r="G2920" s="416">
        <v>2218</v>
      </c>
      <c r="H2920" s="371"/>
    </row>
    <row r="2921" spans="1:8" s="673" customFormat="1" ht="49.5">
      <c r="A2921" s="309">
        <v>226</v>
      </c>
      <c r="B2921" s="271" t="s">
        <v>7674</v>
      </c>
      <c r="C2921" s="309" t="s">
        <v>6874</v>
      </c>
      <c r="D2921" s="309" t="s">
        <v>6875</v>
      </c>
      <c r="E2921" s="290"/>
      <c r="F2921" s="290"/>
      <c r="G2921" s="416">
        <v>1805</v>
      </c>
      <c r="H2921" s="371"/>
    </row>
    <row r="2922" spans="1:8" s="673" customFormat="1" ht="33">
      <c r="A2922" s="309">
        <v>227</v>
      </c>
      <c r="B2922" s="271" t="s">
        <v>7675</v>
      </c>
      <c r="C2922" s="309" t="s">
        <v>6874</v>
      </c>
      <c r="D2922" s="309" t="s">
        <v>6875</v>
      </c>
      <c r="E2922" s="290"/>
      <c r="F2922" s="290"/>
      <c r="G2922" s="416">
        <v>2610</v>
      </c>
      <c r="H2922" s="371"/>
    </row>
    <row r="2923" spans="1:8" s="673" customFormat="1" ht="66">
      <c r="A2923" s="309">
        <v>228</v>
      </c>
      <c r="B2923" s="271" t="s">
        <v>7676</v>
      </c>
      <c r="C2923" s="309" t="s">
        <v>6874</v>
      </c>
      <c r="D2923" s="309" t="s">
        <v>6875</v>
      </c>
      <c r="E2923" s="290"/>
      <c r="F2923" s="290"/>
      <c r="G2923" s="416">
        <v>584</v>
      </c>
      <c r="H2923" s="371"/>
    </row>
    <row r="2924" spans="1:8" s="673" customFormat="1" ht="49.5">
      <c r="A2924" s="309">
        <v>229</v>
      </c>
      <c r="B2924" s="271" t="s">
        <v>7677</v>
      </c>
      <c r="C2924" s="309" t="s">
        <v>6874</v>
      </c>
      <c r="D2924" s="309" t="s">
        <v>6875</v>
      </c>
      <c r="E2924" s="290"/>
      <c r="F2924" s="290"/>
      <c r="G2924" s="416">
        <v>767</v>
      </c>
      <c r="H2924" s="371"/>
    </row>
    <row r="2925" spans="1:8" s="673" customFormat="1" ht="49.5">
      <c r="A2925" s="309">
        <v>230</v>
      </c>
      <c r="B2925" s="271" t="s">
        <v>7678</v>
      </c>
      <c r="C2925" s="309" t="s">
        <v>6874</v>
      </c>
      <c r="D2925" s="309" t="s">
        <v>6875</v>
      </c>
      <c r="E2925" s="290"/>
      <c r="F2925" s="290"/>
      <c r="G2925" s="416">
        <v>1547</v>
      </c>
      <c r="H2925" s="371"/>
    </row>
    <row r="2926" spans="1:8" s="673" customFormat="1" ht="49.5">
      <c r="A2926" s="309">
        <v>231</v>
      </c>
      <c r="B2926" s="271" t="s">
        <v>7679</v>
      </c>
      <c r="C2926" s="309" t="s">
        <v>6874</v>
      </c>
      <c r="D2926" s="309" t="s">
        <v>6875</v>
      </c>
      <c r="E2926" s="290"/>
      <c r="F2926" s="290"/>
      <c r="G2926" s="416">
        <v>462</v>
      </c>
      <c r="H2926" s="371"/>
    </row>
    <row r="2927" spans="1:8" s="673" customFormat="1" ht="49.5">
      <c r="A2927" s="309">
        <v>232</v>
      </c>
      <c r="B2927" s="271" t="s">
        <v>7680</v>
      </c>
      <c r="C2927" s="309" t="s">
        <v>6874</v>
      </c>
      <c r="D2927" s="309" t="s">
        <v>6875</v>
      </c>
      <c r="E2927" s="290"/>
      <c r="F2927" s="290"/>
      <c r="G2927" s="416">
        <v>805</v>
      </c>
      <c r="H2927" s="371"/>
    </row>
    <row r="2928" spans="1:8" s="673" customFormat="1" ht="33">
      <c r="A2928" s="309">
        <v>233</v>
      </c>
      <c r="B2928" s="271" t="s">
        <v>7681</v>
      </c>
      <c r="C2928" s="309" t="s">
        <v>6874</v>
      </c>
      <c r="D2928" s="309" t="s">
        <v>6875</v>
      </c>
      <c r="E2928" s="290"/>
      <c r="F2928" s="290"/>
      <c r="G2928" s="416">
        <v>1249</v>
      </c>
      <c r="H2928" s="371"/>
    </row>
    <row r="2929" spans="1:8" s="673" customFormat="1" ht="49.5">
      <c r="A2929" s="309">
        <v>234</v>
      </c>
      <c r="B2929" s="271" t="s">
        <v>7682</v>
      </c>
      <c r="C2929" s="309" t="s">
        <v>6874</v>
      </c>
      <c r="D2929" s="309" t="s">
        <v>6875</v>
      </c>
      <c r="E2929" s="290"/>
      <c r="F2929" s="290"/>
      <c r="G2929" s="416">
        <v>810</v>
      </c>
      <c r="H2929" s="371"/>
    </row>
    <row r="2930" spans="1:8" s="673" customFormat="1" ht="49.5">
      <c r="A2930" s="309">
        <v>235</v>
      </c>
      <c r="B2930" s="271" t="s">
        <v>7683</v>
      </c>
      <c r="C2930" s="309" t="s">
        <v>6874</v>
      </c>
      <c r="D2930" s="309" t="s">
        <v>6875</v>
      </c>
      <c r="E2930" s="290"/>
      <c r="F2930" s="290"/>
      <c r="G2930" s="416">
        <v>629</v>
      </c>
      <c r="H2930" s="371"/>
    </row>
    <row r="2931" spans="1:8" s="673" customFormat="1" ht="33">
      <c r="A2931" s="309">
        <v>236</v>
      </c>
      <c r="B2931" s="271" t="s">
        <v>7684</v>
      </c>
      <c r="C2931" s="309" t="s">
        <v>6874</v>
      </c>
      <c r="D2931" s="309" t="s">
        <v>6875</v>
      </c>
      <c r="E2931" s="290"/>
      <c r="F2931" s="290"/>
      <c r="G2931" s="416">
        <v>2700</v>
      </c>
      <c r="H2931" s="371"/>
    </row>
    <row r="2932" spans="1:8" s="673" customFormat="1" ht="49.5">
      <c r="A2932" s="309">
        <v>237</v>
      </c>
      <c r="B2932" s="271" t="s">
        <v>7685</v>
      </c>
      <c r="C2932" s="309" t="s">
        <v>6874</v>
      </c>
      <c r="D2932" s="309" t="s">
        <v>6875</v>
      </c>
      <c r="E2932" s="290"/>
      <c r="F2932" s="290"/>
      <c r="G2932" s="416">
        <v>10900</v>
      </c>
      <c r="H2932" s="371"/>
    </row>
    <row r="2933" spans="1:8" s="673" customFormat="1">
      <c r="A2933" s="309">
        <v>238</v>
      </c>
      <c r="B2933" s="271" t="s">
        <v>7686</v>
      </c>
      <c r="C2933" s="309" t="s">
        <v>6874</v>
      </c>
      <c r="D2933" s="309" t="s">
        <v>6875</v>
      </c>
      <c r="E2933" s="290"/>
      <c r="F2933" s="290"/>
      <c r="G2933" s="416">
        <v>700</v>
      </c>
      <c r="H2933" s="371"/>
    </row>
    <row r="2934" spans="1:8" s="673" customFormat="1">
      <c r="A2934" s="309">
        <v>239</v>
      </c>
      <c r="B2934" s="271" t="s">
        <v>7687</v>
      </c>
      <c r="C2934" s="309" t="s">
        <v>6874</v>
      </c>
      <c r="D2934" s="309" t="s">
        <v>6875</v>
      </c>
      <c r="E2934" s="290"/>
      <c r="F2934" s="290"/>
      <c r="G2934" s="416">
        <v>1000</v>
      </c>
      <c r="H2934" s="371"/>
    </row>
    <row r="2935" spans="1:8" s="673" customFormat="1" ht="33">
      <c r="A2935" s="309">
        <v>240</v>
      </c>
      <c r="B2935" s="271" t="s">
        <v>7688</v>
      </c>
      <c r="C2935" s="309" t="s">
        <v>6882</v>
      </c>
      <c r="D2935" s="309" t="s">
        <v>6883</v>
      </c>
      <c r="E2935" s="290"/>
      <c r="F2935" s="290"/>
      <c r="G2935" s="416">
        <v>1200</v>
      </c>
      <c r="H2935" s="371"/>
    </row>
    <row r="2936" spans="1:8" s="673" customFormat="1" ht="33">
      <c r="A2936" s="309">
        <v>241</v>
      </c>
      <c r="B2936" s="271" t="s">
        <v>7689</v>
      </c>
      <c r="C2936" s="309" t="s">
        <v>6882</v>
      </c>
      <c r="D2936" s="309" t="s">
        <v>6883</v>
      </c>
      <c r="E2936" s="290"/>
      <c r="F2936" s="290"/>
      <c r="G2936" s="416">
        <v>1000</v>
      </c>
      <c r="H2936" s="371"/>
    </row>
    <row r="2937" spans="1:8" s="673" customFormat="1">
      <c r="A2937" s="309">
        <v>242</v>
      </c>
      <c r="B2937" s="271" t="s">
        <v>7690</v>
      </c>
      <c r="C2937" s="309" t="s">
        <v>6882</v>
      </c>
      <c r="D2937" s="309" t="s">
        <v>6883</v>
      </c>
      <c r="E2937" s="290"/>
      <c r="F2937" s="290"/>
      <c r="G2937" s="416">
        <v>800</v>
      </c>
      <c r="H2937" s="371"/>
    </row>
    <row r="2938" spans="1:8" s="673" customFormat="1">
      <c r="A2938" s="309">
        <v>243</v>
      </c>
      <c r="B2938" s="271" t="s">
        <v>7691</v>
      </c>
      <c r="C2938" s="309" t="s">
        <v>6882</v>
      </c>
      <c r="D2938" s="309" t="s">
        <v>6883</v>
      </c>
      <c r="E2938" s="290"/>
      <c r="F2938" s="290"/>
      <c r="G2938" s="416">
        <f>(0.958+1)*1000</f>
        <v>1958</v>
      </c>
      <c r="H2938" s="371"/>
    </row>
    <row r="2939" spans="1:8" s="673" customFormat="1">
      <c r="A2939" s="309">
        <v>244</v>
      </c>
      <c r="B2939" s="271" t="s">
        <v>7692</v>
      </c>
      <c r="C2939" s="309" t="s">
        <v>6882</v>
      </c>
      <c r="D2939" s="309" t="s">
        <v>6883</v>
      </c>
      <c r="E2939" s="290"/>
      <c r="F2939" s="290"/>
      <c r="G2939" s="416">
        <v>500</v>
      </c>
      <c r="H2939" s="371"/>
    </row>
    <row r="2940" spans="1:8" s="673" customFormat="1">
      <c r="A2940" s="309">
        <v>245</v>
      </c>
      <c r="B2940" s="271" t="s">
        <v>7693</v>
      </c>
      <c r="C2940" s="309" t="s">
        <v>6882</v>
      </c>
      <c r="D2940" s="309" t="s">
        <v>6883</v>
      </c>
      <c r="E2940" s="290"/>
      <c r="F2940" s="290"/>
      <c r="G2940" s="416">
        <v>1500</v>
      </c>
      <c r="H2940" s="371"/>
    </row>
    <row r="2941" spans="1:8" s="673" customFormat="1" ht="33">
      <c r="A2941" s="309">
        <v>246</v>
      </c>
      <c r="B2941" s="271" t="s">
        <v>7694</v>
      </c>
      <c r="C2941" s="309" t="s">
        <v>6882</v>
      </c>
      <c r="D2941" s="309" t="s">
        <v>6883</v>
      </c>
      <c r="E2941" s="290"/>
      <c r="F2941" s="290"/>
      <c r="G2941" s="416">
        <v>959</v>
      </c>
      <c r="H2941" s="371"/>
    </row>
    <row r="2942" spans="1:8" s="673" customFormat="1">
      <c r="A2942" s="309">
        <v>247</v>
      </c>
      <c r="B2942" s="271" t="s">
        <v>7695</v>
      </c>
      <c r="C2942" s="309" t="s">
        <v>6882</v>
      </c>
      <c r="D2942" s="309" t="s">
        <v>6883</v>
      </c>
      <c r="E2942" s="290"/>
      <c r="F2942" s="290"/>
      <c r="G2942" s="416">
        <v>500</v>
      </c>
      <c r="H2942" s="371"/>
    </row>
    <row r="2943" spans="1:8" s="673" customFormat="1">
      <c r="A2943" s="309">
        <v>248</v>
      </c>
      <c r="B2943" s="271" t="s">
        <v>7696</v>
      </c>
      <c r="C2943" s="309" t="s">
        <v>6882</v>
      </c>
      <c r="D2943" s="309" t="s">
        <v>6883</v>
      </c>
      <c r="E2943" s="290"/>
      <c r="F2943" s="290"/>
      <c r="G2943" s="416">
        <v>2470</v>
      </c>
      <c r="H2943" s="371"/>
    </row>
    <row r="2944" spans="1:8" s="673" customFormat="1" ht="33">
      <c r="A2944" s="309">
        <v>249</v>
      </c>
      <c r="B2944" s="271" t="s">
        <v>7697</v>
      </c>
      <c r="C2944" s="309" t="s">
        <v>6882</v>
      </c>
      <c r="D2944" s="309" t="s">
        <v>6883</v>
      </c>
      <c r="E2944" s="290"/>
      <c r="F2944" s="290"/>
      <c r="G2944" s="416">
        <v>625</v>
      </c>
      <c r="H2944" s="371"/>
    </row>
    <row r="2945" spans="1:8" s="673" customFormat="1" ht="33">
      <c r="A2945" s="309">
        <v>250</v>
      </c>
      <c r="B2945" s="271" t="s">
        <v>7698</v>
      </c>
      <c r="C2945" s="309" t="s">
        <v>6882</v>
      </c>
      <c r="D2945" s="309" t="s">
        <v>6883</v>
      </c>
      <c r="E2945" s="290"/>
      <c r="F2945" s="290"/>
      <c r="G2945" s="416">
        <v>320</v>
      </c>
      <c r="H2945" s="371"/>
    </row>
    <row r="2946" spans="1:8" s="673" customFormat="1" ht="33">
      <c r="A2946" s="309">
        <v>251</v>
      </c>
      <c r="B2946" s="271" t="s">
        <v>7699</v>
      </c>
      <c r="C2946" s="309" t="s">
        <v>6882</v>
      </c>
      <c r="D2946" s="309" t="s">
        <v>6883</v>
      </c>
      <c r="E2946" s="290"/>
      <c r="F2946" s="290"/>
      <c r="G2946" s="416">
        <v>555</v>
      </c>
      <c r="H2946" s="371"/>
    </row>
    <row r="2947" spans="1:8" s="673" customFormat="1">
      <c r="A2947" s="309">
        <v>252</v>
      </c>
      <c r="B2947" s="271" t="s">
        <v>7700</v>
      </c>
      <c r="C2947" s="309" t="s">
        <v>6882</v>
      </c>
      <c r="D2947" s="309" t="s">
        <v>6883</v>
      </c>
      <c r="E2947" s="290"/>
      <c r="F2947" s="290"/>
      <c r="G2947" s="416">
        <v>1000</v>
      </c>
      <c r="H2947" s="371"/>
    </row>
    <row r="2948" spans="1:8" s="673" customFormat="1">
      <c r="A2948" s="309">
        <v>253</v>
      </c>
      <c r="B2948" s="271" t="s">
        <v>7701</v>
      </c>
      <c r="C2948" s="309" t="s">
        <v>6882</v>
      </c>
      <c r="D2948" s="309" t="s">
        <v>6883</v>
      </c>
      <c r="E2948" s="290"/>
      <c r="F2948" s="290"/>
      <c r="G2948" s="416">
        <v>200</v>
      </c>
      <c r="H2948" s="371"/>
    </row>
    <row r="2949" spans="1:8" s="673" customFormat="1">
      <c r="A2949" s="309">
        <v>254</v>
      </c>
      <c r="B2949" s="271" t="s">
        <v>7702</v>
      </c>
      <c r="C2949" s="309" t="s">
        <v>6882</v>
      </c>
      <c r="D2949" s="309" t="s">
        <v>6883</v>
      </c>
      <c r="E2949" s="290"/>
      <c r="F2949" s="290"/>
      <c r="G2949" s="416">
        <v>450</v>
      </c>
      <c r="H2949" s="371"/>
    </row>
    <row r="2950" spans="1:8" s="673" customFormat="1">
      <c r="A2950" s="309">
        <v>255</v>
      </c>
      <c r="B2950" s="271" t="s">
        <v>7703</v>
      </c>
      <c r="C2950" s="309" t="s">
        <v>6882</v>
      </c>
      <c r="D2950" s="309" t="s">
        <v>6883</v>
      </c>
      <c r="E2950" s="290"/>
      <c r="F2950" s="290"/>
      <c r="G2950" s="416">
        <v>400</v>
      </c>
      <c r="H2950" s="371"/>
    </row>
    <row r="2951" spans="1:8" s="673" customFormat="1" ht="33">
      <c r="A2951" s="309">
        <v>256</v>
      </c>
      <c r="B2951" s="271" t="s">
        <v>7704</v>
      </c>
      <c r="C2951" s="309" t="s">
        <v>6882</v>
      </c>
      <c r="D2951" s="309" t="s">
        <v>6883</v>
      </c>
      <c r="E2951" s="290"/>
      <c r="F2951" s="290"/>
      <c r="G2951" s="416">
        <v>1879</v>
      </c>
      <c r="H2951" s="371"/>
    </row>
    <row r="2952" spans="1:8" s="673" customFormat="1" ht="33">
      <c r="A2952" s="309">
        <v>257</v>
      </c>
      <c r="B2952" s="271" t="s">
        <v>7705</v>
      </c>
      <c r="C2952" s="309" t="s">
        <v>6882</v>
      </c>
      <c r="D2952" s="309" t="s">
        <v>6883</v>
      </c>
      <c r="E2952" s="290"/>
      <c r="F2952" s="290"/>
      <c r="G2952" s="416">
        <v>1602</v>
      </c>
      <c r="H2952" s="371"/>
    </row>
    <row r="2953" spans="1:8" s="673" customFormat="1">
      <c r="A2953" s="309">
        <v>258</v>
      </c>
      <c r="B2953" s="271" t="s">
        <v>7706</v>
      </c>
      <c r="C2953" s="309" t="s">
        <v>6882</v>
      </c>
      <c r="D2953" s="309" t="s">
        <v>6883</v>
      </c>
      <c r="E2953" s="290"/>
      <c r="F2953" s="290"/>
      <c r="G2953" s="416">
        <v>1700</v>
      </c>
      <c r="H2953" s="371"/>
    </row>
    <row r="2954" spans="1:8" s="673" customFormat="1" ht="33">
      <c r="A2954" s="309">
        <v>259</v>
      </c>
      <c r="B2954" s="271" t="s">
        <v>7707</v>
      </c>
      <c r="C2954" s="309" t="s">
        <v>6882</v>
      </c>
      <c r="D2954" s="309" t="s">
        <v>6883</v>
      </c>
      <c r="E2954" s="290"/>
      <c r="F2954" s="290"/>
      <c r="G2954" s="416">
        <v>650</v>
      </c>
      <c r="H2954" s="371"/>
    </row>
    <row r="2955" spans="1:8" s="673" customFormat="1" ht="33">
      <c r="A2955" s="309">
        <v>260</v>
      </c>
      <c r="B2955" s="271" t="s">
        <v>7708</v>
      </c>
      <c r="C2955" s="309" t="s">
        <v>6882</v>
      </c>
      <c r="D2955" s="309" t="s">
        <v>6883</v>
      </c>
      <c r="E2955" s="290"/>
      <c r="F2955" s="290"/>
      <c r="G2955" s="416">
        <v>880</v>
      </c>
      <c r="H2955" s="371"/>
    </row>
    <row r="2956" spans="1:8" s="673" customFormat="1">
      <c r="A2956" s="309">
        <v>261</v>
      </c>
      <c r="B2956" s="271" t="s">
        <v>7709</v>
      </c>
      <c r="C2956" s="309" t="s">
        <v>6882</v>
      </c>
      <c r="D2956" s="309" t="s">
        <v>6883</v>
      </c>
      <c r="E2956" s="290"/>
      <c r="F2956" s="290"/>
      <c r="G2956" s="416">
        <v>1400</v>
      </c>
      <c r="H2956" s="371"/>
    </row>
    <row r="2957" spans="1:8" s="673" customFormat="1" ht="33">
      <c r="A2957" s="309">
        <v>262</v>
      </c>
      <c r="B2957" s="271" t="s">
        <v>7710</v>
      </c>
      <c r="C2957" s="309" t="s">
        <v>6882</v>
      </c>
      <c r="D2957" s="309" t="s">
        <v>6883</v>
      </c>
      <c r="E2957" s="290"/>
      <c r="F2957" s="290"/>
      <c r="G2957" s="416">
        <v>1304</v>
      </c>
      <c r="H2957" s="371"/>
    </row>
    <row r="2958" spans="1:8" s="673" customFormat="1" ht="33">
      <c r="A2958" s="309">
        <v>263</v>
      </c>
      <c r="B2958" s="271" t="s">
        <v>7711</v>
      </c>
      <c r="C2958" s="309" t="s">
        <v>6882</v>
      </c>
      <c r="D2958" s="309" t="s">
        <v>6883</v>
      </c>
      <c r="E2958" s="290"/>
      <c r="F2958" s="290"/>
      <c r="G2958" s="416">
        <v>2700</v>
      </c>
      <c r="H2958" s="371"/>
    </row>
    <row r="2959" spans="1:8" s="673" customFormat="1" ht="33">
      <c r="A2959" s="309">
        <v>264</v>
      </c>
      <c r="B2959" s="271" t="s">
        <v>7712</v>
      </c>
      <c r="C2959" s="309" t="s">
        <v>6882</v>
      </c>
      <c r="D2959" s="309" t="s">
        <v>6883</v>
      </c>
      <c r="E2959" s="290"/>
      <c r="F2959" s="290"/>
      <c r="G2959" s="416">
        <v>2300</v>
      </c>
      <c r="H2959" s="371"/>
    </row>
    <row r="2960" spans="1:8" s="673" customFormat="1">
      <c r="A2960" s="309">
        <v>265</v>
      </c>
      <c r="B2960" s="271" t="s">
        <v>7713</v>
      </c>
      <c r="C2960" s="309" t="s">
        <v>6882</v>
      </c>
      <c r="D2960" s="309" t="s">
        <v>6883</v>
      </c>
      <c r="E2960" s="290"/>
      <c r="F2960" s="290"/>
      <c r="G2960" s="416">
        <v>506</v>
      </c>
      <c r="H2960" s="371"/>
    </row>
    <row r="2961" spans="1:8" s="673" customFormat="1" ht="33">
      <c r="A2961" s="309">
        <v>266</v>
      </c>
      <c r="B2961" s="271" t="s">
        <v>7714</v>
      </c>
      <c r="C2961" s="309" t="s">
        <v>6882</v>
      </c>
      <c r="D2961" s="309" t="s">
        <v>6883</v>
      </c>
      <c r="E2961" s="290"/>
      <c r="F2961" s="290"/>
      <c r="G2961" s="416">
        <v>890</v>
      </c>
      <c r="H2961" s="371"/>
    </row>
    <row r="2962" spans="1:8" s="673" customFormat="1" ht="33">
      <c r="A2962" s="309">
        <v>267</v>
      </c>
      <c r="B2962" s="271" t="s">
        <v>7715</v>
      </c>
      <c r="C2962" s="309" t="s">
        <v>6882</v>
      </c>
      <c r="D2962" s="309" t="s">
        <v>6883</v>
      </c>
      <c r="E2962" s="290"/>
      <c r="F2962" s="290"/>
      <c r="G2962" s="416">
        <v>900</v>
      </c>
      <c r="H2962" s="371"/>
    </row>
    <row r="2963" spans="1:8" s="673" customFormat="1" ht="33">
      <c r="A2963" s="309">
        <v>268</v>
      </c>
      <c r="B2963" s="271" t="s">
        <v>7716</v>
      </c>
      <c r="C2963" s="309" t="s">
        <v>6882</v>
      </c>
      <c r="D2963" s="309" t="s">
        <v>6883</v>
      </c>
      <c r="E2963" s="290"/>
      <c r="F2963" s="290"/>
      <c r="G2963" s="416">
        <v>600</v>
      </c>
      <c r="H2963" s="371"/>
    </row>
    <row r="2964" spans="1:8" s="673" customFormat="1" ht="33">
      <c r="A2964" s="309">
        <v>269</v>
      </c>
      <c r="B2964" s="271" t="s">
        <v>7717</v>
      </c>
      <c r="C2964" s="309" t="s">
        <v>6882</v>
      </c>
      <c r="D2964" s="309" t="s">
        <v>6883</v>
      </c>
      <c r="E2964" s="290"/>
      <c r="F2964" s="290"/>
      <c r="G2964" s="416">
        <v>800</v>
      </c>
      <c r="H2964" s="371"/>
    </row>
    <row r="2965" spans="1:8" s="673" customFormat="1" ht="33">
      <c r="A2965" s="309">
        <v>270</v>
      </c>
      <c r="B2965" s="271" t="s">
        <v>7718</v>
      </c>
      <c r="C2965" s="309" t="s">
        <v>6882</v>
      </c>
      <c r="D2965" s="309" t="s">
        <v>6883</v>
      </c>
      <c r="E2965" s="290"/>
      <c r="F2965" s="290"/>
      <c r="G2965" s="416">
        <v>600</v>
      </c>
      <c r="H2965" s="371"/>
    </row>
    <row r="2966" spans="1:8" s="673" customFormat="1" ht="33">
      <c r="A2966" s="309">
        <v>271</v>
      </c>
      <c r="B2966" s="271" t="s">
        <v>7719</v>
      </c>
      <c r="C2966" s="309" t="s">
        <v>6882</v>
      </c>
      <c r="D2966" s="309" t="s">
        <v>6883</v>
      </c>
      <c r="E2966" s="290"/>
      <c r="F2966" s="290"/>
      <c r="G2966" s="416">
        <v>960</v>
      </c>
      <c r="H2966" s="371"/>
    </row>
    <row r="2967" spans="1:8" s="673" customFormat="1">
      <c r="A2967" s="309">
        <v>272</v>
      </c>
      <c r="B2967" s="271" t="s">
        <v>7720</v>
      </c>
      <c r="C2967" s="309" t="s">
        <v>6882</v>
      </c>
      <c r="D2967" s="309" t="s">
        <v>6883</v>
      </c>
      <c r="E2967" s="290"/>
      <c r="F2967" s="290"/>
      <c r="G2967" s="416">
        <v>400</v>
      </c>
      <c r="H2967" s="371"/>
    </row>
    <row r="2968" spans="1:8" s="673" customFormat="1" ht="33">
      <c r="A2968" s="309">
        <v>273</v>
      </c>
      <c r="B2968" s="271" t="s">
        <v>7721</v>
      </c>
      <c r="C2968" s="309" t="s">
        <v>6882</v>
      </c>
      <c r="D2968" s="309" t="s">
        <v>6883</v>
      </c>
      <c r="E2968" s="290"/>
      <c r="F2968" s="290"/>
      <c r="G2968" s="416">
        <v>1500</v>
      </c>
      <c r="H2968" s="371"/>
    </row>
    <row r="2969" spans="1:8" s="673" customFormat="1" ht="33">
      <c r="A2969" s="309">
        <v>274</v>
      </c>
      <c r="B2969" s="271" t="s">
        <v>7722</v>
      </c>
      <c r="C2969" s="309" t="s">
        <v>6882</v>
      </c>
      <c r="D2969" s="309" t="s">
        <v>6883</v>
      </c>
      <c r="E2969" s="290"/>
      <c r="F2969" s="290"/>
      <c r="G2969" s="416">
        <v>969</v>
      </c>
      <c r="H2969" s="371"/>
    </row>
    <row r="2970" spans="1:8" s="673" customFormat="1" ht="33">
      <c r="A2970" s="309">
        <v>275</v>
      </c>
      <c r="B2970" s="271" t="s">
        <v>7723</v>
      </c>
      <c r="C2970" s="309" t="s">
        <v>6882</v>
      </c>
      <c r="D2970" s="309" t="s">
        <v>6883</v>
      </c>
      <c r="E2970" s="290"/>
      <c r="F2970" s="290"/>
      <c r="G2970" s="416">
        <v>1136</v>
      </c>
      <c r="H2970" s="371"/>
    </row>
    <row r="2971" spans="1:8" s="673" customFormat="1" ht="33">
      <c r="A2971" s="309">
        <v>276</v>
      </c>
      <c r="B2971" s="271" t="s">
        <v>7724</v>
      </c>
      <c r="C2971" s="309" t="s">
        <v>6882</v>
      </c>
      <c r="D2971" s="309" t="s">
        <v>6883</v>
      </c>
      <c r="E2971" s="290"/>
      <c r="F2971" s="290"/>
      <c r="G2971" s="416">
        <v>1158</v>
      </c>
      <c r="H2971" s="371"/>
    </row>
    <row r="2972" spans="1:8" s="673" customFormat="1" ht="49.5">
      <c r="A2972" s="309">
        <v>277</v>
      </c>
      <c r="B2972" s="271" t="s">
        <v>7725</v>
      </c>
      <c r="C2972" s="309" t="s">
        <v>6882</v>
      </c>
      <c r="D2972" s="309" t="s">
        <v>6883</v>
      </c>
      <c r="E2972" s="290"/>
      <c r="F2972" s="290"/>
      <c r="G2972" s="416">
        <v>1187</v>
      </c>
      <c r="H2972" s="371"/>
    </row>
    <row r="2973" spans="1:8" s="673" customFormat="1" ht="33">
      <c r="A2973" s="309">
        <v>278</v>
      </c>
      <c r="B2973" s="271" t="s">
        <v>7726</v>
      </c>
      <c r="C2973" s="309" t="s">
        <v>6882</v>
      </c>
      <c r="D2973" s="309" t="s">
        <v>6883</v>
      </c>
      <c r="E2973" s="290"/>
      <c r="F2973" s="290"/>
      <c r="G2973" s="416">
        <v>930</v>
      </c>
      <c r="H2973" s="371"/>
    </row>
    <row r="2974" spans="1:8" s="673" customFormat="1" ht="33">
      <c r="A2974" s="309">
        <v>279</v>
      </c>
      <c r="B2974" s="271" t="s">
        <v>7727</v>
      </c>
      <c r="C2974" s="309" t="s">
        <v>6882</v>
      </c>
      <c r="D2974" s="309" t="s">
        <v>6883</v>
      </c>
      <c r="E2974" s="290"/>
      <c r="F2974" s="290"/>
      <c r="G2974" s="416">
        <v>949</v>
      </c>
      <c r="H2974" s="371"/>
    </row>
    <row r="2975" spans="1:8" s="673" customFormat="1" ht="49.5">
      <c r="A2975" s="309">
        <v>280</v>
      </c>
      <c r="B2975" s="271" t="s">
        <v>7728</v>
      </c>
      <c r="C2975" s="309" t="s">
        <v>6882</v>
      </c>
      <c r="D2975" s="309" t="s">
        <v>6883</v>
      </c>
      <c r="E2975" s="290"/>
      <c r="F2975" s="290"/>
      <c r="G2975" s="416">
        <v>906</v>
      </c>
      <c r="H2975" s="371"/>
    </row>
    <row r="2976" spans="1:8" s="673" customFormat="1" ht="33">
      <c r="A2976" s="309">
        <v>281</v>
      </c>
      <c r="B2976" s="271" t="s">
        <v>7729</v>
      </c>
      <c r="C2976" s="309" t="s">
        <v>6882</v>
      </c>
      <c r="D2976" s="309" t="s">
        <v>6883</v>
      </c>
      <c r="E2976" s="290"/>
      <c r="F2976" s="290"/>
      <c r="G2976" s="416">
        <v>800</v>
      </c>
      <c r="H2976" s="371"/>
    </row>
    <row r="2977" spans="1:8" s="673" customFormat="1" ht="33">
      <c r="A2977" s="309">
        <v>282</v>
      </c>
      <c r="B2977" s="271" t="s">
        <v>7422</v>
      </c>
      <c r="C2977" s="309" t="s">
        <v>7113</v>
      </c>
      <c r="D2977" s="309" t="s">
        <v>7730</v>
      </c>
      <c r="E2977" s="290"/>
      <c r="F2977" s="290"/>
      <c r="G2977" s="416">
        <v>200</v>
      </c>
      <c r="H2977" s="371"/>
    </row>
    <row r="2978" spans="1:8" s="673" customFormat="1" ht="33">
      <c r="A2978" s="309">
        <v>283</v>
      </c>
      <c r="B2978" s="271" t="s">
        <v>7731</v>
      </c>
      <c r="C2978" s="309" t="s">
        <v>7113</v>
      </c>
      <c r="D2978" s="309" t="s">
        <v>7730</v>
      </c>
      <c r="E2978" s="290"/>
      <c r="F2978" s="290"/>
      <c r="G2978" s="416">
        <v>300</v>
      </c>
      <c r="H2978" s="371"/>
    </row>
    <row r="2979" spans="1:8" s="673" customFormat="1" ht="33">
      <c r="A2979" s="309">
        <v>284</v>
      </c>
      <c r="B2979" s="271" t="s">
        <v>7434</v>
      </c>
      <c r="C2979" s="309" t="s">
        <v>7113</v>
      </c>
      <c r="D2979" s="309" t="s">
        <v>7730</v>
      </c>
      <c r="E2979" s="290"/>
      <c r="F2979" s="290"/>
      <c r="G2979" s="416">
        <v>1800</v>
      </c>
      <c r="H2979" s="371"/>
    </row>
    <row r="2980" spans="1:8" s="673" customFormat="1" ht="33">
      <c r="A2980" s="309">
        <v>285</v>
      </c>
      <c r="B2980" s="271" t="s">
        <v>7450</v>
      </c>
      <c r="C2980" s="309" t="s">
        <v>7113</v>
      </c>
      <c r="D2980" s="309" t="s">
        <v>7730</v>
      </c>
      <c r="E2980" s="290"/>
      <c r="F2980" s="290"/>
      <c r="G2980" s="416">
        <v>200</v>
      </c>
      <c r="H2980" s="371"/>
    </row>
    <row r="2981" spans="1:8" s="673" customFormat="1" ht="33">
      <c r="A2981" s="309">
        <v>286</v>
      </c>
      <c r="B2981" s="271" t="s">
        <v>7732</v>
      </c>
      <c r="C2981" s="309" t="s">
        <v>7113</v>
      </c>
      <c r="D2981" s="309" t="s">
        <v>7730</v>
      </c>
      <c r="E2981" s="290"/>
      <c r="F2981" s="290"/>
      <c r="G2981" s="416">
        <v>2000</v>
      </c>
      <c r="H2981" s="371"/>
    </row>
    <row r="2982" spans="1:8" s="673" customFormat="1" ht="33">
      <c r="A2982" s="309">
        <v>287</v>
      </c>
      <c r="B2982" s="271" t="s">
        <v>7733</v>
      </c>
      <c r="C2982" s="309" t="s">
        <v>7113</v>
      </c>
      <c r="D2982" s="309" t="s">
        <v>7730</v>
      </c>
      <c r="E2982" s="290"/>
      <c r="F2982" s="290"/>
      <c r="G2982" s="416">
        <v>1000</v>
      </c>
      <c r="H2982" s="371"/>
    </row>
    <row r="2983" spans="1:8" s="673" customFormat="1" ht="33">
      <c r="A2983" s="309">
        <v>288</v>
      </c>
      <c r="B2983" s="271" t="s">
        <v>7734</v>
      </c>
      <c r="C2983" s="309" t="s">
        <v>7113</v>
      </c>
      <c r="D2983" s="309" t="s">
        <v>7730</v>
      </c>
      <c r="E2983" s="290"/>
      <c r="F2983" s="290"/>
      <c r="G2983" s="416">
        <v>1000</v>
      </c>
      <c r="H2983" s="371"/>
    </row>
    <row r="2984" spans="1:8" s="673" customFormat="1" ht="33">
      <c r="A2984" s="309">
        <v>289</v>
      </c>
      <c r="B2984" s="271" t="s">
        <v>7735</v>
      </c>
      <c r="C2984" s="309" t="s">
        <v>7113</v>
      </c>
      <c r="D2984" s="309" t="s">
        <v>7730</v>
      </c>
      <c r="E2984" s="290"/>
      <c r="F2984" s="290"/>
      <c r="G2984" s="416">
        <v>1000</v>
      </c>
      <c r="H2984" s="371"/>
    </row>
    <row r="2985" spans="1:8" s="673" customFormat="1" ht="33">
      <c r="A2985" s="309">
        <v>290</v>
      </c>
      <c r="B2985" s="271" t="s">
        <v>7736</v>
      </c>
      <c r="C2985" s="309" t="s">
        <v>7113</v>
      </c>
      <c r="D2985" s="309" t="s">
        <v>7730</v>
      </c>
      <c r="E2985" s="290"/>
      <c r="F2985" s="290"/>
      <c r="G2985" s="416">
        <v>800</v>
      </c>
      <c r="H2985" s="371"/>
    </row>
    <row r="2986" spans="1:8" s="673" customFormat="1" ht="33">
      <c r="A2986" s="309">
        <v>291</v>
      </c>
      <c r="B2986" s="271" t="s">
        <v>7737</v>
      </c>
      <c r="C2986" s="309" t="s">
        <v>7113</v>
      </c>
      <c r="D2986" s="309" t="s">
        <v>7730</v>
      </c>
      <c r="E2986" s="290"/>
      <c r="F2986" s="290"/>
      <c r="G2986" s="416">
        <v>394</v>
      </c>
      <c r="H2986" s="371"/>
    </row>
    <row r="2987" spans="1:8" s="673" customFormat="1" ht="33">
      <c r="A2987" s="309">
        <v>292</v>
      </c>
      <c r="B2987" s="271" t="s">
        <v>7738</v>
      </c>
      <c r="C2987" s="309" t="s">
        <v>7113</v>
      </c>
      <c r="D2987" s="309" t="s">
        <v>7730</v>
      </c>
      <c r="E2987" s="290"/>
      <c r="F2987" s="290"/>
      <c r="G2987" s="416">
        <v>293</v>
      </c>
      <c r="H2987" s="371"/>
    </row>
    <row r="2988" spans="1:8" s="673" customFormat="1" ht="33">
      <c r="A2988" s="309">
        <v>293</v>
      </c>
      <c r="B2988" s="271" t="s">
        <v>7739</v>
      </c>
      <c r="C2988" s="309" t="s">
        <v>7113</v>
      </c>
      <c r="D2988" s="309" t="s">
        <v>7730</v>
      </c>
      <c r="E2988" s="290"/>
      <c r="F2988" s="290"/>
      <c r="G2988" s="416">
        <v>500</v>
      </c>
      <c r="H2988" s="371"/>
    </row>
    <row r="2989" spans="1:8" s="673" customFormat="1" ht="33">
      <c r="A2989" s="309">
        <v>294</v>
      </c>
      <c r="B2989" s="271" t="s">
        <v>7740</v>
      </c>
      <c r="C2989" s="309" t="s">
        <v>7113</v>
      </c>
      <c r="D2989" s="309" t="s">
        <v>7730</v>
      </c>
      <c r="E2989" s="290"/>
      <c r="F2989" s="290"/>
      <c r="G2989" s="416">
        <v>1500</v>
      </c>
      <c r="H2989" s="371"/>
    </row>
    <row r="2990" spans="1:8" s="673" customFormat="1" ht="33">
      <c r="A2990" s="309">
        <v>295</v>
      </c>
      <c r="B2990" s="271" t="s">
        <v>7741</v>
      </c>
      <c r="C2990" s="309" t="s">
        <v>7113</v>
      </c>
      <c r="D2990" s="309" t="s">
        <v>7730</v>
      </c>
      <c r="E2990" s="290"/>
      <c r="F2990" s="290"/>
      <c r="G2990" s="416">
        <v>1000</v>
      </c>
      <c r="H2990" s="371"/>
    </row>
    <row r="2991" spans="1:8" s="673" customFormat="1" ht="33">
      <c r="A2991" s="309">
        <v>296</v>
      </c>
      <c r="B2991" s="271" t="s">
        <v>7742</v>
      </c>
      <c r="C2991" s="309" t="s">
        <v>7113</v>
      </c>
      <c r="D2991" s="309" t="s">
        <v>7730</v>
      </c>
      <c r="E2991" s="290"/>
      <c r="F2991" s="290"/>
      <c r="G2991" s="416">
        <v>850</v>
      </c>
      <c r="H2991" s="371"/>
    </row>
    <row r="2992" spans="1:8" s="673" customFormat="1" ht="33">
      <c r="A2992" s="309">
        <v>297</v>
      </c>
      <c r="B2992" s="271" t="s">
        <v>7743</v>
      </c>
      <c r="C2992" s="309" t="s">
        <v>7113</v>
      </c>
      <c r="D2992" s="309" t="s">
        <v>7730</v>
      </c>
      <c r="E2992" s="290"/>
      <c r="F2992" s="290"/>
      <c r="G2992" s="416">
        <v>300</v>
      </c>
      <c r="H2992" s="371"/>
    </row>
    <row r="2993" spans="1:8" s="673" customFormat="1" ht="33">
      <c r="A2993" s="309">
        <v>298</v>
      </c>
      <c r="B2993" s="271" t="s">
        <v>7744</v>
      </c>
      <c r="C2993" s="309" t="s">
        <v>7113</v>
      </c>
      <c r="D2993" s="309" t="s">
        <v>7730</v>
      </c>
      <c r="E2993" s="290"/>
      <c r="F2993" s="290"/>
      <c r="G2993" s="416">
        <v>1000</v>
      </c>
      <c r="H2993" s="371"/>
    </row>
    <row r="2994" spans="1:8" s="673" customFormat="1" ht="33">
      <c r="A2994" s="309">
        <v>299</v>
      </c>
      <c r="B2994" s="271" t="s">
        <v>7745</v>
      </c>
      <c r="C2994" s="309" t="s">
        <v>7113</v>
      </c>
      <c r="D2994" s="309" t="s">
        <v>7730</v>
      </c>
      <c r="E2994" s="290"/>
      <c r="F2994" s="290"/>
      <c r="G2994" s="416">
        <v>1500</v>
      </c>
      <c r="H2994" s="371"/>
    </row>
    <row r="2995" spans="1:8" s="673" customFormat="1" ht="33">
      <c r="A2995" s="309">
        <v>300</v>
      </c>
      <c r="B2995" s="271" t="s">
        <v>7746</v>
      </c>
      <c r="C2995" s="309" t="s">
        <v>7113</v>
      </c>
      <c r="D2995" s="309" t="s">
        <v>7730</v>
      </c>
      <c r="E2995" s="290"/>
      <c r="F2995" s="290"/>
      <c r="G2995" s="416">
        <v>1000</v>
      </c>
      <c r="H2995" s="371"/>
    </row>
    <row r="2996" spans="1:8" s="673" customFormat="1" ht="33">
      <c r="A2996" s="309">
        <v>301</v>
      </c>
      <c r="B2996" s="271" t="s">
        <v>7747</v>
      </c>
      <c r="C2996" s="309" t="s">
        <v>7113</v>
      </c>
      <c r="D2996" s="309" t="s">
        <v>7730</v>
      </c>
      <c r="E2996" s="290"/>
      <c r="F2996" s="290"/>
      <c r="G2996" s="416">
        <v>3000</v>
      </c>
      <c r="H2996" s="371"/>
    </row>
    <row r="2997" spans="1:8" s="673" customFormat="1" ht="33">
      <c r="A2997" s="309">
        <v>302</v>
      </c>
      <c r="B2997" s="271" t="s">
        <v>7748</v>
      </c>
      <c r="C2997" s="309" t="s">
        <v>7113</v>
      </c>
      <c r="D2997" s="309" t="s">
        <v>7730</v>
      </c>
      <c r="E2997" s="290"/>
      <c r="F2997" s="290"/>
      <c r="G2997" s="416">
        <v>1000</v>
      </c>
      <c r="H2997" s="371"/>
    </row>
    <row r="2998" spans="1:8" s="673" customFormat="1" ht="33">
      <c r="A2998" s="309">
        <v>303</v>
      </c>
      <c r="B2998" s="271" t="s">
        <v>7749</v>
      </c>
      <c r="C2998" s="309" t="s">
        <v>7113</v>
      </c>
      <c r="D2998" s="309" t="s">
        <v>7730</v>
      </c>
      <c r="E2998" s="290"/>
      <c r="F2998" s="290"/>
      <c r="G2998" s="416">
        <v>2367</v>
      </c>
      <c r="H2998" s="371"/>
    </row>
    <row r="2999" spans="1:8" s="673" customFormat="1" ht="33">
      <c r="A2999" s="309">
        <v>304</v>
      </c>
      <c r="B2999" s="271" t="s">
        <v>7750</v>
      </c>
      <c r="C2999" s="309" t="s">
        <v>7113</v>
      </c>
      <c r="D2999" s="309" t="s">
        <v>7730</v>
      </c>
      <c r="E2999" s="290"/>
      <c r="F2999" s="290"/>
      <c r="G2999" s="416">
        <v>3000</v>
      </c>
      <c r="H2999" s="371"/>
    </row>
    <row r="3000" spans="1:8" s="673" customFormat="1" ht="33">
      <c r="A3000" s="309">
        <v>305</v>
      </c>
      <c r="B3000" s="271" t="s">
        <v>7751</v>
      </c>
      <c r="C3000" s="309" t="s">
        <v>7113</v>
      </c>
      <c r="D3000" s="309" t="s">
        <v>7730</v>
      </c>
      <c r="E3000" s="290"/>
      <c r="F3000" s="290"/>
      <c r="G3000" s="416">
        <v>730</v>
      </c>
      <c r="H3000" s="371"/>
    </row>
    <row r="3001" spans="1:8" s="673" customFormat="1" ht="33">
      <c r="A3001" s="309">
        <v>306</v>
      </c>
      <c r="B3001" s="271" t="s">
        <v>7752</v>
      </c>
      <c r="C3001" s="309" t="s">
        <v>7113</v>
      </c>
      <c r="D3001" s="309" t="s">
        <v>7730</v>
      </c>
      <c r="E3001" s="290"/>
      <c r="F3001" s="290"/>
      <c r="G3001" s="416">
        <v>800</v>
      </c>
      <c r="H3001" s="371"/>
    </row>
    <row r="3002" spans="1:8" s="673" customFormat="1" ht="33">
      <c r="A3002" s="309">
        <v>307</v>
      </c>
      <c r="B3002" s="271" t="s">
        <v>7753</v>
      </c>
      <c r="C3002" s="309" t="s">
        <v>7113</v>
      </c>
      <c r="D3002" s="309" t="s">
        <v>7730</v>
      </c>
      <c r="E3002" s="290"/>
      <c r="F3002" s="290"/>
      <c r="G3002" s="416">
        <v>586</v>
      </c>
      <c r="H3002" s="371"/>
    </row>
    <row r="3003" spans="1:8" s="673" customFormat="1" ht="33">
      <c r="A3003" s="309">
        <v>308</v>
      </c>
      <c r="B3003" s="271" t="s">
        <v>7754</v>
      </c>
      <c r="C3003" s="309" t="s">
        <v>7113</v>
      </c>
      <c r="D3003" s="309" t="s">
        <v>7730</v>
      </c>
      <c r="E3003" s="290"/>
      <c r="F3003" s="290"/>
      <c r="G3003" s="416">
        <v>350</v>
      </c>
      <c r="H3003" s="371"/>
    </row>
    <row r="3004" spans="1:8" s="673" customFormat="1" ht="33">
      <c r="A3004" s="309">
        <v>309</v>
      </c>
      <c r="B3004" s="271" t="s">
        <v>7755</v>
      </c>
      <c r="C3004" s="309" t="s">
        <v>7113</v>
      </c>
      <c r="D3004" s="309" t="s">
        <v>7730</v>
      </c>
      <c r="E3004" s="290"/>
      <c r="F3004" s="290"/>
      <c r="G3004" s="416">
        <v>521</v>
      </c>
      <c r="H3004" s="371"/>
    </row>
    <row r="3005" spans="1:8" s="673" customFormat="1" ht="33">
      <c r="A3005" s="309">
        <v>310</v>
      </c>
      <c r="B3005" s="271" t="s">
        <v>7756</v>
      </c>
      <c r="C3005" s="309" t="s">
        <v>7113</v>
      </c>
      <c r="D3005" s="309" t="s">
        <v>7730</v>
      </c>
      <c r="E3005" s="290"/>
      <c r="F3005" s="290"/>
      <c r="G3005" s="416">
        <v>1300</v>
      </c>
      <c r="H3005" s="371"/>
    </row>
    <row r="3006" spans="1:8" s="673" customFormat="1" ht="66">
      <c r="A3006" s="309">
        <v>311</v>
      </c>
      <c r="B3006" s="271" t="s">
        <v>7757</v>
      </c>
      <c r="C3006" s="309" t="s">
        <v>7113</v>
      </c>
      <c r="D3006" s="309" t="s">
        <v>7730</v>
      </c>
      <c r="E3006" s="290"/>
      <c r="F3006" s="290"/>
      <c r="G3006" s="416">
        <v>336</v>
      </c>
      <c r="H3006" s="371"/>
    </row>
    <row r="3007" spans="1:8" s="673" customFormat="1" ht="49.5">
      <c r="A3007" s="309">
        <v>312</v>
      </c>
      <c r="B3007" s="271" t="s">
        <v>7758</v>
      </c>
      <c r="C3007" s="309" t="s">
        <v>7113</v>
      </c>
      <c r="D3007" s="309" t="s">
        <v>7730</v>
      </c>
      <c r="E3007" s="290"/>
      <c r="F3007" s="290"/>
      <c r="G3007" s="416">
        <v>406</v>
      </c>
      <c r="H3007" s="371"/>
    </row>
    <row r="3008" spans="1:8" s="673" customFormat="1" ht="49.5">
      <c r="A3008" s="309">
        <v>313</v>
      </c>
      <c r="B3008" s="271" t="s">
        <v>7759</v>
      </c>
      <c r="C3008" s="309" t="s">
        <v>7113</v>
      </c>
      <c r="D3008" s="309" t="s">
        <v>7730</v>
      </c>
      <c r="E3008" s="290"/>
      <c r="F3008" s="290"/>
      <c r="G3008" s="416">
        <v>220</v>
      </c>
      <c r="H3008" s="371"/>
    </row>
    <row r="3009" spans="1:8" s="673" customFormat="1" ht="33">
      <c r="A3009" s="309">
        <v>314</v>
      </c>
      <c r="B3009" s="271" t="s">
        <v>7760</v>
      </c>
      <c r="C3009" s="309" t="s">
        <v>7113</v>
      </c>
      <c r="D3009" s="309" t="s">
        <v>7730</v>
      </c>
      <c r="E3009" s="290"/>
      <c r="F3009" s="290"/>
      <c r="G3009" s="416">
        <v>309</v>
      </c>
      <c r="H3009" s="371"/>
    </row>
    <row r="3010" spans="1:8" s="673" customFormat="1" ht="33">
      <c r="A3010" s="309">
        <v>315</v>
      </c>
      <c r="B3010" s="271" t="s">
        <v>7761</v>
      </c>
      <c r="C3010" s="309" t="s">
        <v>7113</v>
      </c>
      <c r="D3010" s="309" t="s">
        <v>7730</v>
      </c>
      <c r="E3010" s="290"/>
      <c r="F3010" s="290"/>
      <c r="G3010" s="416">
        <v>220</v>
      </c>
      <c r="H3010" s="371"/>
    </row>
    <row r="3011" spans="1:8" s="673" customFormat="1" ht="33">
      <c r="A3011" s="309">
        <v>316</v>
      </c>
      <c r="B3011" s="271" t="s">
        <v>7762</v>
      </c>
      <c r="C3011" s="309" t="s">
        <v>7113</v>
      </c>
      <c r="D3011" s="309" t="s">
        <v>7730</v>
      </c>
      <c r="E3011" s="290"/>
      <c r="F3011" s="290"/>
      <c r="G3011" s="416">
        <v>585</v>
      </c>
      <c r="H3011" s="371"/>
    </row>
    <row r="3012" spans="1:8" s="673" customFormat="1" ht="33">
      <c r="A3012" s="309">
        <v>317</v>
      </c>
      <c r="B3012" s="271" t="s">
        <v>7763</v>
      </c>
      <c r="C3012" s="309" t="s">
        <v>7113</v>
      </c>
      <c r="D3012" s="309" t="s">
        <v>7730</v>
      </c>
      <c r="E3012" s="290"/>
      <c r="F3012" s="290"/>
      <c r="G3012" s="416">
        <v>280</v>
      </c>
      <c r="H3012" s="371"/>
    </row>
    <row r="3013" spans="1:8" s="673" customFormat="1" ht="33">
      <c r="A3013" s="309">
        <v>318</v>
      </c>
      <c r="B3013" s="271" t="s">
        <v>7764</v>
      </c>
      <c r="C3013" s="309" t="s">
        <v>7113</v>
      </c>
      <c r="D3013" s="309" t="s">
        <v>7730</v>
      </c>
      <c r="E3013" s="290"/>
      <c r="F3013" s="290"/>
      <c r="G3013" s="416">
        <v>2368</v>
      </c>
      <c r="H3013" s="371"/>
    </row>
    <row r="3014" spans="1:8" s="673" customFormat="1" ht="33">
      <c r="A3014" s="309">
        <v>319</v>
      </c>
      <c r="B3014" s="271" t="s">
        <v>7765</v>
      </c>
      <c r="C3014" s="309" t="s">
        <v>7113</v>
      </c>
      <c r="D3014" s="309" t="s">
        <v>7730</v>
      </c>
      <c r="E3014" s="290"/>
      <c r="F3014" s="290"/>
      <c r="G3014" s="416">
        <v>389</v>
      </c>
      <c r="H3014" s="371"/>
    </row>
    <row r="3015" spans="1:8" s="673" customFormat="1" ht="33">
      <c r="A3015" s="309">
        <v>320</v>
      </c>
      <c r="B3015" s="271" t="s">
        <v>7766</v>
      </c>
      <c r="C3015" s="309" t="s">
        <v>7113</v>
      </c>
      <c r="D3015" s="309" t="s">
        <v>7730</v>
      </c>
      <c r="E3015" s="290"/>
      <c r="F3015" s="290"/>
      <c r="G3015" s="416">
        <v>1442</v>
      </c>
      <c r="H3015" s="371"/>
    </row>
    <row r="3016" spans="1:8" s="673" customFormat="1" ht="33">
      <c r="A3016" s="309">
        <v>321</v>
      </c>
      <c r="B3016" s="271" t="s">
        <v>7767</v>
      </c>
      <c r="C3016" s="309" t="s">
        <v>7113</v>
      </c>
      <c r="D3016" s="309" t="s">
        <v>7730</v>
      </c>
      <c r="E3016" s="290"/>
      <c r="F3016" s="290"/>
      <c r="G3016" s="416">
        <v>189</v>
      </c>
      <c r="H3016" s="371"/>
    </row>
    <row r="3017" spans="1:8" s="673" customFormat="1" ht="33">
      <c r="A3017" s="309">
        <v>322</v>
      </c>
      <c r="B3017" s="492" t="s">
        <v>7768</v>
      </c>
      <c r="C3017" s="309" t="s">
        <v>7113</v>
      </c>
      <c r="D3017" s="309" t="s">
        <v>7730</v>
      </c>
      <c r="E3017" s="290"/>
      <c r="F3017" s="290"/>
      <c r="G3017" s="416">
        <v>500</v>
      </c>
      <c r="H3017" s="371"/>
    </row>
    <row r="3018" spans="1:8" s="673" customFormat="1" ht="33">
      <c r="A3018" s="309">
        <v>323</v>
      </c>
      <c r="B3018" s="492" t="s">
        <v>7769</v>
      </c>
      <c r="C3018" s="309" t="s">
        <v>7113</v>
      </c>
      <c r="D3018" s="309" t="s">
        <v>7730</v>
      </c>
      <c r="E3018" s="290"/>
      <c r="F3018" s="290"/>
      <c r="G3018" s="416">
        <v>350</v>
      </c>
      <c r="H3018" s="371"/>
    </row>
    <row r="3019" spans="1:8" s="673" customFormat="1" ht="33">
      <c r="A3019" s="309">
        <v>324</v>
      </c>
      <c r="B3019" s="492" t="s">
        <v>7770</v>
      </c>
      <c r="C3019" s="309" t="s">
        <v>7113</v>
      </c>
      <c r="D3019" s="309" t="s">
        <v>7730</v>
      </c>
      <c r="E3019" s="290"/>
      <c r="F3019" s="290"/>
      <c r="G3019" s="416">
        <v>500</v>
      </c>
      <c r="H3019" s="371"/>
    </row>
    <row r="3020" spans="1:8" s="673" customFormat="1" ht="33">
      <c r="A3020" s="309">
        <v>325</v>
      </c>
      <c r="B3020" s="492" t="s">
        <v>7771</v>
      </c>
      <c r="C3020" s="309" t="s">
        <v>7113</v>
      </c>
      <c r="D3020" s="309" t="s">
        <v>7730</v>
      </c>
      <c r="E3020" s="290"/>
      <c r="F3020" s="290"/>
      <c r="G3020" s="416">
        <v>350</v>
      </c>
      <c r="H3020" s="371"/>
    </row>
    <row r="3021" spans="1:8" s="673" customFormat="1" ht="33">
      <c r="A3021" s="309">
        <v>326</v>
      </c>
      <c r="B3021" s="492" t="s">
        <v>7772</v>
      </c>
      <c r="C3021" s="309" t="s">
        <v>7113</v>
      </c>
      <c r="D3021" s="309" t="s">
        <v>7730</v>
      </c>
      <c r="E3021" s="290"/>
      <c r="F3021" s="290"/>
      <c r="G3021" s="416">
        <v>350</v>
      </c>
      <c r="H3021" s="371"/>
    </row>
    <row r="3022" spans="1:8" s="673" customFormat="1" ht="33">
      <c r="A3022" s="309">
        <v>327</v>
      </c>
      <c r="B3022" s="492" t="s">
        <v>7773</v>
      </c>
      <c r="C3022" s="309" t="s">
        <v>7113</v>
      </c>
      <c r="D3022" s="309" t="s">
        <v>7730</v>
      </c>
      <c r="E3022" s="290"/>
      <c r="F3022" s="290"/>
      <c r="G3022" s="416">
        <v>600</v>
      </c>
      <c r="H3022" s="371"/>
    </row>
    <row r="3023" spans="1:8" s="673" customFormat="1" ht="33">
      <c r="A3023" s="309">
        <v>328</v>
      </c>
      <c r="B3023" s="492" t="s">
        <v>7774</v>
      </c>
      <c r="C3023" s="309" t="s">
        <v>7113</v>
      </c>
      <c r="D3023" s="309" t="s">
        <v>7730</v>
      </c>
      <c r="E3023" s="290"/>
      <c r="F3023" s="290"/>
      <c r="G3023" s="416">
        <v>600</v>
      </c>
      <c r="H3023" s="371"/>
    </row>
    <row r="3024" spans="1:8" s="673" customFormat="1" ht="33">
      <c r="A3024" s="309">
        <v>329</v>
      </c>
      <c r="B3024" s="492" t="s">
        <v>7775</v>
      </c>
      <c r="C3024" s="309" t="s">
        <v>7113</v>
      </c>
      <c r="D3024" s="309" t="s">
        <v>7730</v>
      </c>
      <c r="E3024" s="290"/>
      <c r="F3024" s="290"/>
      <c r="G3024" s="416">
        <v>350</v>
      </c>
      <c r="H3024" s="371"/>
    </row>
    <row r="3025" spans="1:8" s="673" customFormat="1" ht="33">
      <c r="A3025" s="309">
        <v>330</v>
      </c>
      <c r="B3025" s="271" t="s">
        <v>7776</v>
      </c>
      <c r="C3025" s="309" t="s">
        <v>7113</v>
      </c>
      <c r="D3025" s="309" t="s">
        <v>7730</v>
      </c>
      <c r="E3025" s="290"/>
      <c r="F3025" s="290"/>
      <c r="G3025" s="416">
        <v>500</v>
      </c>
      <c r="H3025" s="371"/>
    </row>
    <row r="3026" spans="1:8" s="673" customFormat="1" ht="33">
      <c r="A3026" s="309">
        <v>331</v>
      </c>
      <c r="B3026" s="271" t="s">
        <v>7777</v>
      </c>
      <c r="C3026" s="309" t="s">
        <v>7002</v>
      </c>
      <c r="D3026" s="309" t="s">
        <v>7003</v>
      </c>
      <c r="E3026" s="290"/>
      <c r="F3026" s="290"/>
      <c r="G3026" s="416">
        <v>650</v>
      </c>
      <c r="H3026" s="371"/>
    </row>
    <row r="3027" spans="1:8" s="673" customFormat="1" ht="33">
      <c r="A3027" s="309">
        <v>332</v>
      </c>
      <c r="B3027" s="271" t="s">
        <v>7778</v>
      </c>
      <c r="C3027" s="309" t="s">
        <v>7002</v>
      </c>
      <c r="D3027" s="309" t="s">
        <v>7003</v>
      </c>
      <c r="E3027" s="290"/>
      <c r="F3027" s="290"/>
      <c r="G3027" s="416">
        <v>2400</v>
      </c>
      <c r="H3027" s="371"/>
    </row>
    <row r="3028" spans="1:8" s="673" customFormat="1" ht="33">
      <c r="A3028" s="309">
        <v>333</v>
      </c>
      <c r="B3028" s="271" t="s">
        <v>7779</v>
      </c>
      <c r="C3028" s="309" t="s">
        <v>7002</v>
      </c>
      <c r="D3028" s="309" t="s">
        <v>7003</v>
      </c>
      <c r="E3028" s="290"/>
      <c r="F3028" s="290"/>
      <c r="G3028" s="416">
        <v>400</v>
      </c>
      <c r="H3028" s="371"/>
    </row>
    <row r="3029" spans="1:8" s="673" customFormat="1" ht="33">
      <c r="A3029" s="309">
        <v>334</v>
      </c>
      <c r="B3029" s="271" t="s">
        <v>7780</v>
      </c>
      <c r="C3029" s="309" t="s">
        <v>7002</v>
      </c>
      <c r="D3029" s="309" t="s">
        <v>7003</v>
      </c>
      <c r="E3029" s="290"/>
      <c r="F3029" s="290"/>
      <c r="G3029" s="416">
        <v>1200</v>
      </c>
      <c r="H3029" s="371"/>
    </row>
    <row r="3030" spans="1:8" s="673" customFormat="1" ht="33">
      <c r="A3030" s="309">
        <v>335</v>
      </c>
      <c r="B3030" s="271" t="s">
        <v>7781</v>
      </c>
      <c r="C3030" s="309" t="s">
        <v>7002</v>
      </c>
      <c r="D3030" s="309" t="s">
        <v>7003</v>
      </c>
      <c r="E3030" s="290"/>
      <c r="F3030" s="290"/>
      <c r="G3030" s="416">
        <v>500</v>
      </c>
      <c r="H3030" s="371"/>
    </row>
    <row r="3031" spans="1:8" s="673" customFormat="1" ht="33">
      <c r="A3031" s="309">
        <v>336</v>
      </c>
      <c r="B3031" s="271" t="s">
        <v>7782</v>
      </c>
      <c r="C3031" s="309" t="s">
        <v>7002</v>
      </c>
      <c r="D3031" s="309" t="s">
        <v>7003</v>
      </c>
      <c r="E3031" s="290"/>
      <c r="F3031" s="290"/>
      <c r="G3031" s="416">
        <v>500</v>
      </c>
      <c r="H3031" s="371"/>
    </row>
    <row r="3032" spans="1:8" s="673" customFormat="1" ht="33">
      <c r="A3032" s="309">
        <v>337</v>
      </c>
      <c r="B3032" s="271" t="s">
        <v>7783</v>
      </c>
      <c r="C3032" s="309" t="s">
        <v>7002</v>
      </c>
      <c r="D3032" s="309" t="s">
        <v>7003</v>
      </c>
      <c r="E3032" s="290"/>
      <c r="F3032" s="290"/>
      <c r="G3032" s="416">
        <v>500</v>
      </c>
      <c r="H3032" s="371"/>
    </row>
    <row r="3033" spans="1:8" s="673" customFormat="1" ht="33">
      <c r="A3033" s="309">
        <v>338</v>
      </c>
      <c r="B3033" s="271" t="s">
        <v>7784</v>
      </c>
      <c r="C3033" s="309" t="s">
        <v>7002</v>
      </c>
      <c r="D3033" s="309" t="s">
        <v>7003</v>
      </c>
      <c r="E3033" s="290"/>
      <c r="F3033" s="290"/>
      <c r="G3033" s="416">
        <v>400</v>
      </c>
      <c r="H3033" s="371"/>
    </row>
    <row r="3034" spans="1:8" s="673" customFormat="1" ht="33">
      <c r="A3034" s="309">
        <v>339</v>
      </c>
      <c r="B3034" s="271" t="s">
        <v>7785</v>
      </c>
      <c r="C3034" s="309" t="s">
        <v>7002</v>
      </c>
      <c r="D3034" s="309" t="s">
        <v>7003</v>
      </c>
      <c r="E3034" s="290"/>
      <c r="F3034" s="290"/>
      <c r="G3034" s="416">
        <v>5000</v>
      </c>
      <c r="H3034" s="371"/>
    </row>
    <row r="3035" spans="1:8" s="673" customFormat="1" ht="33">
      <c r="A3035" s="309">
        <v>340</v>
      </c>
      <c r="B3035" s="271" t="s">
        <v>7391</v>
      </c>
      <c r="C3035" s="309" t="s">
        <v>7002</v>
      </c>
      <c r="D3035" s="309" t="s">
        <v>7003</v>
      </c>
      <c r="E3035" s="290"/>
      <c r="F3035" s="290"/>
      <c r="G3035" s="416">
        <v>580</v>
      </c>
      <c r="H3035" s="371"/>
    </row>
    <row r="3036" spans="1:8" s="673" customFormat="1" ht="33">
      <c r="A3036" s="309">
        <v>341</v>
      </c>
      <c r="B3036" s="271" t="s">
        <v>7786</v>
      </c>
      <c r="C3036" s="309" t="s">
        <v>7002</v>
      </c>
      <c r="D3036" s="309" t="s">
        <v>7003</v>
      </c>
      <c r="E3036" s="290"/>
      <c r="F3036" s="290"/>
      <c r="G3036" s="416">
        <v>287</v>
      </c>
      <c r="H3036" s="371"/>
    </row>
    <row r="3037" spans="1:8" s="673" customFormat="1" ht="33">
      <c r="A3037" s="309">
        <v>342</v>
      </c>
      <c r="B3037" s="271" t="s">
        <v>7787</v>
      </c>
      <c r="C3037" s="309" t="s">
        <v>7002</v>
      </c>
      <c r="D3037" s="309" t="s">
        <v>7003</v>
      </c>
      <c r="E3037" s="290"/>
      <c r="F3037" s="290"/>
      <c r="G3037" s="416">
        <v>404</v>
      </c>
      <c r="H3037" s="371"/>
    </row>
    <row r="3038" spans="1:8" s="673" customFormat="1" ht="33">
      <c r="A3038" s="309">
        <v>343</v>
      </c>
      <c r="B3038" s="271" t="s">
        <v>7788</v>
      </c>
      <c r="C3038" s="309" t="s">
        <v>7002</v>
      </c>
      <c r="D3038" s="309" t="s">
        <v>7003</v>
      </c>
      <c r="E3038" s="290"/>
      <c r="F3038" s="290"/>
      <c r="G3038" s="416">
        <v>435</v>
      </c>
      <c r="H3038" s="371"/>
    </row>
    <row r="3039" spans="1:8" s="673" customFormat="1" ht="33">
      <c r="A3039" s="309">
        <v>344</v>
      </c>
      <c r="B3039" s="271" t="s">
        <v>7789</v>
      </c>
      <c r="C3039" s="309" t="s">
        <v>7002</v>
      </c>
      <c r="D3039" s="309" t="s">
        <v>7003</v>
      </c>
      <c r="E3039" s="290"/>
      <c r="F3039" s="290"/>
      <c r="G3039" s="416">
        <v>900</v>
      </c>
      <c r="H3039" s="371"/>
    </row>
    <row r="3040" spans="1:8" s="673" customFormat="1" ht="33">
      <c r="A3040" s="309">
        <v>345</v>
      </c>
      <c r="B3040" s="271" t="s">
        <v>7790</v>
      </c>
      <c r="C3040" s="309" t="s">
        <v>7002</v>
      </c>
      <c r="D3040" s="309" t="s">
        <v>7003</v>
      </c>
      <c r="E3040" s="290"/>
      <c r="F3040" s="290"/>
      <c r="G3040" s="416">
        <v>1000</v>
      </c>
      <c r="H3040" s="371"/>
    </row>
    <row r="3041" spans="1:8" s="673" customFormat="1" ht="33">
      <c r="A3041" s="309">
        <v>346</v>
      </c>
      <c r="B3041" s="271" t="s">
        <v>7747</v>
      </c>
      <c r="C3041" s="309" t="s">
        <v>7002</v>
      </c>
      <c r="D3041" s="309" t="s">
        <v>7003</v>
      </c>
      <c r="E3041" s="290"/>
      <c r="F3041" s="290"/>
      <c r="G3041" s="416">
        <v>1800</v>
      </c>
      <c r="H3041" s="371"/>
    </row>
    <row r="3042" spans="1:8" s="673" customFormat="1" ht="33">
      <c r="A3042" s="309">
        <v>347</v>
      </c>
      <c r="B3042" s="271" t="s">
        <v>7791</v>
      </c>
      <c r="C3042" s="309" t="s">
        <v>7002</v>
      </c>
      <c r="D3042" s="309" t="s">
        <v>7003</v>
      </c>
      <c r="E3042" s="290"/>
      <c r="F3042" s="290"/>
      <c r="G3042" s="416">
        <v>800</v>
      </c>
      <c r="H3042" s="371"/>
    </row>
    <row r="3043" spans="1:8" s="673" customFormat="1" ht="33">
      <c r="A3043" s="309">
        <v>348</v>
      </c>
      <c r="B3043" s="271" t="s">
        <v>7743</v>
      </c>
      <c r="C3043" s="309" t="s">
        <v>7002</v>
      </c>
      <c r="D3043" s="309" t="s">
        <v>7003</v>
      </c>
      <c r="E3043" s="290"/>
      <c r="F3043" s="290"/>
      <c r="G3043" s="416">
        <v>1000</v>
      </c>
      <c r="H3043" s="371"/>
    </row>
    <row r="3044" spans="1:8" s="673" customFormat="1" ht="33">
      <c r="A3044" s="309">
        <v>349</v>
      </c>
      <c r="B3044" s="271" t="s">
        <v>7792</v>
      </c>
      <c r="C3044" s="309" t="s">
        <v>7002</v>
      </c>
      <c r="D3044" s="309" t="s">
        <v>7003</v>
      </c>
      <c r="E3044" s="290"/>
      <c r="F3044" s="290"/>
      <c r="G3044" s="416">
        <v>215</v>
      </c>
      <c r="H3044" s="371"/>
    </row>
    <row r="3045" spans="1:8" s="673" customFormat="1" ht="33">
      <c r="A3045" s="309">
        <v>350</v>
      </c>
      <c r="B3045" s="271" t="s">
        <v>7793</v>
      </c>
      <c r="C3045" s="309" t="s">
        <v>7002</v>
      </c>
      <c r="D3045" s="309" t="s">
        <v>7003</v>
      </c>
      <c r="E3045" s="290"/>
      <c r="F3045" s="290"/>
      <c r="G3045" s="416">
        <v>864</v>
      </c>
      <c r="H3045" s="371"/>
    </row>
    <row r="3046" spans="1:8" s="673" customFormat="1" ht="33">
      <c r="A3046" s="309">
        <v>351</v>
      </c>
      <c r="B3046" s="271" t="s">
        <v>7794</v>
      </c>
      <c r="C3046" s="309" t="s">
        <v>7002</v>
      </c>
      <c r="D3046" s="309" t="s">
        <v>7003</v>
      </c>
      <c r="E3046" s="290"/>
      <c r="F3046" s="290"/>
      <c r="G3046" s="416">
        <v>823</v>
      </c>
      <c r="H3046" s="371"/>
    </row>
    <row r="3047" spans="1:8" s="673" customFormat="1" ht="49.5">
      <c r="A3047" s="309">
        <v>352</v>
      </c>
      <c r="B3047" s="271" t="s">
        <v>7795</v>
      </c>
      <c r="C3047" s="309" t="s">
        <v>7002</v>
      </c>
      <c r="D3047" s="309" t="s">
        <v>7003</v>
      </c>
      <c r="E3047" s="290"/>
      <c r="F3047" s="290"/>
      <c r="G3047" s="416">
        <v>216</v>
      </c>
      <c r="H3047" s="371"/>
    </row>
    <row r="3048" spans="1:8" s="673" customFormat="1" ht="19.5">
      <c r="A3048" s="309">
        <v>353</v>
      </c>
      <c r="B3048" s="271" t="s">
        <v>8393</v>
      </c>
      <c r="C3048" s="309" t="s">
        <v>7796</v>
      </c>
      <c r="D3048" s="309" t="s">
        <v>6867</v>
      </c>
      <c r="E3048" s="290"/>
      <c r="F3048" s="290"/>
      <c r="G3048" s="416">
        <v>2500</v>
      </c>
      <c r="H3048" s="371"/>
    </row>
    <row r="3049" spans="1:8" s="673" customFormat="1" ht="19.5">
      <c r="A3049" s="309">
        <v>354</v>
      </c>
      <c r="B3049" s="271" t="s">
        <v>8394</v>
      </c>
      <c r="C3049" s="309" t="s">
        <v>7796</v>
      </c>
      <c r="D3049" s="309" t="s">
        <v>6867</v>
      </c>
      <c r="E3049" s="290"/>
      <c r="F3049" s="290"/>
      <c r="G3049" s="416">
        <v>1500</v>
      </c>
      <c r="H3049" s="371"/>
    </row>
    <row r="3050" spans="1:8" s="673" customFormat="1" ht="19.5">
      <c r="A3050" s="309">
        <v>355</v>
      </c>
      <c r="B3050" s="271" t="s">
        <v>8395</v>
      </c>
      <c r="C3050" s="309" t="s">
        <v>7796</v>
      </c>
      <c r="D3050" s="309" t="s">
        <v>6867</v>
      </c>
      <c r="E3050" s="290"/>
      <c r="F3050" s="290"/>
      <c r="G3050" s="416">
        <v>1500</v>
      </c>
      <c r="H3050" s="371"/>
    </row>
    <row r="3051" spans="1:8" s="673" customFormat="1" ht="19.5">
      <c r="A3051" s="309">
        <v>356</v>
      </c>
      <c r="B3051" s="271" t="s">
        <v>8396</v>
      </c>
      <c r="C3051" s="309" t="s">
        <v>7796</v>
      </c>
      <c r="D3051" s="309" t="s">
        <v>6867</v>
      </c>
      <c r="E3051" s="290"/>
      <c r="F3051" s="290"/>
      <c r="G3051" s="416">
        <v>2000</v>
      </c>
      <c r="H3051" s="371"/>
    </row>
    <row r="3052" spans="1:8" s="673" customFormat="1" ht="19.5">
      <c r="A3052" s="309">
        <v>357</v>
      </c>
      <c r="B3052" s="271" t="s">
        <v>8397</v>
      </c>
      <c r="C3052" s="309" t="s">
        <v>7796</v>
      </c>
      <c r="D3052" s="309" t="s">
        <v>6867</v>
      </c>
      <c r="E3052" s="290"/>
      <c r="F3052" s="290"/>
      <c r="G3052" s="416">
        <v>1000</v>
      </c>
      <c r="H3052" s="371"/>
    </row>
    <row r="3053" spans="1:8" s="673" customFormat="1">
      <c r="A3053" s="309">
        <v>358</v>
      </c>
      <c r="B3053" s="271" t="s">
        <v>7797</v>
      </c>
      <c r="C3053" s="309" t="s">
        <v>7796</v>
      </c>
      <c r="D3053" s="309" t="s">
        <v>6867</v>
      </c>
      <c r="E3053" s="290"/>
      <c r="F3053" s="290"/>
      <c r="G3053" s="416">
        <v>4000</v>
      </c>
      <c r="H3053" s="371"/>
    </row>
    <row r="3054" spans="1:8" s="673" customFormat="1" ht="33">
      <c r="A3054" s="309">
        <v>359</v>
      </c>
      <c r="B3054" s="271" t="s">
        <v>7798</v>
      </c>
      <c r="C3054" s="309" t="s">
        <v>7796</v>
      </c>
      <c r="D3054" s="309" t="s">
        <v>6867</v>
      </c>
      <c r="E3054" s="290"/>
      <c r="F3054" s="290"/>
      <c r="G3054" s="416">
        <v>2421</v>
      </c>
      <c r="H3054" s="371"/>
    </row>
    <row r="3055" spans="1:8" s="673" customFormat="1">
      <c r="A3055" s="309">
        <v>360</v>
      </c>
      <c r="B3055" s="271" t="s">
        <v>7799</v>
      </c>
      <c r="C3055" s="309" t="s">
        <v>7796</v>
      </c>
      <c r="D3055" s="309" t="s">
        <v>6867</v>
      </c>
      <c r="E3055" s="290"/>
      <c r="F3055" s="290"/>
      <c r="G3055" s="416">
        <v>3241</v>
      </c>
      <c r="H3055" s="371"/>
    </row>
    <row r="3056" spans="1:8" s="673" customFormat="1">
      <c r="A3056" s="309">
        <v>361</v>
      </c>
      <c r="B3056" s="271" t="s">
        <v>7800</v>
      </c>
      <c r="C3056" s="309" t="s">
        <v>7796</v>
      </c>
      <c r="D3056" s="309" t="s">
        <v>6867</v>
      </c>
      <c r="E3056" s="290"/>
      <c r="F3056" s="290"/>
      <c r="G3056" s="416">
        <v>1943</v>
      </c>
      <c r="H3056" s="371"/>
    </row>
    <row r="3057" spans="1:8" s="673" customFormat="1">
      <c r="A3057" s="309">
        <v>362</v>
      </c>
      <c r="B3057" s="271" t="s">
        <v>7801</v>
      </c>
      <c r="C3057" s="309" t="s">
        <v>7796</v>
      </c>
      <c r="D3057" s="309" t="s">
        <v>6867</v>
      </c>
      <c r="E3057" s="290"/>
      <c r="F3057" s="290"/>
      <c r="G3057" s="416">
        <v>1911</v>
      </c>
      <c r="H3057" s="371"/>
    </row>
    <row r="3058" spans="1:8" s="673" customFormat="1">
      <c r="A3058" s="309">
        <v>363</v>
      </c>
      <c r="B3058" s="271" t="s">
        <v>7802</v>
      </c>
      <c r="C3058" s="309" t="s">
        <v>7796</v>
      </c>
      <c r="D3058" s="309" t="s">
        <v>6867</v>
      </c>
      <c r="E3058" s="290"/>
      <c r="F3058" s="290"/>
      <c r="G3058" s="416">
        <v>1071</v>
      </c>
      <c r="H3058" s="371"/>
    </row>
    <row r="3059" spans="1:8" s="673" customFormat="1">
      <c r="A3059" s="309">
        <v>364</v>
      </c>
      <c r="B3059" s="271" t="s">
        <v>7803</v>
      </c>
      <c r="C3059" s="309" t="s">
        <v>7796</v>
      </c>
      <c r="D3059" s="309" t="s">
        <v>6867</v>
      </c>
      <c r="E3059" s="290"/>
      <c r="F3059" s="290"/>
      <c r="G3059" s="416">
        <v>766</v>
      </c>
      <c r="H3059" s="371"/>
    </row>
    <row r="3060" spans="1:8" s="673" customFormat="1">
      <c r="A3060" s="309">
        <v>365</v>
      </c>
      <c r="B3060" s="271" t="s">
        <v>7804</v>
      </c>
      <c r="C3060" s="309" t="s">
        <v>7796</v>
      </c>
      <c r="D3060" s="309" t="s">
        <v>6867</v>
      </c>
      <c r="E3060" s="290"/>
      <c r="F3060" s="290"/>
      <c r="G3060" s="416">
        <v>712</v>
      </c>
      <c r="H3060" s="371"/>
    </row>
    <row r="3061" spans="1:8" s="673" customFormat="1" ht="33">
      <c r="A3061" s="309">
        <v>366</v>
      </c>
      <c r="B3061" s="271" t="s">
        <v>7805</v>
      </c>
      <c r="C3061" s="309" t="s">
        <v>7796</v>
      </c>
      <c r="D3061" s="309" t="s">
        <v>6867</v>
      </c>
      <c r="E3061" s="290"/>
      <c r="F3061" s="290"/>
      <c r="G3061" s="416">
        <v>1400</v>
      </c>
      <c r="H3061" s="371"/>
    </row>
    <row r="3062" spans="1:8" s="673" customFormat="1" ht="66">
      <c r="A3062" s="309">
        <v>367</v>
      </c>
      <c r="B3062" s="271" t="s">
        <v>7806</v>
      </c>
      <c r="C3062" s="309" t="s">
        <v>7796</v>
      </c>
      <c r="D3062" s="309" t="s">
        <v>6867</v>
      </c>
      <c r="E3062" s="290"/>
      <c r="F3062" s="290"/>
      <c r="G3062" s="416">
        <v>800</v>
      </c>
      <c r="H3062" s="371"/>
    </row>
    <row r="3063" spans="1:8" s="673" customFormat="1" ht="49.5">
      <c r="A3063" s="309">
        <v>368</v>
      </c>
      <c r="B3063" s="271" t="s">
        <v>7807</v>
      </c>
      <c r="C3063" s="309" t="s">
        <v>7796</v>
      </c>
      <c r="D3063" s="309" t="s">
        <v>6867</v>
      </c>
      <c r="E3063" s="290"/>
      <c r="F3063" s="290"/>
      <c r="G3063" s="416">
        <v>400</v>
      </c>
      <c r="H3063" s="371"/>
    </row>
    <row r="3064" spans="1:8" s="673" customFormat="1" ht="49.5">
      <c r="A3064" s="309">
        <v>369</v>
      </c>
      <c r="B3064" s="271" t="s">
        <v>7808</v>
      </c>
      <c r="C3064" s="309" t="s">
        <v>7796</v>
      </c>
      <c r="D3064" s="309" t="s">
        <v>6867</v>
      </c>
      <c r="E3064" s="290"/>
      <c r="F3064" s="290"/>
      <c r="G3064" s="416">
        <v>200</v>
      </c>
      <c r="H3064" s="371"/>
    </row>
    <row r="3065" spans="1:8" s="673" customFormat="1" ht="49.5">
      <c r="A3065" s="309">
        <v>370</v>
      </c>
      <c r="B3065" s="271" t="s">
        <v>7809</v>
      </c>
      <c r="C3065" s="309" t="s">
        <v>7796</v>
      </c>
      <c r="D3065" s="309" t="s">
        <v>6867</v>
      </c>
      <c r="E3065" s="290"/>
      <c r="F3065" s="290"/>
      <c r="G3065" s="416">
        <v>300</v>
      </c>
      <c r="H3065" s="371"/>
    </row>
    <row r="3066" spans="1:8" s="673" customFormat="1" ht="33">
      <c r="A3066" s="309">
        <v>371</v>
      </c>
      <c r="B3066" s="271" t="s">
        <v>7810</v>
      </c>
      <c r="C3066" s="309" t="s">
        <v>7796</v>
      </c>
      <c r="D3066" s="309" t="s">
        <v>6867</v>
      </c>
      <c r="E3066" s="290"/>
      <c r="F3066" s="290"/>
      <c r="G3066" s="416">
        <v>500</v>
      </c>
      <c r="H3066" s="371"/>
    </row>
    <row r="3067" spans="1:8" s="673" customFormat="1" ht="33">
      <c r="A3067" s="309">
        <v>372</v>
      </c>
      <c r="B3067" s="271" t="s">
        <v>7811</v>
      </c>
      <c r="C3067" s="309" t="s">
        <v>7796</v>
      </c>
      <c r="D3067" s="309" t="s">
        <v>6867</v>
      </c>
      <c r="E3067" s="290"/>
      <c r="F3067" s="290"/>
      <c r="G3067" s="416">
        <v>300</v>
      </c>
      <c r="H3067" s="371"/>
    </row>
    <row r="3068" spans="1:8" s="673" customFormat="1" ht="49.5">
      <c r="A3068" s="309">
        <v>373</v>
      </c>
      <c r="B3068" s="271" t="s">
        <v>7812</v>
      </c>
      <c r="C3068" s="309" t="s">
        <v>7796</v>
      </c>
      <c r="D3068" s="309" t="s">
        <v>6867</v>
      </c>
      <c r="E3068" s="290"/>
      <c r="F3068" s="290"/>
      <c r="G3068" s="416">
        <v>400</v>
      </c>
      <c r="H3068" s="371"/>
    </row>
    <row r="3069" spans="1:8" s="673" customFormat="1" ht="33">
      <c r="A3069" s="309">
        <v>374</v>
      </c>
      <c r="B3069" s="271" t="s">
        <v>7813</v>
      </c>
      <c r="C3069" s="309" t="s">
        <v>7796</v>
      </c>
      <c r="D3069" s="309" t="s">
        <v>6867</v>
      </c>
      <c r="E3069" s="290"/>
      <c r="F3069" s="290"/>
      <c r="G3069" s="416">
        <v>4138</v>
      </c>
      <c r="H3069" s="371"/>
    </row>
    <row r="3070" spans="1:8" s="673" customFormat="1" ht="49.5">
      <c r="A3070" s="309">
        <v>375</v>
      </c>
      <c r="B3070" s="271" t="s">
        <v>7814</v>
      </c>
      <c r="C3070" s="309" t="s">
        <v>7796</v>
      </c>
      <c r="D3070" s="309" t="s">
        <v>6867</v>
      </c>
      <c r="E3070" s="290"/>
      <c r="F3070" s="290"/>
      <c r="G3070" s="416">
        <v>2000</v>
      </c>
      <c r="H3070" s="371"/>
    </row>
    <row r="3071" spans="1:8" s="673" customFormat="1" ht="49.5">
      <c r="A3071" s="309">
        <v>376</v>
      </c>
      <c r="B3071" s="272" t="s">
        <v>7815</v>
      </c>
      <c r="C3071" s="309" t="s">
        <v>5848</v>
      </c>
      <c r="D3071" s="309" t="s">
        <v>7816</v>
      </c>
      <c r="E3071" s="290"/>
      <c r="F3071" s="290"/>
      <c r="G3071" s="416">
        <v>375</v>
      </c>
      <c r="H3071" s="371"/>
    </row>
    <row r="3072" spans="1:8" s="673" customFormat="1" ht="49.5">
      <c r="A3072" s="309">
        <v>377</v>
      </c>
      <c r="B3072" s="272" t="s">
        <v>7817</v>
      </c>
      <c r="C3072" s="309" t="s">
        <v>5848</v>
      </c>
      <c r="D3072" s="309" t="s">
        <v>7816</v>
      </c>
      <c r="E3072" s="290"/>
      <c r="F3072" s="290"/>
      <c r="G3072" s="416">
        <v>490</v>
      </c>
      <c r="H3072" s="371"/>
    </row>
    <row r="3073" spans="1:8" s="673" customFormat="1" ht="49.5">
      <c r="A3073" s="309">
        <v>378</v>
      </c>
      <c r="B3073" s="272" t="s">
        <v>7818</v>
      </c>
      <c r="C3073" s="309" t="s">
        <v>5848</v>
      </c>
      <c r="D3073" s="309" t="s">
        <v>7816</v>
      </c>
      <c r="E3073" s="290"/>
      <c r="F3073" s="290"/>
      <c r="G3073" s="416">
        <v>388</v>
      </c>
      <c r="H3073" s="371"/>
    </row>
    <row r="3074" spans="1:8" s="673" customFormat="1" ht="33">
      <c r="A3074" s="309">
        <v>379</v>
      </c>
      <c r="B3074" s="272" t="s">
        <v>7819</v>
      </c>
      <c r="C3074" s="309" t="s">
        <v>5848</v>
      </c>
      <c r="D3074" s="309" t="s">
        <v>7816</v>
      </c>
      <c r="E3074" s="290"/>
      <c r="F3074" s="290"/>
      <c r="G3074" s="416">
        <v>158</v>
      </c>
      <c r="H3074" s="371"/>
    </row>
    <row r="3075" spans="1:8" s="673" customFormat="1" ht="33">
      <c r="A3075" s="309">
        <v>380</v>
      </c>
      <c r="B3075" s="272" t="s">
        <v>7820</v>
      </c>
      <c r="C3075" s="309" t="s">
        <v>5848</v>
      </c>
      <c r="D3075" s="309" t="s">
        <v>7816</v>
      </c>
      <c r="E3075" s="290"/>
      <c r="F3075" s="290"/>
      <c r="G3075" s="416">
        <v>154</v>
      </c>
      <c r="H3075" s="371"/>
    </row>
    <row r="3076" spans="1:8" s="673" customFormat="1" ht="33">
      <c r="A3076" s="309">
        <v>381</v>
      </c>
      <c r="B3076" s="272" t="s">
        <v>7821</v>
      </c>
      <c r="C3076" s="309" t="s">
        <v>5848</v>
      </c>
      <c r="D3076" s="309" t="s">
        <v>7816</v>
      </c>
      <c r="E3076" s="290"/>
      <c r="F3076" s="290"/>
      <c r="G3076" s="416">
        <v>286</v>
      </c>
      <c r="H3076" s="371"/>
    </row>
    <row r="3077" spans="1:8" s="673" customFormat="1" ht="49.5">
      <c r="A3077" s="309">
        <v>382</v>
      </c>
      <c r="B3077" s="272" t="s">
        <v>7822</v>
      </c>
      <c r="C3077" s="309" t="s">
        <v>5848</v>
      </c>
      <c r="D3077" s="309" t="s">
        <v>7816</v>
      </c>
      <c r="E3077" s="290"/>
      <c r="F3077" s="290"/>
      <c r="G3077" s="416">
        <v>332</v>
      </c>
      <c r="H3077" s="371"/>
    </row>
    <row r="3078" spans="1:8" s="673" customFormat="1" ht="49.5">
      <c r="A3078" s="309">
        <v>383</v>
      </c>
      <c r="B3078" s="272" t="s">
        <v>7823</v>
      </c>
      <c r="C3078" s="309" t="s">
        <v>5848</v>
      </c>
      <c r="D3078" s="309" t="s">
        <v>7816</v>
      </c>
      <c r="E3078" s="290"/>
      <c r="F3078" s="290"/>
      <c r="G3078" s="416">
        <v>54</v>
      </c>
      <c r="H3078" s="371"/>
    </row>
    <row r="3079" spans="1:8" s="673" customFormat="1" ht="49.5">
      <c r="A3079" s="309">
        <v>384</v>
      </c>
      <c r="B3079" s="272" t="s">
        <v>7824</v>
      </c>
      <c r="C3079" s="309" t="s">
        <v>5848</v>
      </c>
      <c r="D3079" s="309" t="s">
        <v>7816</v>
      </c>
      <c r="E3079" s="290"/>
      <c r="F3079" s="290"/>
      <c r="G3079" s="416">
        <v>389</v>
      </c>
      <c r="H3079" s="371"/>
    </row>
    <row r="3080" spans="1:8" s="673" customFormat="1" ht="49.5">
      <c r="A3080" s="309">
        <v>385</v>
      </c>
      <c r="B3080" s="272" t="s">
        <v>7825</v>
      </c>
      <c r="C3080" s="309" t="s">
        <v>5848</v>
      </c>
      <c r="D3080" s="309" t="s">
        <v>7816</v>
      </c>
      <c r="E3080" s="290"/>
      <c r="F3080" s="290"/>
      <c r="G3080" s="416">
        <v>430</v>
      </c>
      <c r="H3080" s="371"/>
    </row>
    <row r="3081" spans="1:8" s="673" customFormat="1" ht="33">
      <c r="A3081" s="309">
        <v>386</v>
      </c>
      <c r="B3081" s="272" t="s">
        <v>7826</v>
      </c>
      <c r="C3081" s="309" t="s">
        <v>5848</v>
      </c>
      <c r="D3081" s="309" t="s">
        <v>7816</v>
      </c>
      <c r="E3081" s="290"/>
      <c r="F3081" s="290"/>
      <c r="G3081" s="416">
        <v>300</v>
      </c>
      <c r="H3081" s="371"/>
    </row>
    <row r="3082" spans="1:8" s="673" customFormat="1" ht="49.5">
      <c r="A3082" s="309">
        <v>387</v>
      </c>
      <c r="B3082" s="272" t="s">
        <v>7827</v>
      </c>
      <c r="C3082" s="309" t="s">
        <v>5848</v>
      </c>
      <c r="D3082" s="309" t="s">
        <v>7816</v>
      </c>
      <c r="E3082" s="290"/>
      <c r="F3082" s="290"/>
      <c r="G3082" s="416">
        <v>618</v>
      </c>
      <c r="H3082" s="371"/>
    </row>
    <row r="3083" spans="1:8" s="673" customFormat="1" ht="33">
      <c r="A3083" s="309">
        <v>388</v>
      </c>
      <c r="B3083" s="272" t="s">
        <v>7828</v>
      </c>
      <c r="C3083" s="309" t="s">
        <v>5848</v>
      </c>
      <c r="D3083" s="309" t="s">
        <v>7816</v>
      </c>
      <c r="E3083" s="290"/>
      <c r="F3083" s="290"/>
      <c r="G3083" s="416">
        <v>910</v>
      </c>
      <c r="H3083" s="371"/>
    </row>
    <row r="3084" spans="1:8" s="673" customFormat="1" ht="33">
      <c r="A3084" s="309">
        <v>389</v>
      </c>
      <c r="B3084" s="272" t="s">
        <v>7829</v>
      </c>
      <c r="C3084" s="309" t="s">
        <v>5848</v>
      </c>
      <c r="D3084" s="309" t="s">
        <v>7816</v>
      </c>
      <c r="E3084" s="290"/>
      <c r="F3084" s="290"/>
      <c r="G3084" s="416">
        <v>1111</v>
      </c>
      <c r="H3084" s="371"/>
    </row>
    <row r="3085" spans="1:8" s="673" customFormat="1" ht="49.5">
      <c r="A3085" s="309">
        <v>390</v>
      </c>
      <c r="B3085" s="272" t="s">
        <v>7830</v>
      </c>
      <c r="C3085" s="309" t="s">
        <v>5848</v>
      </c>
      <c r="D3085" s="309" t="s">
        <v>7816</v>
      </c>
      <c r="E3085" s="290"/>
      <c r="F3085" s="290"/>
      <c r="G3085" s="416">
        <v>902</v>
      </c>
      <c r="H3085" s="371"/>
    </row>
    <row r="3086" spans="1:8" s="673" customFormat="1" ht="49.5">
      <c r="A3086" s="309">
        <v>391</v>
      </c>
      <c r="B3086" s="272" t="s">
        <v>7831</v>
      </c>
      <c r="C3086" s="309" t="s">
        <v>5848</v>
      </c>
      <c r="D3086" s="309" t="s">
        <v>7816</v>
      </c>
      <c r="E3086" s="290"/>
      <c r="F3086" s="290"/>
      <c r="G3086" s="416">
        <v>854</v>
      </c>
      <c r="H3086" s="371"/>
    </row>
    <row r="3087" spans="1:8" s="673" customFormat="1" ht="49.5">
      <c r="A3087" s="309">
        <v>392</v>
      </c>
      <c r="B3087" s="272" t="s">
        <v>7832</v>
      </c>
      <c r="C3087" s="309" t="s">
        <v>5848</v>
      </c>
      <c r="D3087" s="309" t="s">
        <v>7816</v>
      </c>
      <c r="E3087" s="290"/>
      <c r="F3087" s="290"/>
      <c r="G3087" s="416">
        <v>775</v>
      </c>
      <c r="H3087" s="371"/>
    </row>
    <row r="3088" spans="1:8" s="673" customFormat="1" ht="33">
      <c r="A3088" s="309">
        <v>393</v>
      </c>
      <c r="B3088" s="272" t="s">
        <v>7833</v>
      </c>
      <c r="C3088" s="309" t="s">
        <v>5848</v>
      </c>
      <c r="D3088" s="309" t="s">
        <v>7816</v>
      </c>
      <c r="E3088" s="290"/>
      <c r="F3088" s="290"/>
      <c r="G3088" s="416">
        <v>863</v>
      </c>
      <c r="H3088" s="371"/>
    </row>
    <row r="3089" spans="1:8" s="673" customFormat="1" ht="33">
      <c r="A3089" s="309">
        <v>394</v>
      </c>
      <c r="B3089" s="493" t="s">
        <v>7834</v>
      </c>
      <c r="C3089" s="309" t="s">
        <v>5848</v>
      </c>
      <c r="D3089" s="309" t="s">
        <v>7816</v>
      </c>
      <c r="E3089" s="290"/>
      <c r="F3089" s="290"/>
      <c r="G3089" s="416">
        <v>1250.5</v>
      </c>
      <c r="H3089" s="371"/>
    </row>
    <row r="3090" spans="1:8" s="673" customFormat="1">
      <c r="A3090" s="309">
        <v>395</v>
      </c>
      <c r="B3090" s="493" t="s">
        <v>7835</v>
      </c>
      <c r="C3090" s="309" t="s">
        <v>5848</v>
      </c>
      <c r="D3090" s="309" t="s">
        <v>7816</v>
      </c>
      <c r="E3090" s="290"/>
      <c r="F3090" s="290"/>
      <c r="G3090" s="416">
        <v>2331</v>
      </c>
      <c r="H3090" s="371"/>
    </row>
    <row r="3091" spans="1:8" s="673" customFormat="1" ht="33">
      <c r="A3091" s="309">
        <v>396</v>
      </c>
      <c r="B3091" s="493" t="s">
        <v>7836</v>
      </c>
      <c r="C3091" s="309" t="s">
        <v>5848</v>
      </c>
      <c r="D3091" s="309" t="s">
        <v>7816</v>
      </c>
      <c r="E3091" s="290"/>
      <c r="F3091" s="290"/>
      <c r="G3091" s="416">
        <v>2040</v>
      </c>
      <c r="H3091" s="371"/>
    </row>
    <row r="3092" spans="1:8" s="673" customFormat="1" ht="33">
      <c r="A3092" s="309">
        <v>397</v>
      </c>
      <c r="B3092" s="493" t="s">
        <v>7837</v>
      </c>
      <c r="C3092" s="309" t="s">
        <v>5848</v>
      </c>
      <c r="D3092" s="309" t="s">
        <v>7816</v>
      </c>
      <c r="E3092" s="290"/>
      <c r="F3092" s="290"/>
      <c r="G3092" s="416">
        <v>2532</v>
      </c>
      <c r="H3092" s="371"/>
    </row>
    <row r="3093" spans="1:8" s="673" customFormat="1">
      <c r="A3093" s="309">
        <v>398</v>
      </c>
      <c r="B3093" s="493" t="s">
        <v>7838</v>
      </c>
      <c r="C3093" s="309" t="s">
        <v>5848</v>
      </c>
      <c r="D3093" s="309" t="s">
        <v>7816</v>
      </c>
      <c r="E3093" s="290"/>
      <c r="F3093" s="290"/>
      <c r="G3093" s="416">
        <v>409</v>
      </c>
      <c r="H3093" s="371"/>
    </row>
    <row r="3094" spans="1:8" s="673" customFormat="1" ht="33">
      <c r="A3094" s="309">
        <v>399</v>
      </c>
      <c r="B3094" s="493" t="s">
        <v>7839</v>
      </c>
      <c r="C3094" s="309" t="s">
        <v>5848</v>
      </c>
      <c r="D3094" s="309" t="s">
        <v>7816</v>
      </c>
      <c r="E3094" s="290"/>
      <c r="F3094" s="290"/>
      <c r="G3094" s="416">
        <v>502</v>
      </c>
      <c r="H3094" s="371"/>
    </row>
    <row r="3095" spans="1:8" s="673" customFormat="1" ht="33">
      <c r="A3095" s="309">
        <v>400</v>
      </c>
      <c r="B3095" s="493" t="s">
        <v>7840</v>
      </c>
      <c r="C3095" s="309" t="s">
        <v>5848</v>
      </c>
      <c r="D3095" s="309" t="s">
        <v>7816</v>
      </c>
      <c r="E3095" s="290"/>
      <c r="F3095" s="290"/>
      <c r="G3095" s="416">
        <v>226</v>
      </c>
      <c r="H3095" s="371"/>
    </row>
    <row r="3096" spans="1:8" s="673" customFormat="1">
      <c r="A3096" s="309">
        <v>401</v>
      </c>
      <c r="B3096" s="493" t="s">
        <v>7841</v>
      </c>
      <c r="C3096" s="309" t="s">
        <v>5848</v>
      </c>
      <c r="D3096" s="309" t="s">
        <v>7816</v>
      </c>
      <c r="E3096" s="290"/>
      <c r="F3096" s="290"/>
      <c r="G3096" s="416">
        <v>200</v>
      </c>
      <c r="H3096" s="371"/>
    </row>
    <row r="3097" spans="1:8" s="673" customFormat="1" ht="49.5">
      <c r="A3097" s="309">
        <v>402</v>
      </c>
      <c r="B3097" s="271" t="s">
        <v>7842</v>
      </c>
      <c r="C3097" s="309" t="s">
        <v>5848</v>
      </c>
      <c r="D3097" s="309" t="s">
        <v>7816</v>
      </c>
      <c r="E3097" s="290"/>
      <c r="F3097" s="290"/>
      <c r="G3097" s="416">
        <v>1301</v>
      </c>
      <c r="H3097" s="371"/>
    </row>
    <row r="3098" spans="1:8" s="673" customFormat="1" ht="49.5">
      <c r="A3098" s="309">
        <v>403</v>
      </c>
      <c r="B3098" s="271" t="s">
        <v>7843</v>
      </c>
      <c r="C3098" s="309" t="s">
        <v>5848</v>
      </c>
      <c r="D3098" s="309" t="s">
        <v>7816</v>
      </c>
      <c r="E3098" s="290"/>
      <c r="F3098" s="290"/>
      <c r="G3098" s="416">
        <v>980</v>
      </c>
      <c r="H3098" s="371"/>
    </row>
    <row r="3099" spans="1:8" s="673" customFormat="1" ht="49.5">
      <c r="A3099" s="309">
        <v>404</v>
      </c>
      <c r="B3099" s="271" t="s">
        <v>7844</v>
      </c>
      <c r="C3099" s="309" t="s">
        <v>5848</v>
      </c>
      <c r="D3099" s="309" t="s">
        <v>7816</v>
      </c>
      <c r="E3099" s="290"/>
      <c r="F3099" s="290"/>
      <c r="G3099" s="416">
        <v>1042</v>
      </c>
      <c r="H3099" s="371"/>
    </row>
    <row r="3100" spans="1:8" s="673" customFormat="1" ht="33">
      <c r="A3100" s="309">
        <v>405</v>
      </c>
      <c r="B3100" s="271" t="s">
        <v>7845</v>
      </c>
      <c r="C3100" s="309" t="s">
        <v>5848</v>
      </c>
      <c r="D3100" s="309" t="s">
        <v>7816</v>
      </c>
      <c r="E3100" s="290"/>
      <c r="F3100" s="290"/>
      <c r="G3100" s="416">
        <v>820</v>
      </c>
      <c r="H3100" s="371"/>
    </row>
    <row r="3101" spans="1:8" s="673" customFormat="1">
      <c r="A3101" s="309">
        <v>406</v>
      </c>
      <c r="B3101" s="272" t="s">
        <v>7846</v>
      </c>
      <c r="C3101" s="309" t="s">
        <v>5848</v>
      </c>
      <c r="D3101" s="309" t="s">
        <v>7816</v>
      </c>
      <c r="E3101" s="290"/>
      <c r="F3101" s="290"/>
      <c r="G3101" s="416">
        <v>586.70000000000005</v>
      </c>
      <c r="H3101" s="371"/>
    </row>
    <row r="3102" spans="1:8" s="673" customFormat="1">
      <c r="A3102" s="309">
        <v>407</v>
      </c>
      <c r="B3102" s="272" t="s">
        <v>7847</v>
      </c>
      <c r="C3102" s="309" t="s">
        <v>5848</v>
      </c>
      <c r="D3102" s="309" t="s">
        <v>7816</v>
      </c>
      <c r="E3102" s="290"/>
      <c r="F3102" s="290"/>
      <c r="G3102" s="416">
        <v>1487</v>
      </c>
      <c r="H3102" s="371"/>
    </row>
    <row r="3103" spans="1:8" s="673" customFormat="1">
      <c r="A3103" s="309">
        <v>408</v>
      </c>
      <c r="B3103" s="272" t="s">
        <v>7848</v>
      </c>
      <c r="C3103" s="309" t="s">
        <v>5848</v>
      </c>
      <c r="D3103" s="309" t="s">
        <v>7816</v>
      </c>
      <c r="E3103" s="290"/>
      <c r="F3103" s="290"/>
      <c r="G3103" s="416">
        <v>587</v>
      </c>
      <c r="H3103" s="371"/>
    </row>
    <row r="3104" spans="1:8" s="673" customFormat="1">
      <c r="A3104" s="309">
        <v>409</v>
      </c>
      <c r="B3104" s="272" t="s">
        <v>7849</v>
      </c>
      <c r="C3104" s="309" t="s">
        <v>5848</v>
      </c>
      <c r="D3104" s="309" t="s">
        <v>7816</v>
      </c>
      <c r="E3104" s="290"/>
      <c r="F3104" s="290"/>
      <c r="G3104" s="416">
        <v>400</v>
      </c>
      <c r="H3104" s="371"/>
    </row>
    <row r="3105" spans="1:8" s="673" customFormat="1">
      <c r="A3105" s="309">
        <v>410</v>
      </c>
      <c r="B3105" s="272" t="s">
        <v>7850</v>
      </c>
      <c r="C3105" s="309" t="s">
        <v>5848</v>
      </c>
      <c r="D3105" s="309" t="s">
        <v>7816</v>
      </c>
      <c r="E3105" s="290"/>
      <c r="F3105" s="290"/>
      <c r="G3105" s="416">
        <v>800</v>
      </c>
      <c r="H3105" s="371"/>
    </row>
    <row r="3106" spans="1:8" s="673" customFormat="1" ht="33">
      <c r="A3106" s="309">
        <v>411</v>
      </c>
      <c r="B3106" s="272" t="s">
        <v>7851</v>
      </c>
      <c r="C3106" s="309" t="s">
        <v>5848</v>
      </c>
      <c r="D3106" s="309" t="s">
        <v>7816</v>
      </c>
      <c r="E3106" s="290"/>
      <c r="F3106" s="290"/>
      <c r="G3106" s="416">
        <v>438</v>
      </c>
      <c r="H3106" s="371"/>
    </row>
    <row r="3107" spans="1:8" s="673" customFormat="1">
      <c r="A3107" s="309">
        <v>412</v>
      </c>
      <c r="B3107" s="494" t="s">
        <v>7852</v>
      </c>
      <c r="C3107" s="309" t="s">
        <v>5848</v>
      </c>
      <c r="D3107" s="309" t="s">
        <v>7816</v>
      </c>
      <c r="E3107" s="290"/>
      <c r="F3107" s="290"/>
      <c r="G3107" s="416">
        <v>211</v>
      </c>
      <c r="H3107" s="371"/>
    </row>
    <row r="3108" spans="1:8" s="673" customFormat="1">
      <c r="A3108" s="309">
        <v>413</v>
      </c>
      <c r="B3108" s="272" t="s">
        <v>7853</v>
      </c>
      <c r="C3108" s="309" t="s">
        <v>5848</v>
      </c>
      <c r="D3108" s="309" t="s">
        <v>7816</v>
      </c>
      <c r="E3108" s="290"/>
      <c r="F3108" s="290"/>
      <c r="G3108" s="416">
        <v>332</v>
      </c>
      <c r="H3108" s="371"/>
    </row>
    <row r="3109" spans="1:8" s="673" customFormat="1" ht="49.5">
      <c r="A3109" s="309">
        <v>414</v>
      </c>
      <c r="B3109" s="272" t="s">
        <v>7854</v>
      </c>
      <c r="C3109" s="309" t="s">
        <v>5848</v>
      </c>
      <c r="D3109" s="309" t="s">
        <v>7816</v>
      </c>
      <c r="E3109" s="290"/>
      <c r="F3109" s="290"/>
      <c r="G3109" s="416">
        <v>90</v>
      </c>
      <c r="H3109" s="371"/>
    </row>
    <row r="3110" spans="1:8" s="673" customFormat="1" ht="33">
      <c r="A3110" s="309">
        <v>415</v>
      </c>
      <c r="B3110" s="272" t="s">
        <v>7855</v>
      </c>
      <c r="C3110" s="309" t="s">
        <v>5848</v>
      </c>
      <c r="D3110" s="309" t="s">
        <v>7816</v>
      </c>
      <c r="E3110" s="290"/>
      <c r="F3110" s="290"/>
      <c r="G3110" s="416">
        <v>538</v>
      </c>
      <c r="H3110" s="371"/>
    </row>
    <row r="3111" spans="1:8" s="673" customFormat="1" ht="33">
      <c r="A3111" s="309">
        <v>416</v>
      </c>
      <c r="B3111" s="272" t="s">
        <v>7856</v>
      </c>
      <c r="C3111" s="309" t="s">
        <v>5848</v>
      </c>
      <c r="D3111" s="309" t="s">
        <v>7816</v>
      </c>
      <c r="E3111" s="290"/>
      <c r="F3111" s="290"/>
      <c r="G3111" s="416">
        <v>586</v>
      </c>
      <c r="H3111" s="371"/>
    </row>
    <row r="3112" spans="1:8" s="673" customFormat="1" ht="33">
      <c r="A3112" s="309">
        <v>417</v>
      </c>
      <c r="B3112" s="272" t="s">
        <v>7857</v>
      </c>
      <c r="C3112" s="309" t="s">
        <v>5848</v>
      </c>
      <c r="D3112" s="309" t="s">
        <v>7816</v>
      </c>
      <c r="E3112" s="290"/>
      <c r="F3112" s="290"/>
      <c r="G3112" s="416">
        <v>671</v>
      </c>
      <c r="H3112" s="371"/>
    </row>
    <row r="3113" spans="1:8" s="673" customFormat="1" ht="33">
      <c r="A3113" s="309">
        <v>418</v>
      </c>
      <c r="B3113" s="272" t="s">
        <v>7858</v>
      </c>
      <c r="C3113" s="309" t="s">
        <v>5848</v>
      </c>
      <c r="D3113" s="309" t="s">
        <v>7816</v>
      </c>
      <c r="E3113" s="290"/>
      <c r="F3113" s="290"/>
      <c r="G3113" s="416">
        <v>758</v>
      </c>
      <c r="H3113" s="371"/>
    </row>
    <row r="3114" spans="1:8" s="673" customFormat="1" ht="33">
      <c r="A3114" s="309">
        <v>419</v>
      </c>
      <c r="B3114" s="272" t="s">
        <v>7859</v>
      </c>
      <c r="C3114" s="309" t="s">
        <v>5848</v>
      </c>
      <c r="D3114" s="309" t="s">
        <v>7816</v>
      </c>
      <c r="E3114" s="290"/>
      <c r="F3114" s="290"/>
      <c r="G3114" s="416">
        <v>172</v>
      </c>
      <c r="H3114" s="371"/>
    </row>
    <row r="3115" spans="1:8" s="673" customFormat="1" ht="33">
      <c r="A3115" s="309">
        <v>420</v>
      </c>
      <c r="B3115" s="272" t="s">
        <v>7860</v>
      </c>
      <c r="C3115" s="309" t="s">
        <v>5848</v>
      </c>
      <c r="D3115" s="309" t="s">
        <v>7816</v>
      </c>
      <c r="E3115" s="290"/>
      <c r="F3115" s="290"/>
      <c r="G3115" s="416">
        <v>718</v>
      </c>
      <c r="H3115" s="371"/>
    </row>
    <row r="3116" spans="1:8" s="673" customFormat="1" ht="33">
      <c r="A3116" s="309">
        <v>421</v>
      </c>
      <c r="B3116" s="272" t="s">
        <v>7861</v>
      </c>
      <c r="C3116" s="309" t="s">
        <v>5848</v>
      </c>
      <c r="D3116" s="309" t="s">
        <v>7816</v>
      </c>
      <c r="E3116" s="290"/>
      <c r="F3116" s="290"/>
      <c r="G3116" s="416">
        <v>563</v>
      </c>
      <c r="H3116" s="371"/>
    </row>
    <row r="3117" spans="1:8" s="673" customFormat="1" ht="33">
      <c r="A3117" s="309">
        <v>422</v>
      </c>
      <c r="B3117" s="272" t="s">
        <v>7862</v>
      </c>
      <c r="C3117" s="309" t="s">
        <v>5848</v>
      </c>
      <c r="D3117" s="309" t="s">
        <v>7816</v>
      </c>
      <c r="E3117" s="290"/>
      <c r="F3117" s="290"/>
      <c r="G3117" s="416">
        <v>513</v>
      </c>
      <c r="H3117" s="371"/>
    </row>
    <row r="3118" spans="1:8" s="673" customFormat="1" ht="33">
      <c r="A3118" s="309">
        <v>423</v>
      </c>
      <c r="B3118" s="272" t="s">
        <v>7863</v>
      </c>
      <c r="C3118" s="309" t="s">
        <v>5848</v>
      </c>
      <c r="D3118" s="309" t="s">
        <v>7816</v>
      </c>
      <c r="E3118" s="290"/>
      <c r="F3118" s="290"/>
      <c r="G3118" s="416">
        <v>1189</v>
      </c>
      <c r="H3118" s="371"/>
    </row>
    <row r="3119" spans="1:8" s="673" customFormat="1" ht="33">
      <c r="A3119" s="309">
        <v>424</v>
      </c>
      <c r="B3119" s="272" t="s">
        <v>7864</v>
      </c>
      <c r="C3119" s="309" t="s">
        <v>5848</v>
      </c>
      <c r="D3119" s="309" t="s">
        <v>7816</v>
      </c>
      <c r="E3119" s="290"/>
      <c r="F3119" s="290"/>
      <c r="G3119" s="416">
        <v>1429</v>
      </c>
      <c r="H3119" s="371"/>
    </row>
    <row r="3120" spans="1:8" s="673" customFormat="1" ht="33">
      <c r="A3120" s="309">
        <v>425</v>
      </c>
      <c r="B3120" s="272" t="s">
        <v>7865</v>
      </c>
      <c r="C3120" s="309" t="s">
        <v>5848</v>
      </c>
      <c r="D3120" s="309" t="s">
        <v>7816</v>
      </c>
      <c r="E3120" s="290"/>
      <c r="F3120" s="290"/>
      <c r="G3120" s="416">
        <v>1024</v>
      </c>
      <c r="H3120" s="371"/>
    </row>
    <row r="3121" spans="1:8" s="673" customFormat="1" ht="33">
      <c r="A3121" s="309">
        <v>426</v>
      </c>
      <c r="B3121" s="272" t="s">
        <v>7866</v>
      </c>
      <c r="C3121" s="309" t="s">
        <v>5848</v>
      </c>
      <c r="D3121" s="309" t="s">
        <v>7816</v>
      </c>
      <c r="E3121" s="290"/>
      <c r="F3121" s="290"/>
      <c r="G3121" s="416">
        <v>1478</v>
      </c>
      <c r="H3121" s="371"/>
    </row>
    <row r="3122" spans="1:8" s="673" customFormat="1" ht="33">
      <c r="A3122" s="309">
        <v>427</v>
      </c>
      <c r="B3122" s="272" t="s">
        <v>7867</v>
      </c>
      <c r="C3122" s="309" t="s">
        <v>5848</v>
      </c>
      <c r="D3122" s="309" t="s">
        <v>7816</v>
      </c>
      <c r="E3122" s="290"/>
      <c r="F3122" s="290"/>
      <c r="G3122" s="416">
        <v>1501</v>
      </c>
      <c r="H3122" s="371"/>
    </row>
    <row r="3123" spans="1:8" s="673" customFormat="1" ht="33">
      <c r="A3123" s="309">
        <v>428</v>
      </c>
      <c r="B3123" s="272" t="s">
        <v>7868</v>
      </c>
      <c r="C3123" s="309" t="s">
        <v>5848</v>
      </c>
      <c r="D3123" s="309" t="s">
        <v>7816</v>
      </c>
      <c r="E3123" s="290"/>
      <c r="F3123" s="290"/>
      <c r="G3123" s="416">
        <v>912</v>
      </c>
      <c r="H3123" s="371"/>
    </row>
    <row r="3124" spans="1:8" s="673" customFormat="1" ht="33">
      <c r="A3124" s="309">
        <v>429</v>
      </c>
      <c r="B3124" s="272" t="s">
        <v>7869</v>
      </c>
      <c r="C3124" s="309" t="s">
        <v>5848</v>
      </c>
      <c r="D3124" s="309" t="s">
        <v>7816</v>
      </c>
      <c r="E3124" s="290"/>
      <c r="F3124" s="290"/>
      <c r="G3124" s="416">
        <v>1260</v>
      </c>
      <c r="H3124" s="371"/>
    </row>
    <row r="3125" spans="1:8" s="673" customFormat="1" ht="33">
      <c r="A3125" s="309">
        <v>430</v>
      </c>
      <c r="B3125" s="272" t="s">
        <v>7870</v>
      </c>
      <c r="C3125" s="309" t="s">
        <v>5848</v>
      </c>
      <c r="D3125" s="309" t="s">
        <v>7816</v>
      </c>
      <c r="E3125" s="290"/>
      <c r="F3125" s="290"/>
      <c r="G3125" s="416">
        <v>1260</v>
      </c>
      <c r="H3125" s="371"/>
    </row>
    <row r="3126" spans="1:8" s="673" customFormat="1" ht="33">
      <c r="A3126" s="309">
        <v>431</v>
      </c>
      <c r="B3126" s="272" t="s">
        <v>7871</v>
      </c>
      <c r="C3126" s="309" t="s">
        <v>5848</v>
      </c>
      <c r="D3126" s="309" t="s">
        <v>7816</v>
      </c>
      <c r="E3126" s="290"/>
      <c r="F3126" s="290"/>
      <c r="G3126" s="416">
        <v>1758</v>
      </c>
      <c r="H3126" s="371"/>
    </row>
    <row r="3127" spans="1:8" s="673" customFormat="1" ht="33">
      <c r="A3127" s="309">
        <v>432</v>
      </c>
      <c r="B3127" s="272" t="s">
        <v>7872</v>
      </c>
      <c r="C3127" s="309" t="s">
        <v>5848</v>
      </c>
      <c r="D3127" s="309" t="s">
        <v>7816</v>
      </c>
      <c r="E3127" s="290"/>
      <c r="F3127" s="290"/>
      <c r="G3127" s="416">
        <v>716</v>
      </c>
      <c r="H3127" s="371"/>
    </row>
    <row r="3128" spans="1:8" s="673" customFormat="1" ht="33">
      <c r="A3128" s="309">
        <v>433</v>
      </c>
      <c r="B3128" s="272" t="s">
        <v>7873</v>
      </c>
      <c r="C3128" s="309" t="s">
        <v>5848</v>
      </c>
      <c r="D3128" s="309" t="s">
        <v>7816</v>
      </c>
      <c r="E3128" s="290"/>
      <c r="F3128" s="290"/>
      <c r="G3128" s="416">
        <v>1953</v>
      </c>
      <c r="H3128" s="371"/>
    </row>
    <row r="3129" spans="1:8" s="673" customFormat="1" ht="33">
      <c r="A3129" s="309">
        <v>434</v>
      </c>
      <c r="B3129" s="272" t="s">
        <v>7874</v>
      </c>
      <c r="C3129" s="309" t="s">
        <v>5848</v>
      </c>
      <c r="D3129" s="309" t="s">
        <v>7816</v>
      </c>
      <c r="E3129" s="290"/>
      <c r="F3129" s="290"/>
      <c r="G3129" s="416">
        <v>765</v>
      </c>
      <c r="H3129" s="371"/>
    </row>
    <row r="3130" spans="1:8" s="673" customFormat="1" ht="33">
      <c r="A3130" s="309">
        <v>435</v>
      </c>
      <c r="B3130" s="272" t="s">
        <v>7875</v>
      </c>
      <c r="C3130" s="309" t="s">
        <v>5848</v>
      </c>
      <c r="D3130" s="309" t="s">
        <v>7816</v>
      </c>
      <c r="E3130" s="290"/>
      <c r="F3130" s="290"/>
      <c r="G3130" s="416">
        <v>756</v>
      </c>
      <c r="H3130" s="371"/>
    </row>
    <row r="3131" spans="1:8" s="673" customFormat="1" ht="49.5">
      <c r="A3131" s="309">
        <v>436</v>
      </c>
      <c r="B3131" s="272" t="s">
        <v>7876</v>
      </c>
      <c r="C3131" s="309" t="s">
        <v>5848</v>
      </c>
      <c r="D3131" s="309" t="s">
        <v>7816</v>
      </c>
      <c r="E3131" s="290"/>
      <c r="F3131" s="290"/>
      <c r="G3131" s="416">
        <v>325</v>
      </c>
      <c r="H3131" s="371"/>
    </row>
    <row r="3132" spans="1:8" s="673" customFormat="1" ht="33">
      <c r="A3132" s="309">
        <v>437</v>
      </c>
      <c r="B3132" s="272" t="s">
        <v>7877</v>
      </c>
      <c r="C3132" s="309" t="s">
        <v>5848</v>
      </c>
      <c r="D3132" s="309" t="s">
        <v>7816</v>
      </c>
      <c r="E3132" s="290"/>
      <c r="F3132" s="290"/>
      <c r="G3132" s="416">
        <v>995</v>
      </c>
      <c r="H3132" s="371"/>
    </row>
    <row r="3133" spans="1:8" s="673" customFormat="1" ht="33">
      <c r="A3133" s="309">
        <v>438</v>
      </c>
      <c r="B3133" s="272" t="s">
        <v>7878</v>
      </c>
      <c r="C3133" s="309" t="s">
        <v>5848</v>
      </c>
      <c r="D3133" s="309" t="s">
        <v>7816</v>
      </c>
      <c r="E3133" s="290"/>
      <c r="F3133" s="290"/>
      <c r="G3133" s="416">
        <v>1467</v>
      </c>
      <c r="H3133" s="371"/>
    </row>
    <row r="3134" spans="1:8" s="673" customFormat="1" ht="33">
      <c r="A3134" s="309">
        <v>439</v>
      </c>
      <c r="B3134" s="272" t="s">
        <v>7879</v>
      </c>
      <c r="C3134" s="309" t="s">
        <v>5848</v>
      </c>
      <c r="D3134" s="309" t="s">
        <v>7816</v>
      </c>
      <c r="E3134" s="290"/>
      <c r="F3134" s="290"/>
      <c r="G3134" s="416">
        <v>1590</v>
      </c>
      <c r="H3134" s="371"/>
    </row>
    <row r="3135" spans="1:8" s="673" customFormat="1" ht="33">
      <c r="A3135" s="309">
        <v>440</v>
      </c>
      <c r="B3135" s="272" t="s">
        <v>7880</v>
      </c>
      <c r="C3135" s="309" t="s">
        <v>5848</v>
      </c>
      <c r="D3135" s="309" t="s">
        <v>7816</v>
      </c>
      <c r="E3135" s="290"/>
      <c r="F3135" s="290"/>
      <c r="G3135" s="416">
        <v>337</v>
      </c>
      <c r="H3135" s="371"/>
    </row>
    <row r="3136" spans="1:8" s="673" customFormat="1" ht="33">
      <c r="A3136" s="309">
        <v>441</v>
      </c>
      <c r="B3136" s="272" t="s">
        <v>7881</v>
      </c>
      <c r="C3136" s="309" t="s">
        <v>5848</v>
      </c>
      <c r="D3136" s="309" t="s">
        <v>7816</v>
      </c>
      <c r="E3136" s="290"/>
      <c r="F3136" s="290"/>
      <c r="G3136" s="416">
        <v>323</v>
      </c>
      <c r="H3136" s="371"/>
    </row>
    <row r="3137" spans="1:8" s="673" customFormat="1" ht="33">
      <c r="A3137" s="309">
        <v>442</v>
      </c>
      <c r="B3137" s="272" t="s">
        <v>7882</v>
      </c>
      <c r="C3137" s="309" t="s">
        <v>5848</v>
      </c>
      <c r="D3137" s="309" t="s">
        <v>7816</v>
      </c>
      <c r="E3137" s="290"/>
      <c r="F3137" s="290"/>
      <c r="G3137" s="416">
        <v>409</v>
      </c>
      <c r="H3137" s="371"/>
    </row>
    <row r="3138" spans="1:8" s="673" customFormat="1" ht="33">
      <c r="A3138" s="309">
        <v>443</v>
      </c>
      <c r="B3138" s="272" t="s">
        <v>7883</v>
      </c>
      <c r="C3138" s="309" t="s">
        <v>5848</v>
      </c>
      <c r="D3138" s="309" t="s">
        <v>7816</v>
      </c>
      <c r="E3138" s="290"/>
      <c r="F3138" s="290"/>
      <c r="G3138" s="416">
        <v>295</v>
      </c>
      <c r="H3138" s="371"/>
    </row>
    <row r="3139" spans="1:8" s="673" customFormat="1">
      <c r="A3139" s="309">
        <v>444</v>
      </c>
      <c r="B3139" s="272" t="s">
        <v>7884</v>
      </c>
      <c r="C3139" s="309" t="s">
        <v>5848</v>
      </c>
      <c r="D3139" s="309" t="s">
        <v>7816</v>
      </c>
      <c r="E3139" s="290"/>
      <c r="F3139" s="290"/>
      <c r="G3139" s="416">
        <v>182</v>
      </c>
      <c r="H3139" s="371"/>
    </row>
    <row r="3140" spans="1:8" s="673" customFormat="1">
      <c r="A3140" s="309">
        <v>445</v>
      </c>
      <c r="B3140" s="272" t="s">
        <v>7885</v>
      </c>
      <c r="C3140" s="309" t="s">
        <v>5848</v>
      </c>
      <c r="D3140" s="309" t="s">
        <v>7816</v>
      </c>
      <c r="E3140" s="290"/>
      <c r="F3140" s="290"/>
      <c r="G3140" s="416">
        <v>279</v>
      </c>
      <c r="H3140" s="371"/>
    </row>
    <row r="3141" spans="1:8" s="673" customFormat="1" ht="33">
      <c r="A3141" s="309">
        <v>446</v>
      </c>
      <c r="B3141" s="272" t="s">
        <v>7886</v>
      </c>
      <c r="C3141" s="309" t="s">
        <v>5848</v>
      </c>
      <c r="D3141" s="309" t="s">
        <v>7816</v>
      </c>
      <c r="E3141" s="290"/>
      <c r="F3141" s="290"/>
      <c r="G3141" s="416">
        <v>516</v>
      </c>
      <c r="H3141" s="371"/>
    </row>
    <row r="3142" spans="1:8" s="673" customFormat="1">
      <c r="A3142" s="309">
        <v>447</v>
      </c>
      <c r="B3142" s="272" t="s">
        <v>7887</v>
      </c>
      <c r="C3142" s="309" t="s">
        <v>5848</v>
      </c>
      <c r="D3142" s="309" t="s">
        <v>7816</v>
      </c>
      <c r="E3142" s="290"/>
      <c r="F3142" s="290"/>
      <c r="G3142" s="416">
        <v>1439</v>
      </c>
      <c r="H3142" s="371"/>
    </row>
    <row r="3143" spans="1:8" s="673" customFormat="1" ht="33">
      <c r="A3143" s="309">
        <v>448</v>
      </c>
      <c r="B3143" s="272" t="s">
        <v>7888</v>
      </c>
      <c r="C3143" s="309" t="s">
        <v>5848</v>
      </c>
      <c r="D3143" s="309" t="s">
        <v>7816</v>
      </c>
      <c r="E3143" s="290"/>
      <c r="F3143" s="290"/>
      <c r="G3143" s="416">
        <v>524</v>
      </c>
      <c r="H3143" s="371"/>
    </row>
    <row r="3144" spans="1:8" s="673" customFormat="1" ht="33">
      <c r="A3144" s="309">
        <v>449</v>
      </c>
      <c r="B3144" s="272" t="s">
        <v>7889</v>
      </c>
      <c r="C3144" s="309" t="s">
        <v>5848</v>
      </c>
      <c r="D3144" s="309" t="s">
        <v>7816</v>
      </c>
      <c r="E3144" s="290"/>
      <c r="F3144" s="290"/>
      <c r="G3144" s="416">
        <v>491</v>
      </c>
      <c r="H3144" s="371"/>
    </row>
    <row r="3145" spans="1:8" s="673" customFormat="1" ht="33">
      <c r="A3145" s="309">
        <v>450</v>
      </c>
      <c r="B3145" s="272" t="s">
        <v>7890</v>
      </c>
      <c r="C3145" s="309" t="s">
        <v>5848</v>
      </c>
      <c r="D3145" s="309" t="s">
        <v>7816</v>
      </c>
      <c r="E3145" s="290"/>
      <c r="F3145" s="290"/>
      <c r="G3145" s="416">
        <v>601</v>
      </c>
      <c r="H3145" s="371"/>
    </row>
    <row r="3146" spans="1:8" s="673" customFormat="1" ht="33">
      <c r="A3146" s="309">
        <v>451</v>
      </c>
      <c r="B3146" s="272" t="s">
        <v>7891</v>
      </c>
      <c r="C3146" s="309" t="s">
        <v>5848</v>
      </c>
      <c r="D3146" s="309" t="s">
        <v>7816</v>
      </c>
      <c r="E3146" s="290"/>
      <c r="F3146" s="290"/>
      <c r="G3146" s="416">
        <v>235</v>
      </c>
      <c r="H3146" s="371"/>
    </row>
    <row r="3147" spans="1:8" s="673" customFormat="1" ht="33">
      <c r="A3147" s="309">
        <v>452</v>
      </c>
      <c r="B3147" s="272" t="s">
        <v>7892</v>
      </c>
      <c r="C3147" s="309" t="s">
        <v>5848</v>
      </c>
      <c r="D3147" s="309" t="s">
        <v>7816</v>
      </c>
      <c r="E3147" s="290"/>
      <c r="F3147" s="290"/>
      <c r="G3147" s="416">
        <v>418</v>
      </c>
      <c r="H3147" s="371"/>
    </row>
    <row r="3148" spans="1:8" s="673" customFormat="1">
      <c r="A3148" s="309">
        <v>453</v>
      </c>
      <c r="B3148" s="272" t="s">
        <v>7893</v>
      </c>
      <c r="C3148" s="309" t="s">
        <v>5848</v>
      </c>
      <c r="D3148" s="309" t="s">
        <v>7816</v>
      </c>
      <c r="E3148" s="290"/>
      <c r="F3148" s="290"/>
      <c r="G3148" s="416">
        <v>1611</v>
      </c>
      <c r="H3148" s="371"/>
    </row>
    <row r="3149" spans="1:8" s="673" customFormat="1">
      <c r="A3149" s="309">
        <v>454</v>
      </c>
      <c r="B3149" s="272" t="s">
        <v>7894</v>
      </c>
      <c r="C3149" s="309" t="s">
        <v>5848</v>
      </c>
      <c r="D3149" s="309" t="s">
        <v>7816</v>
      </c>
      <c r="E3149" s="290"/>
      <c r="F3149" s="290"/>
      <c r="G3149" s="416">
        <v>1270</v>
      </c>
      <c r="H3149" s="371"/>
    </row>
    <row r="3150" spans="1:8" s="673" customFormat="1">
      <c r="A3150" s="309">
        <v>455</v>
      </c>
      <c r="B3150" s="272" t="s">
        <v>7895</v>
      </c>
      <c r="C3150" s="309" t="s">
        <v>5848</v>
      </c>
      <c r="D3150" s="309" t="s">
        <v>7816</v>
      </c>
      <c r="E3150" s="290"/>
      <c r="F3150" s="290"/>
      <c r="G3150" s="416">
        <v>1505</v>
      </c>
      <c r="H3150" s="371"/>
    </row>
    <row r="3151" spans="1:8" s="673" customFormat="1">
      <c r="A3151" s="309">
        <v>456</v>
      </c>
      <c r="B3151" s="272" t="s">
        <v>7896</v>
      </c>
      <c r="C3151" s="309" t="s">
        <v>5848</v>
      </c>
      <c r="D3151" s="309" t="s">
        <v>7816</v>
      </c>
      <c r="E3151" s="290"/>
      <c r="F3151" s="290"/>
      <c r="G3151" s="416">
        <v>250</v>
      </c>
      <c r="H3151" s="371"/>
    </row>
    <row r="3152" spans="1:8" s="673" customFormat="1" ht="33">
      <c r="A3152" s="309">
        <v>457</v>
      </c>
      <c r="B3152" s="272" t="s">
        <v>7897</v>
      </c>
      <c r="C3152" s="309" t="s">
        <v>5848</v>
      </c>
      <c r="D3152" s="309" t="s">
        <v>7816</v>
      </c>
      <c r="E3152" s="290"/>
      <c r="F3152" s="290"/>
      <c r="G3152" s="416">
        <v>1223</v>
      </c>
      <c r="H3152" s="371"/>
    </row>
    <row r="3153" spans="1:8" s="673" customFormat="1" ht="33">
      <c r="A3153" s="309">
        <v>458</v>
      </c>
      <c r="B3153" s="272" t="s">
        <v>7898</v>
      </c>
      <c r="C3153" s="309" t="s">
        <v>5848</v>
      </c>
      <c r="D3153" s="309" t="s">
        <v>7816</v>
      </c>
      <c r="E3153" s="290"/>
      <c r="F3153" s="290"/>
      <c r="G3153" s="416">
        <v>810</v>
      </c>
      <c r="H3153" s="371"/>
    </row>
    <row r="3154" spans="1:8" s="673" customFormat="1" ht="33">
      <c r="A3154" s="309">
        <v>459</v>
      </c>
      <c r="B3154" s="272" t="s">
        <v>7899</v>
      </c>
      <c r="C3154" s="309" t="s">
        <v>5848</v>
      </c>
      <c r="D3154" s="309" t="s">
        <v>7816</v>
      </c>
      <c r="E3154" s="290"/>
      <c r="F3154" s="290"/>
      <c r="G3154" s="416">
        <v>239</v>
      </c>
      <c r="H3154" s="371"/>
    </row>
    <row r="3155" spans="1:8" s="673" customFormat="1" ht="33">
      <c r="A3155" s="309">
        <v>460</v>
      </c>
      <c r="B3155" s="272" t="s">
        <v>7900</v>
      </c>
      <c r="C3155" s="309" t="s">
        <v>5848</v>
      </c>
      <c r="D3155" s="309" t="s">
        <v>7816</v>
      </c>
      <c r="E3155" s="290"/>
      <c r="F3155" s="290"/>
      <c r="G3155" s="416">
        <v>224</v>
      </c>
      <c r="H3155" s="371"/>
    </row>
    <row r="3156" spans="1:8" s="673" customFormat="1" ht="33">
      <c r="A3156" s="309">
        <v>461</v>
      </c>
      <c r="B3156" s="272" t="s">
        <v>7901</v>
      </c>
      <c r="C3156" s="309" t="s">
        <v>5848</v>
      </c>
      <c r="D3156" s="309" t="s">
        <v>7816</v>
      </c>
      <c r="E3156" s="290"/>
      <c r="F3156" s="290"/>
      <c r="G3156" s="416">
        <v>598</v>
      </c>
      <c r="H3156" s="371"/>
    </row>
    <row r="3157" spans="1:8" s="673" customFormat="1" ht="33">
      <c r="A3157" s="309">
        <v>462</v>
      </c>
      <c r="B3157" s="272" t="s">
        <v>7902</v>
      </c>
      <c r="C3157" s="309" t="s">
        <v>5848</v>
      </c>
      <c r="D3157" s="309" t="s">
        <v>7816</v>
      </c>
      <c r="E3157" s="290"/>
      <c r="F3157" s="290"/>
      <c r="G3157" s="416">
        <v>460</v>
      </c>
      <c r="H3157" s="371"/>
    </row>
    <row r="3158" spans="1:8" s="673" customFormat="1" ht="33">
      <c r="A3158" s="309">
        <v>463</v>
      </c>
      <c r="B3158" s="272" t="s">
        <v>7903</v>
      </c>
      <c r="C3158" s="309" t="s">
        <v>5848</v>
      </c>
      <c r="D3158" s="309" t="s">
        <v>7816</v>
      </c>
      <c r="E3158" s="290"/>
      <c r="F3158" s="290"/>
      <c r="G3158" s="416">
        <v>1087</v>
      </c>
      <c r="H3158" s="371"/>
    </row>
    <row r="3159" spans="1:8" s="673" customFormat="1" ht="33">
      <c r="A3159" s="309">
        <v>464</v>
      </c>
      <c r="B3159" s="272" t="s">
        <v>7904</v>
      </c>
      <c r="C3159" s="309" t="s">
        <v>5848</v>
      </c>
      <c r="D3159" s="309" t="s">
        <v>7816</v>
      </c>
      <c r="E3159" s="290"/>
      <c r="F3159" s="290"/>
      <c r="G3159" s="416">
        <v>835</v>
      </c>
      <c r="H3159" s="371"/>
    </row>
    <row r="3160" spans="1:8" s="673" customFormat="1" ht="33">
      <c r="A3160" s="309">
        <v>465</v>
      </c>
      <c r="B3160" s="272" t="s">
        <v>7905</v>
      </c>
      <c r="C3160" s="309" t="s">
        <v>5848</v>
      </c>
      <c r="D3160" s="309" t="s">
        <v>7816</v>
      </c>
      <c r="E3160" s="290"/>
      <c r="F3160" s="290"/>
      <c r="G3160" s="416">
        <v>185</v>
      </c>
      <c r="H3160" s="371"/>
    </row>
    <row r="3161" spans="1:8" s="673" customFormat="1" ht="33">
      <c r="A3161" s="309">
        <v>466</v>
      </c>
      <c r="B3161" s="271" t="s">
        <v>7906</v>
      </c>
      <c r="C3161" s="309" t="s">
        <v>5848</v>
      </c>
      <c r="D3161" s="309" t="s">
        <v>7816</v>
      </c>
      <c r="E3161" s="290"/>
      <c r="F3161" s="290"/>
      <c r="G3161" s="416">
        <v>524</v>
      </c>
      <c r="H3161" s="371"/>
    </row>
    <row r="3162" spans="1:8" s="673" customFormat="1">
      <c r="A3162" s="309">
        <v>467</v>
      </c>
      <c r="B3162" s="271" t="s">
        <v>7907</v>
      </c>
      <c r="C3162" s="309" t="s">
        <v>5848</v>
      </c>
      <c r="D3162" s="309" t="s">
        <v>7816</v>
      </c>
      <c r="E3162" s="290"/>
      <c r="F3162" s="290"/>
      <c r="G3162" s="416">
        <v>140</v>
      </c>
      <c r="H3162" s="371"/>
    </row>
    <row r="3163" spans="1:8" s="673" customFormat="1">
      <c r="A3163" s="309">
        <v>468</v>
      </c>
      <c r="B3163" s="271" t="s">
        <v>7908</v>
      </c>
      <c r="C3163" s="309" t="s">
        <v>5848</v>
      </c>
      <c r="D3163" s="309" t="s">
        <v>7816</v>
      </c>
      <c r="E3163" s="290"/>
      <c r="F3163" s="290"/>
      <c r="G3163" s="416">
        <v>250</v>
      </c>
      <c r="H3163" s="371"/>
    </row>
    <row r="3164" spans="1:8" s="673" customFormat="1">
      <c r="A3164" s="309">
        <v>469</v>
      </c>
      <c r="B3164" s="271" t="s">
        <v>7909</v>
      </c>
      <c r="C3164" s="309" t="s">
        <v>5848</v>
      </c>
      <c r="D3164" s="309" t="s">
        <v>7816</v>
      </c>
      <c r="E3164" s="290"/>
      <c r="F3164" s="290"/>
      <c r="G3164" s="416">
        <v>180</v>
      </c>
      <c r="H3164" s="371"/>
    </row>
    <row r="3165" spans="1:8" s="673" customFormat="1" ht="33">
      <c r="A3165" s="309">
        <v>470</v>
      </c>
      <c r="B3165" s="271" t="s">
        <v>7910</v>
      </c>
      <c r="C3165" s="309" t="s">
        <v>5848</v>
      </c>
      <c r="D3165" s="309" t="s">
        <v>7816</v>
      </c>
      <c r="E3165" s="290"/>
      <c r="F3165" s="290"/>
      <c r="G3165" s="416">
        <v>240</v>
      </c>
      <c r="H3165" s="371"/>
    </row>
    <row r="3166" spans="1:8" s="673" customFormat="1">
      <c r="A3166" s="309">
        <v>471</v>
      </c>
      <c r="B3166" s="271" t="s">
        <v>7911</v>
      </c>
      <c r="C3166" s="309" t="s">
        <v>5848</v>
      </c>
      <c r="D3166" s="309" t="s">
        <v>7816</v>
      </c>
      <c r="E3166" s="290"/>
      <c r="F3166" s="290"/>
      <c r="G3166" s="416">
        <v>438</v>
      </c>
      <c r="H3166" s="371"/>
    </row>
    <row r="3167" spans="1:8" s="673" customFormat="1" ht="33">
      <c r="A3167" s="309">
        <v>472</v>
      </c>
      <c r="B3167" s="271" t="s">
        <v>7912</v>
      </c>
      <c r="C3167" s="309" t="s">
        <v>5848</v>
      </c>
      <c r="D3167" s="309" t="s">
        <v>7816</v>
      </c>
      <c r="E3167" s="290"/>
      <c r="F3167" s="290"/>
      <c r="G3167" s="416">
        <v>939</v>
      </c>
      <c r="H3167" s="371"/>
    </row>
    <row r="3168" spans="1:8" s="673" customFormat="1" ht="33">
      <c r="A3168" s="309">
        <v>473</v>
      </c>
      <c r="B3168" s="271" t="s">
        <v>7913</v>
      </c>
      <c r="C3168" s="309" t="s">
        <v>5848</v>
      </c>
      <c r="D3168" s="309" t="s">
        <v>7816</v>
      </c>
      <c r="E3168" s="290"/>
      <c r="F3168" s="290"/>
      <c r="G3168" s="416">
        <v>320</v>
      </c>
      <c r="H3168" s="371"/>
    </row>
    <row r="3169" spans="1:8" s="673" customFormat="1" ht="33">
      <c r="A3169" s="309">
        <v>474</v>
      </c>
      <c r="B3169" s="271" t="s">
        <v>7914</v>
      </c>
      <c r="C3169" s="309" t="s">
        <v>5848</v>
      </c>
      <c r="D3169" s="309" t="s">
        <v>7816</v>
      </c>
      <c r="E3169" s="290"/>
      <c r="F3169" s="290"/>
      <c r="G3169" s="416">
        <v>415</v>
      </c>
      <c r="H3169" s="371"/>
    </row>
    <row r="3170" spans="1:8" s="673" customFormat="1" ht="33">
      <c r="A3170" s="309">
        <v>475</v>
      </c>
      <c r="B3170" s="271" t="s">
        <v>7915</v>
      </c>
      <c r="C3170" s="309" t="s">
        <v>5848</v>
      </c>
      <c r="D3170" s="309" t="s">
        <v>7816</v>
      </c>
      <c r="E3170" s="290"/>
      <c r="F3170" s="290"/>
      <c r="G3170" s="416">
        <v>598</v>
      </c>
      <c r="H3170" s="371"/>
    </row>
    <row r="3171" spans="1:8" s="673" customFormat="1">
      <c r="A3171" s="309">
        <v>476</v>
      </c>
      <c r="B3171" s="271" t="s">
        <v>7916</v>
      </c>
      <c r="C3171" s="309" t="s">
        <v>5848</v>
      </c>
      <c r="D3171" s="309" t="s">
        <v>7816</v>
      </c>
      <c r="E3171" s="290"/>
      <c r="F3171" s="290"/>
      <c r="G3171" s="416">
        <v>364</v>
      </c>
      <c r="H3171" s="371"/>
    </row>
    <row r="3172" spans="1:8" s="673" customFormat="1" ht="33">
      <c r="A3172" s="309">
        <v>477</v>
      </c>
      <c r="B3172" s="271" t="s">
        <v>7917</v>
      </c>
      <c r="C3172" s="309" t="s">
        <v>5848</v>
      </c>
      <c r="D3172" s="309" t="s">
        <v>7816</v>
      </c>
      <c r="E3172" s="290"/>
      <c r="F3172" s="290"/>
      <c r="G3172" s="416">
        <v>346</v>
      </c>
      <c r="H3172" s="371"/>
    </row>
    <row r="3173" spans="1:8" s="673" customFormat="1" ht="33">
      <c r="A3173" s="309">
        <v>478</v>
      </c>
      <c r="B3173" s="271" t="s">
        <v>7918</v>
      </c>
      <c r="C3173" s="309" t="s">
        <v>5848</v>
      </c>
      <c r="D3173" s="309" t="s">
        <v>7816</v>
      </c>
      <c r="E3173" s="290"/>
      <c r="F3173" s="290"/>
      <c r="G3173" s="416">
        <v>315</v>
      </c>
      <c r="H3173" s="371"/>
    </row>
    <row r="3174" spans="1:8" s="673" customFormat="1" ht="33">
      <c r="A3174" s="309">
        <v>479</v>
      </c>
      <c r="B3174" s="271" t="s">
        <v>7919</v>
      </c>
      <c r="C3174" s="309" t="s">
        <v>5848</v>
      </c>
      <c r="D3174" s="309" t="s">
        <v>7816</v>
      </c>
      <c r="E3174" s="290"/>
      <c r="F3174" s="290"/>
      <c r="G3174" s="416">
        <v>436</v>
      </c>
      <c r="H3174" s="371"/>
    </row>
    <row r="3175" spans="1:8" s="673" customFormat="1" ht="33">
      <c r="A3175" s="309">
        <v>480</v>
      </c>
      <c r="B3175" s="271" t="s">
        <v>7920</v>
      </c>
      <c r="C3175" s="309" t="s">
        <v>5848</v>
      </c>
      <c r="D3175" s="309" t="s">
        <v>7816</v>
      </c>
      <c r="E3175" s="290"/>
      <c r="F3175" s="290"/>
      <c r="G3175" s="416">
        <v>1076</v>
      </c>
      <c r="H3175" s="371"/>
    </row>
    <row r="3176" spans="1:8" s="673" customFormat="1" ht="33">
      <c r="A3176" s="309">
        <v>481</v>
      </c>
      <c r="B3176" s="271" t="s">
        <v>7921</v>
      </c>
      <c r="C3176" s="309" t="s">
        <v>5848</v>
      </c>
      <c r="D3176" s="309" t="s">
        <v>7816</v>
      </c>
      <c r="E3176" s="290"/>
      <c r="F3176" s="290"/>
      <c r="G3176" s="416">
        <v>1418</v>
      </c>
      <c r="H3176" s="371"/>
    </row>
    <row r="3177" spans="1:8" s="673" customFormat="1">
      <c r="A3177" s="309">
        <v>482</v>
      </c>
      <c r="B3177" s="271" t="s">
        <v>7922</v>
      </c>
      <c r="C3177" s="309" t="s">
        <v>5848</v>
      </c>
      <c r="D3177" s="309" t="s">
        <v>7816</v>
      </c>
      <c r="E3177" s="290"/>
      <c r="F3177" s="290"/>
      <c r="G3177" s="416">
        <v>731</v>
      </c>
      <c r="H3177" s="371"/>
    </row>
    <row r="3178" spans="1:8" s="673" customFormat="1">
      <c r="A3178" s="309">
        <v>483</v>
      </c>
      <c r="B3178" s="271" t="s">
        <v>7923</v>
      </c>
      <c r="C3178" s="309" t="s">
        <v>5848</v>
      </c>
      <c r="D3178" s="309" t="s">
        <v>7816</v>
      </c>
      <c r="E3178" s="290"/>
      <c r="F3178" s="290"/>
      <c r="G3178" s="416">
        <v>321</v>
      </c>
      <c r="H3178" s="371"/>
    </row>
    <row r="3179" spans="1:8" s="673" customFormat="1">
      <c r="A3179" s="309">
        <v>484</v>
      </c>
      <c r="B3179" s="271" t="s">
        <v>7924</v>
      </c>
      <c r="C3179" s="309" t="s">
        <v>5848</v>
      </c>
      <c r="D3179" s="309" t="s">
        <v>7816</v>
      </c>
      <c r="E3179" s="290"/>
      <c r="F3179" s="290"/>
      <c r="G3179" s="416">
        <v>362</v>
      </c>
      <c r="H3179" s="371"/>
    </row>
    <row r="3180" spans="1:8" s="673" customFormat="1">
      <c r="A3180" s="309">
        <v>485</v>
      </c>
      <c r="B3180" s="271" t="s">
        <v>7925</v>
      </c>
      <c r="C3180" s="309" t="s">
        <v>5848</v>
      </c>
      <c r="D3180" s="309" t="s">
        <v>7816</v>
      </c>
      <c r="E3180" s="290"/>
      <c r="F3180" s="290"/>
      <c r="G3180" s="416">
        <v>581</v>
      </c>
      <c r="H3180" s="371"/>
    </row>
    <row r="3181" spans="1:8" s="673" customFormat="1">
      <c r="A3181" s="309">
        <v>486</v>
      </c>
      <c r="B3181" s="271" t="s">
        <v>7926</v>
      </c>
      <c r="C3181" s="309" t="s">
        <v>5848</v>
      </c>
      <c r="D3181" s="309" t="s">
        <v>7816</v>
      </c>
      <c r="E3181" s="290"/>
      <c r="F3181" s="290"/>
      <c r="G3181" s="416">
        <v>764</v>
      </c>
      <c r="H3181" s="371"/>
    </row>
    <row r="3182" spans="1:8" s="673" customFormat="1">
      <c r="A3182" s="309">
        <v>487</v>
      </c>
      <c r="B3182" s="271" t="s">
        <v>7927</v>
      </c>
      <c r="C3182" s="309" t="s">
        <v>5848</v>
      </c>
      <c r="D3182" s="309" t="s">
        <v>7816</v>
      </c>
      <c r="E3182" s="290"/>
      <c r="F3182" s="290"/>
      <c r="G3182" s="416">
        <v>376</v>
      </c>
      <c r="H3182" s="371"/>
    </row>
    <row r="3183" spans="1:8" s="673" customFormat="1">
      <c r="A3183" s="309">
        <v>488</v>
      </c>
      <c r="B3183" s="271" t="s">
        <v>7928</v>
      </c>
      <c r="C3183" s="309" t="s">
        <v>5848</v>
      </c>
      <c r="D3183" s="309" t="s">
        <v>7816</v>
      </c>
      <c r="E3183" s="290"/>
      <c r="F3183" s="290"/>
      <c r="G3183" s="416">
        <v>213</v>
      </c>
      <c r="H3183" s="371"/>
    </row>
    <row r="3184" spans="1:8" s="673" customFormat="1">
      <c r="A3184" s="309">
        <v>489</v>
      </c>
      <c r="B3184" s="271" t="s">
        <v>7929</v>
      </c>
      <c r="C3184" s="309" t="s">
        <v>5848</v>
      </c>
      <c r="D3184" s="309" t="s">
        <v>7816</v>
      </c>
      <c r="E3184" s="290"/>
      <c r="F3184" s="290"/>
      <c r="G3184" s="416">
        <v>219</v>
      </c>
      <c r="H3184" s="371"/>
    </row>
    <row r="3185" spans="1:8" s="673" customFormat="1" ht="33">
      <c r="A3185" s="309">
        <v>490</v>
      </c>
      <c r="B3185" s="271" t="s">
        <v>7930</v>
      </c>
      <c r="C3185" s="309" t="s">
        <v>5848</v>
      </c>
      <c r="D3185" s="309" t="s">
        <v>7816</v>
      </c>
      <c r="E3185" s="290"/>
      <c r="F3185" s="290"/>
      <c r="G3185" s="416">
        <v>655</v>
      </c>
      <c r="H3185" s="371"/>
    </row>
    <row r="3186" spans="1:8" s="673" customFormat="1" ht="33">
      <c r="A3186" s="309">
        <v>491</v>
      </c>
      <c r="B3186" s="271" t="s">
        <v>7931</v>
      </c>
      <c r="C3186" s="309" t="s">
        <v>5848</v>
      </c>
      <c r="D3186" s="309" t="s">
        <v>7816</v>
      </c>
      <c r="E3186" s="290"/>
      <c r="F3186" s="290"/>
      <c r="G3186" s="416">
        <v>1201</v>
      </c>
      <c r="H3186" s="371"/>
    </row>
    <row r="3187" spans="1:8" s="673" customFormat="1" ht="33">
      <c r="A3187" s="309">
        <v>492</v>
      </c>
      <c r="B3187" s="271" t="s">
        <v>7932</v>
      </c>
      <c r="C3187" s="309" t="s">
        <v>5848</v>
      </c>
      <c r="D3187" s="309" t="s">
        <v>7816</v>
      </c>
      <c r="E3187" s="290"/>
      <c r="F3187" s="290"/>
      <c r="G3187" s="416">
        <v>410</v>
      </c>
      <c r="H3187" s="371"/>
    </row>
    <row r="3188" spans="1:8" s="673" customFormat="1">
      <c r="A3188" s="309">
        <v>493</v>
      </c>
      <c r="B3188" s="271" t="s">
        <v>7933</v>
      </c>
      <c r="C3188" s="309" t="s">
        <v>5848</v>
      </c>
      <c r="D3188" s="309" t="s">
        <v>7816</v>
      </c>
      <c r="E3188" s="290"/>
      <c r="F3188" s="290"/>
      <c r="G3188" s="416">
        <v>409</v>
      </c>
      <c r="H3188" s="371"/>
    </row>
    <row r="3189" spans="1:8" s="673" customFormat="1" ht="33">
      <c r="A3189" s="309">
        <v>494</v>
      </c>
      <c r="B3189" s="271" t="s">
        <v>7934</v>
      </c>
      <c r="C3189" s="309" t="s">
        <v>5848</v>
      </c>
      <c r="D3189" s="309" t="s">
        <v>7816</v>
      </c>
      <c r="E3189" s="290"/>
      <c r="F3189" s="290"/>
      <c r="G3189" s="416">
        <v>320</v>
      </c>
      <c r="H3189" s="371"/>
    </row>
    <row r="3190" spans="1:8" s="673" customFormat="1" ht="33">
      <c r="A3190" s="309">
        <v>495</v>
      </c>
      <c r="B3190" s="271" t="s">
        <v>7935</v>
      </c>
      <c r="C3190" s="309" t="s">
        <v>5848</v>
      </c>
      <c r="D3190" s="309" t="s">
        <v>7816</v>
      </c>
      <c r="E3190" s="290"/>
      <c r="F3190" s="290"/>
      <c r="G3190" s="416">
        <v>380</v>
      </c>
      <c r="H3190" s="371"/>
    </row>
    <row r="3191" spans="1:8" s="673" customFormat="1" ht="33">
      <c r="A3191" s="309">
        <v>496</v>
      </c>
      <c r="B3191" s="271" t="s">
        <v>7936</v>
      </c>
      <c r="C3191" s="309" t="s">
        <v>5848</v>
      </c>
      <c r="D3191" s="309" t="s">
        <v>7816</v>
      </c>
      <c r="E3191" s="290"/>
      <c r="F3191" s="290"/>
      <c r="G3191" s="416">
        <v>70</v>
      </c>
      <c r="H3191" s="371"/>
    </row>
    <row r="3192" spans="1:8" s="673" customFormat="1" ht="49.5">
      <c r="A3192" s="309">
        <v>497</v>
      </c>
      <c r="B3192" s="271" t="s">
        <v>7937</v>
      </c>
      <c r="C3192" s="309" t="s">
        <v>5848</v>
      </c>
      <c r="D3192" s="309" t="s">
        <v>7816</v>
      </c>
      <c r="E3192" s="290"/>
      <c r="F3192" s="290"/>
      <c r="G3192" s="416">
        <v>1198</v>
      </c>
      <c r="H3192" s="371"/>
    </row>
    <row r="3193" spans="1:8" s="673" customFormat="1" ht="33">
      <c r="A3193" s="309">
        <v>498</v>
      </c>
      <c r="B3193" s="271" t="s">
        <v>7938</v>
      </c>
      <c r="C3193" s="309" t="s">
        <v>5848</v>
      </c>
      <c r="D3193" s="309" t="s">
        <v>7816</v>
      </c>
      <c r="E3193" s="290"/>
      <c r="F3193" s="290"/>
      <c r="G3193" s="416">
        <v>2331</v>
      </c>
      <c r="H3193" s="371"/>
    </row>
    <row r="3194" spans="1:8" s="673" customFormat="1">
      <c r="A3194" s="309">
        <v>499</v>
      </c>
      <c r="B3194" s="271" t="s">
        <v>7939</v>
      </c>
      <c r="C3194" s="309" t="s">
        <v>5848</v>
      </c>
      <c r="D3194" s="309" t="s">
        <v>7816</v>
      </c>
      <c r="E3194" s="290"/>
      <c r="F3194" s="290"/>
      <c r="G3194" s="416">
        <v>998</v>
      </c>
      <c r="H3194" s="371"/>
    </row>
    <row r="3195" spans="1:8" s="673" customFormat="1">
      <c r="A3195" s="309">
        <v>500</v>
      </c>
      <c r="B3195" s="271" t="s">
        <v>7940</v>
      </c>
      <c r="C3195" s="309" t="s">
        <v>5848</v>
      </c>
      <c r="D3195" s="309" t="s">
        <v>7816</v>
      </c>
      <c r="E3195" s="290"/>
      <c r="F3195" s="290"/>
      <c r="G3195" s="416">
        <v>2163</v>
      </c>
      <c r="H3195" s="371"/>
    </row>
    <row r="3196" spans="1:8" s="673" customFormat="1">
      <c r="A3196" s="309">
        <v>501</v>
      </c>
      <c r="B3196" s="271" t="s">
        <v>7941</v>
      </c>
      <c r="C3196" s="309" t="s">
        <v>5848</v>
      </c>
      <c r="D3196" s="309" t="s">
        <v>7816</v>
      </c>
      <c r="E3196" s="290"/>
      <c r="F3196" s="290"/>
      <c r="G3196" s="416">
        <v>1700</v>
      </c>
      <c r="H3196" s="371"/>
    </row>
    <row r="3197" spans="1:8" s="673" customFormat="1" ht="33">
      <c r="A3197" s="309">
        <v>502</v>
      </c>
      <c r="B3197" s="271" t="s">
        <v>7942</v>
      </c>
      <c r="C3197" s="309" t="s">
        <v>5848</v>
      </c>
      <c r="D3197" s="309" t="s">
        <v>7816</v>
      </c>
      <c r="E3197" s="290"/>
      <c r="F3197" s="290"/>
      <c r="G3197" s="416">
        <v>850</v>
      </c>
      <c r="H3197" s="371"/>
    </row>
    <row r="3198" spans="1:8" s="673" customFormat="1" ht="33">
      <c r="A3198" s="309">
        <v>503</v>
      </c>
      <c r="B3198" s="271" t="s">
        <v>7943</v>
      </c>
      <c r="C3198" s="309" t="s">
        <v>5848</v>
      </c>
      <c r="D3198" s="309" t="s">
        <v>7816</v>
      </c>
      <c r="E3198" s="290"/>
      <c r="F3198" s="290"/>
      <c r="G3198" s="416">
        <v>603</v>
      </c>
      <c r="H3198" s="371"/>
    </row>
    <row r="3199" spans="1:8" s="673" customFormat="1" ht="33">
      <c r="A3199" s="309">
        <v>504</v>
      </c>
      <c r="B3199" s="271" t="s">
        <v>7944</v>
      </c>
      <c r="C3199" s="309" t="s">
        <v>5848</v>
      </c>
      <c r="D3199" s="309" t="s">
        <v>7816</v>
      </c>
      <c r="E3199" s="290"/>
      <c r="F3199" s="290"/>
      <c r="G3199" s="416">
        <v>1316</v>
      </c>
      <c r="H3199" s="371"/>
    </row>
    <row r="3200" spans="1:8" s="673" customFormat="1" ht="49.5">
      <c r="A3200" s="309">
        <v>505</v>
      </c>
      <c r="B3200" s="271" t="s">
        <v>7945</v>
      </c>
      <c r="C3200" s="309" t="s">
        <v>5848</v>
      </c>
      <c r="D3200" s="309" t="s">
        <v>7816</v>
      </c>
      <c r="E3200" s="290"/>
      <c r="F3200" s="290"/>
      <c r="G3200" s="416">
        <v>1543</v>
      </c>
      <c r="H3200" s="371"/>
    </row>
    <row r="3201" spans="1:8" s="673" customFormat="1" ht="33">
      <c r="A3201" s="309">
        <v>506</v>
      </c>
      <c r="B3201" s="271" t="s">
        <v>7946</v>
      </c>
      <c r="C3201" s="309" t="s">
        <v>5848</v>
      </c>
      <c r="D3201" s="309" t="s">
        <v>7816</v>
      </c>
      <c r="E3201" s="290"/>
      <c r="F3201" s="290"/>
      <c r="G3201" s="416">
        <v>1171</v>
      </c>
      <c r="H3201" s="371"/>
    </row>
    <row r="3202" spans="1:8" s="673" customFormat="1" ht="33">
      <c r="A3202" s="309">
        <v>507</v>
      </c>
      <c r="B3202" s="271" t="s">
        <v>7947</v>
      </c>
      <c r="C3202" s="309" t="s">
        <v>5848</v>
      </c>
      <c r="D3202" s="309" t="s">
        <v>7816</v>
      </c>
      <c r="E3202" s="290"/>
      <c r="F3202" s="290"/>
      <c r="G3202" s="416">
        <v>864</v>
      </c>
      <c r="H3202" s="371"/>
    </row>
    <row r="3203" spans="1:8" s="673" customFormat="1" ht="49.5">
      <c r="A3203" s="309">
        <v>508</v>
      </c>
      <c r="B3203" s="495" t="s">
        <v>7948</v>
      </c>
      <c r="C3203" s="309" t="s">
        <v>5848</v>
      </c>
      <c r="D3203" s="309" t="s">
        <v>7816</v>
      </c>
      <c r="E3203" s="290"/>
      <c r="F3203" s="290"/>
      <c r="G3203" s="416">
        <v>1633</v>
      </c>
      <c r="H3203" s="371"/>
    </row>
    <row r="3204" spans="1:8" s="673" customFormat="1" ht="33">
      <c r="A3204" s="309">
        <v>509</v>
      </c>
      <c r="B3204" s="495" t="s">
        <v>7949</v>
      </c>
      <c r="C3204" s="309" t="s">
        <v>5848</v>
      </c>
      <c r="D3204" s="309" t="s">
        <v>7816</v>
      </c>
      <c r="E3204" s="290"/>
      <c r="F3204" s="290"/>
      <c r="G3204" s="416">
        <v>924</v>
      </c>
      <c r="H3204" s="371"/>
    </row>
    <row r="3205" spans="1:8" s="673" customFormat="1" ht="33">
      <c r="A3205" s="309">
        <v>510</v>
      </c>
      <c r="B3205" s="495" t="s">
        <v>7950</v>
      </c>
      <c r="C3205" s="309" t="s">
        <v>5848</v>
      </c>
      <c r="D3205" s="309" t="s">
        <v>7816</v>
      </c>
      <c r="E3205" s="290"/>
      <c r="F3205" s="290"/>
      <c r="G3205" s="416">
        <v>1211</v>
      </c>
      <c r="H3205" s="371"/>
    </row>
    <row r="3206" spans="1:8" s="673" customFormat="1" ht="33">
      <c r="A3206" s="309">
        <v>511</v>
      </c>
      <c r="B3206" s="495" t="s">
        <v>7951</v>
      </c>
      <c r="C3206" s="309" t="s">
        <v>5848</v>
      </c>
      <c r="D3206" s="309" t="s">
        <v>7816</v>
      </c>
      <c r="E3206" s="290"/>
      <c r="F3206" s="290"/>
      <c r="G3206" s="416">
        <v>851</v>
      </c>
      <c r="H3206" s="371"/>
    </row>
    <row r="3207" spans="1:8" s="673" customFormat="1">
      <c r="A3207" s="309">
        <v>512</v>
      </c>
      <c r="B3207" s="271" t="s">
        <v>7952</v>
      </c>
      <c r="C3207" s="309" t="s">
        <v>5848</v>
      </c>
      <c r="D3207" s="309" t="s">
        <v>7816</v>
      </c>
      <c r="E3207" s="290"/>
      <c r="F3207" s="290"/>
      <c r="G3207" s="416">
        <v>2225</v>
      </c>
      <c r="H3207" s="371"/>
    </row>
    <row r="3208" spans="1:8" s="673" customFormat="1">
      <c r="A3208" s="309">
        <v>513</v>
      </c>
      <c r="B3208" s="271" t="s">
        <v>7953</v>
      </c>
      <c r="C3208" s="309" t="s">
        <v>5848</v>
      </c>
      <c r="D3208" s="309" t="s">
        <v>7816</v>
      </c>
      <c r="E3208" s="290"/>
      <c r="F3208" s="290"/>
      <c r="G3208" s="416">
        <v>1420</v>
      </c>
      <c r="H3208" s="371"/>
    </row>
    <row r="3209" spans="1:8" s="673" customFormat="1">
      <c r="A3209" s="309">
        <v>514</v>
      </c>
      <c r="B3209" s="271" t="s">
        <v>7954</v>
      </c>
      <c r="C3209" s="309" t="s">
        <v>5848</v>
      </c>
      <c r="D3209" s="309" t="s">
        <v>7816</v>
      </c>
      <c r="E3209" s="290"/>
      <c r="F3209" s="290"/>
      <c r="G3209" s="416">
        <v>1203</v>
      </c>
      <c r="H3209" s="371"/>
    </row>
    <row r="3210" spans="1:8" s="673" customFormat="1">
      <c r="A3210" s="309">
        <v>515</v>
      </c>
      <c r="B3210" s="271" t="s">
        <v>7955</v>
      </c>
      <c r="C3210" s="309" t="s">
        <v>5848</v>
      </c>
      <c r="D3210" s="309" t="s">
        <v>7816</v>
      </c>
      <c r="E3210" s="290"/>
      <c r="F3210" s="290"/>
      <c r="G3210" s="416">
        <v>870</v>
      </c>
      <c r="H3210" s="371"/>
    </row>
    <row r="3211" spans="1:8" s="673" customFormat="1">
      <c r="A3211" s="309">
        <v>516</v>
      </c>
      <c r="B3211" s="271" t="s">
        <v>7956</v>
      </c>
      <c r="C3211" s="309" t="s">
        <v>5848</v>
      </c>
      <c r="D3211" s="309" t="s">
        <v>7816</v>
      </c>
      <c r="E3211" s="290"/>
      <c r="F3211" s="290"/>
      <c r="G3211" s="416">
        <v>294</v>
      </c>
      <c r="H3211" s="371"/>
    </row>
    <row r="3212" spans="1:8" s="673" customFormat="1">
      <c r="A3212" s="309">
        <v>517</v>
      </c>
      <c r="B3212" s="271" t="s">
        <v>7957</v>
      </c>
      <c r="C3212" s="309" t="s">
        <v>5848</v>
      </c>
      <c r="D3212" s="309" t="s">
        <v>7816</v>
      </c>
      <c r="E3212" s="290"/>
      <c r="F3212" s="290"/>
      <c r="G3212" s="416">
        <v>446</v>
      </c>
      <c r="H3212" s="371"/>
    </row>
    <row r="3213" spans="1:8" s="673" customFormat="1" ht="33">
      <c r="A3213" s="309">
        <v>518</v>
      </c>
      <c r="B3213" s="271" t="s">
        <v>7958</v>
      </c>
      <c r="C3213" s="309" t="s">
        <v>5848</v>
      </c>
      <c r="D3213" s="309" t="s">
        <v>7816</v>
      </c>
      <c r="E3213" s="290"/>
      <c r="F3213" s="290"/>
      <c r="G3213" s="416">
        <v>291</v>
      </c>
      <c r="H3213" s="371"/>
    </row>
    <row r="3214" spans="1:8" s="673" customFormat="1">
      <c r="A3214" s="309">
        <v>519</v>
      </c>
      <c r="B3214" s="271" t="s">
        <v>7959</v>
      </c>
      <c r="C3214" s="309" t="s">
        <v>5848</v>
      </c>
      <c r="D3214" s="309" t="s">
        <v>7816</v>
      </c>
      <c r="E3214" s="290"/>
      <c r="F3214" s="290"/>
      <c r="G3214" s="416">
        <v>641</v>
      </c>
      <c r="H3214" s="371"/>
    </row>
    <row r="3215" spans="1:8" s="673" customFormat="1">
      <c r="A3215" s="309">
        <v>520</v>
      </c>
      <c r="B3215" s="271" t="s">
        <v>7960</v>
      </c>
      <c r="C3215" s="309" t="s">
        <v>5848</v>
      </c>
      <c r="D3215" s="309" t="s">
        <v>7816</v>
      </c>
      <c r="E3215" s="290"/>
      <c r="F3215" s="290"/>
      <c r="G3215" s="416">
        <v>290</v>
      </c>
      <c r="H3215" s="371"/>
    </row>
    <row r="3216" spans="1:8" s="673" customFormat="1">
      <c r="A3216" s="309">
        <v>521</v>
      </c>
      <c r="B3216" s="271" t="s">
        <v>7961</v>
      </c>
      <c r="C3216" s="309" t="s">
        <v>5848</v>
      </c>
      <c r="D3216" s="309" t="s">
        <v>7816</v>
      </c>
      <c r="E3216" s="290"/>
      <c r="F3216" s="290"/>
      <c r="G3216" s="416">
        <v>260</v>
      </c>
      <c r="H3216" s="371"/>
    </row>
    <row r="3217" spans="1:8" s="673" customFormat="1">
      <c r="A3217" s="309">
        <v>522</v>
      </c>
      <c r="B3217" s="271" t="s">
        <v>7962</v>
      </c>
      <c r="C3217" s="309" t="s">
        <v>5848</v>
      </c>
      <c r="D3217" s="309" t="s">
        <v>7816</v>
      </c>
      <c r="E3217" s="290"/>
      <c r="F3217" s="290"/>
      <c r="G3217" s="416">
        <v>274</v>
      </c>
      <c r="H3217" s="371"/>
    </row>
    <row r="3218" spans="1:8" s="673" customFormat="1" ht="33">
      <c r="A3218" s="309">
        <v>523</v>
      </c>
      <c r="B3218" s="271" t="s">
        <v>7963</v>
      </c>
      <c r="C3218" s="309" t="s">
        <v>5848</v>
      </c>
      <c r="D3218" s="309" t="s">
        <v>7816</v>
      </c>
      <c r="E3218" s="290"/>
      <c r="F3218" s="290"/>
      <c r="G3218" s="416">
        <v>150</v>
      </c>
      <c r="H3218" s="371"/>
    </row>
    <row r="3219" spans="1:8" s="673" customFormat="1" ht="66">
      <c r="A3219" s="309">
        <v>524</v>
      </c>
      <c r="B3219" s="495" t="s">
        <v>7964</v>
      </c>
      <c r="C3219" s="309" t="s">
        <v>5848</v>
      </c>
      <c r="D3219" s="309" t="s">
        <v>7816</v>
      </c>
      <c r="E3219" s="290"/>
      <c r="F3219" s="290"/>
      <c r="G3219" s="416">
        <v>580</v>
      </c>
      <c r="H3219" s="371"/>
    </row>
    <row r="3220" spans="1:8" s="673" customFormat="1" ht="33">
      <c r="A3220" s="309">
        <v>525</v>
      </c>
      <c r="B3220" s="271" t="s">
        <v>7965</v>
      </c>
      <c r="C3220" s="309" t="s">
        <v>5848</v>
      </c>
      <c r="D3220" s="309" t="s">
        <v>7816</v>
      </c>
      <c r="E3220" s="290"/>
      <c r="F3220" s="290"/>
      <c r="G3220" s="416">
        <v>1900</v>
      </c>
      <c r="H3220" s="371"/>
    </row>
    <row r="3221" spans="1:8" s="673" customFormat="1" ht="33">
      <c r="A3221" s="309">
        <v>526</v>
      </c>
      <c r="B3221" s="271" t="s">
        <v>7966</v>
      </c>
      <c r="C3221" s="309" t="s">
        <v>5848</v>
      </c>
      <c r="D3221" s="309" t="s">
        <v>7816</v>
      </c>
      <c r="E3221" s="290"/>
      <c r="F3221" s="290"/>
      <c r="G3221" s="416">
        <v>1418</v>
      </c>
      <c r="H3221" s="371"/>
    </row>
    <row r="3222" spans="1:8" s="673" customFormat="1" ht="33">
      <c r="A3222" s="309">
        <v>527</v>
      </c>
      <c r="B3222" s="271" t="s">
        <v>7967</v>
      </c>
      <c r="C3222" s="309" t="s">
        <v>5848</v>
      </c>
      <c r="D3222" s="309" t="s">
        <v>7816</v>
      </c>
      <c r="E3222" s="290"/>
      <c r="F3222" s="290"/>
      <c r="G3222" s="416">
        <v>150</v>
      </c>
      <c r="H3222" s="371"/>
    </row>
    <row r="3223" spans="1:8" s="673" customFormat="1">
      <c r="A3223" s="309">
        <v>528</v>
      </c>
      <c r="B3223" s="271" t="s">
        <v>7968</v>
      </c>
      <c r="C3223" s="309" t="s">
        <v>6991</v>
      </c>
      <c r="D3223" s="309" t="s">
        <v>6992</v>
      </c>
      <c r="E3223" s="290"/>
      <c r="F3223" s="290"/>
      <c r="G3223" s="415">
        <v>692</v>
      </c>
      <c r="H3223" s="371"/>
    </row>
    <row r="3224" spans="1:8" s="673" customFormat="1">
      <c r="A3224" s="309">
        <v>529</v>
      </c>
      <c r="B3224" s="271" t="s">
        <v>7969</v>
      </c>
      <c r="C3224" s="309" t="s">
        <v>6991</v>
      </c>
      <c r="D3224" s="309" t="s">
        <v>6992</v>
      </c>
      <c r="E3224" s="290"/>
      <c r="F3224" s="290"/>
      <c r="G3224" s="415">
        <v>506</v>
      </c>
      <c r="H3224" s="371"/>
    </row>
    <row r="3225" spans="1:8" s="673" customFormat="1">
      <c r="A3225" s="309">
        <v>530</v>
      </c>
      <c r="B3225" s="271" t="s">
        <v>7970</v>
      </c>
      <c r="C3225" s="309" t="s">
        <v>6991</v>
      </c>
      <c r="D3225" s="309" t="s">
        <v>6992</v>
      </c>
      <c r="E3225" s="290"/>
      <c r="F3225" s="290"/>
      <c r="G3225" s="415">
        <v>673</v>
      </c>
      <c r="H3225" s="371"/>
    </row>
    <row r="3226" spans="1:8" s="673" customFormat="1" ht="33">
      <c r="A3226" s="309">
        <v>531</v>
      </c>
      <c r="B3226" s="271" t="s">
        <v>7971</v>
      </c>
      <c r="C3226" s="309" t="s">
        <v>6991</v>
      </c>
      <c r="D3226" s="309" t="s">
        <v>6992</v>
      </c>
      <c r="E3226" s="290"/>
      <c r="F3226" s="290"/>
      <c r="G3226" s="415">
        <v>705</v>
      </c>
      <c r="H3226" s="371"/>
    </row>
    <row r="3227" spans="1:8" s="673" customFormat="1" ht="33">
      <c r="A3227" s="309">
        <v>532</v>
      </c>
      <c r="B3227" s="271" t="s">
        <v>7972</v>
      </c>
      <c r="C3227" s="309" t="s">
        <v>6991</v>
      </c>
      <c r="D3227" s="309" t="s">
        <v>6992</v>
      </c>
      <c r="E3227" s="290"/>
      <c r="F3227" s="290"/>
      <c r="G3227" s="415">
        <v>217</v>
      </c>
      <c r="H3227" s="371"/>
    </row>
    <row r="3228" spans="1:8" s="673" customFormat="1" ht="33">
      <c r="A3228" s="309">
        <v>533</v>
      </c>
      <c r="B3228" s="271" t="s">
        <v>7973</v>
      </c>
      <c r="C3228" s="309" t="s">
        <v>6991</v>
      </c>
      <c r="D3228" s="309" t="s">
        <v>6992</v>
      </c>
      <c r="E3228" s="290"/>
      <c r="F3228" s="290"/>
      <c r="G3228" s="415">
        <v>823</v>
      </c>
      <c r="H3228" s="371"/>
    </row>
    <row r="3229" spans="1:8" s="673" customFormat="1" ht="33">
      <c r="A3229" s="309">
        <v>534</v>
      </c>
      <c r="B3229" s="271" t="s">
        <v>7974</v>
      </c>
      <c r="C3229" s="309" t="s">
        <v>6991</v>
      </c>
      <c r="D3229" s="309" t="s">
        <v>6992</v>
      </c>
      <c r="E3229" s="290"/>
      <c r="F3229" s="290"/>
      <c r="G3229" s="415">
        <v>612</v>
      </c>
      <c r="H3229" s="371"/>
    </row>
    <row r="3230" spans="1:8" s="673" customFormat="1" ht="33">
      <c r="A3230" s="309">
        <v>535</v>
      </c>
      <c r="B3230" s="271" t="s">
        <v>7975</v>
      </c>
      <c r="C3230" s="309" t="s">
        <v>6991</v>
      </c>
      <c r="D3230" s="309" t="s">
        <v>6992</v>
      </c>
      <c r="E3230" s="290"/>
      <c r="F3230" s="290"/>
      <c r="G3230" s="415">
        <v>1063</v>
      </c>
      <c r="H3230" s="371"/>
    </row>
    <row r="3231" spans="1:8" s="673" customFormat="1" ht="33">
      <c r="A3231" s="309">
        <v>536</v>
      </c>
      <c r="B3231" s="271" t="s">
        <v>7976</v>
      </c>
      <c r="C3231" s="309" t="s">
        <v>6991</v>
      </c>
      <c r="D3231" s="309" t="s">
        <v>6992</v>
      </c>
      <c r="E3231" s="290"/>
      <c r="F3231" s="290"/>
      <c r="G3231" s="415">
        <v>804</v>
      </c>
      <c r="H3231" s="371"/>
    </row>
    <row r="3232" spans="1:8" s="673" customFormat="1">
      <c r="A3232" s="309">
        <v>537</v>
      </c>
      <c r="B3232" s="271" t="s">
        <v>7977</v>
      </c>
      <c r="C3232" s="309" t="s">
        <v>6991</v>
      </c>
      <c r="D3232" s="309" t="s">
        <v>6992</v>
      </c>
      <c r="E3232" s="290"/>
      <c r="F3232" s="290"/>
      <c r="G3232" s="415">
        <v>1124</v>
      </c>
      <c r="H3232" s="371"/>
    </row>
    <row r="3233" spans="1:8" s="673" customFormat="1">
      <c r="A3233" s="309">
        <v>538</v>
      </c>
      <c r="B3233" s="271" t="s">
        <v>7978</v>
      </c>
      <c r="C3233" s="309" t="s">
        <v>6991</v>
      </c>
      <c r="D3233" s="309" t="s">
        <v>6992</v>
      </c>
      <c r="E3233" s="290"/>
      <c r="F3233" s="290"/>
      <c r="G3233" s="415">
        <v>1532</v>
      </c>
      <c r="H3233" s="371"/>
    </row>
    <row r="3234" spans="1:8" s="673" customFormat="1">
      <c r="A3234" s="309">
        <v>539</v>
      </c>
      <c r="B3234" s="271" t="s">
        <v>7979</v>
      </c>
      <c r="C3234" s="309" t="s">
        <v>6991</v>
      </c>
      <c r="D3234" s="309" t="s">
        <v>6992</v>
      </c>
      <c r="E3234" s="290"/>
      <c r="F3234" s="290"/>
      <c r="G3234" s="415">
        <v>1139</v>
      </c>
      <c r="H3234" s="371"/>
    </row>
    <row r="3235" spans="1:8" s="673" customFormat="1" ht="33">
      <c r="A3235" s="309">
        <v>540</v>
      </c>
      <c r="B3235" s="271" t="s">
        <v>7980</v>
      </c>
      <c r="C3235" s="309" t="s">
        <v>6991</v>
      </c>
      <c r="D3235" s="309" t="s">
        <v>6992</v>
      </c>
      <c r="E3235" s="290"/>
      <c r="F3235" s="290"/>
      <c r="G3235" s="415">
        <v>1778</v>
      </c>
      <c r="H3235" s="371"/>
    </row>
    <row r="3236" spans="1:8" s="673" customFormat="1" ht="33">
      <c r="A3236" s="309">
        <v>541</v>
      </c>
      <c r="B3236" s="271" t="s">
        <v>7981</v>
      </c>
      <c r="C3236" s="309" t="s">
        <v>6991</v>
      </c>
      <c r="D3236" s="309" t="s">
        <v>6992</v>
      </c>
      <c r="E3236" s="290"/>
      <c r="F3236" s="290"/>
      <c r="G3236" s="415">
        <v>716</v>
      </c>
      <c r="H3236" s="371"/>
    </row>
    <row r="3237" spans="1:8" s="673" customFormat="1" ht="33">
      <c r="A3237" s="309">
        <v>542</v>
      </c>
      <c r="B3237" s="271" t="s">
        <v>7982</v>
      </c>
      <c r="C3237" s="309" t="s">
        <v>6991</v>
      </c>
      <c r="D3237" s="309" t="s">
        <v>6992</v>
      </c>
      <c r="E3237" s="290"/>
      <c r="F3237" s="290"/>
      <c r="G3237" s="415">
        <v>1127</v>
      </c>
      <c r="H3237" s="371"/>
    </row>
    <row r="3238" spans="1:8" s="673" customFormat="1" ht="33">
      <c r="A3238" s="309">
        <v>543</v>
      </c>
      <c r="B3238" s="271" t="s">
        <v>7983</v>
      </c>
      <c r="C3238" s="309" t="s">
        <v>6991</v>
      </c>
      <c r="D3238" s="309" t="s">
        <v>6992</v>
      </c>
      <c r="E3238" s="290"/>
      <c r="F3238" s="290"/>
      <c r="G3238" s="415">
        <v>1106</v>
      </c>
      <c r="H3238" s="371"/>
    </row>
    <row r="3239" spans="1:8" s="673" customFormat="1" ht="33">
      <c r="A3239" s="309">
        <v>544</v>
      </c>
      <c r="B3239" s="271" t="s">
        <v>7984</v>
      </c>
      <c r="C3239" s="309" t="s">
        <v>6991</v>
      </c>
      <c r="D3239" s="309" t="s">
        <v>6992</v>
      </c>
      <c r="E3239" s="290"/>
      <c r="F3239" s="290"/>
      <c r="G3239" s="415">
        <v>655</v>
      </c>
      <c r="H3239" s="371"/>
    </row>
    <row r="3240" spans="1:8" s="673" customFormat="1" ht="33">
      <c r="A3240" s="309">
        <v>545</v>
      </c>
      <c r="B3240" s="271" t="s">
        <v>7985</v>
      </c>
      <c r="C3240" s="309" t="s">
        <v>7041</v>
      </c>
      <c r="D3240" s="309" t="s">
        <v>7042</v>
      </c>
      <c r="E3240" s="290"/>
      <c r="F3240" s="290"/>
      <c r="G3240" s="415">
        <v>1991</v>
      </c>
      <c r="H3240" s="371"/>
    </row>
    <row r="3241" spans="1:8" s="673" customFormat="1" ht="33">
      <c r="A3241" s="309">
        <v>546</v>
      </c>
      <c r="B3241" s="271" t="s">
        <v>7986</v>
      </c>
      <c r="C3241" s="309" t="s">
        <v>7041</v>
      </c>
      <c r="D3241" s="309" t="s">
        <v>7042</v>
      </c>
      <c r="E3241" s="290"/>
      <c r="F3241" s="290"/>
      <c r="G3241" s="415">
        <v>769</v>
      </c>
      <c r="H3241" s="371"/>
    </row>
    <row r="3242" spans="1:8" s="673" customFormat="1" ht="33">
      <c r="A3242" s="309">
        <v>547</v>
      </c>
      <c r="B3242" s="271" t="s">
        <v>7987</v>
      </c>
      <c r="C3242" s="309" t="s">
        <v>7041</v>
      </c>
      <c r="D3242" s="309" t="s">
        <v>7042</v>
      </c>
      <c r="E3242" s="290"/>
      <c r="F3242" s="290"/>
      <c r="G3242" s="415">
        <v>1308</v>
      </c>
      <c r="H3242" s="371"/>
    </row>
    <row r="3243" spans="1:8" s="673" customFormat="1" ht="33">
      <c r="A3243" s="309">
        <v>548</v>
      </c>
      <c r="B3243" s="271" t="s">
        <v>7988</v>
      </c>
      <c r="C3243" s="309" t="s">
        <v>7041</v>
      </c>
      <c r="D3243" s="309" t="s">
        <v>7042</v>
      </c>
      <c r="E3243" s="290"/>
      <c r="F3243" s="290"/>
      <c r="G3243" s="415">
        <v>1665</v>
      </c>
      <c r="H3243" s="371"/>
    </row>
    <row r="3244" spans="1:8" s="673" customFormat="1">
      <c r="A3244" s="309">
        <v>549</v>
      </c>
      <c r="B3244" s="271" t="s">
        <v>7989</v>
      </c>
      <c r="C3244" s="309" t="s">
        <v>6947</v>
      </c>
      <c r="D3244" s="309" t="s">
        <v>6948</v>
      </c>
      <c r="E3244" s="290"/>
      <c r="F3244" s="290"/>
      <c r="G3244" s="415">
        <v>368</v>
      </c>
      <c r="H3244" s="371"/>
    </row>
    <row r="3245" spans="1:8" s="673" customFormat="1">
      <c r="A3245" s="309">
        <v>550</v>
      </c>
      <c r="B3245" s="271" t="s">
        <v>7990</v>
      </c>
      <c r="C3245" s="309" t="s">
        <v>6947</v>
      </c>
      <c r="D3245" s="309" t="s">
        <v>6948</v>
      </c>
      <c r="E3245" s="290"/>
      <c r="F3245" s="290"/>
      <c r="G3245" s="415">
        <v>386</v>
      </c>
      <c r="H3245" s="371"/>
    </row>
    <row r="3246" spans="1:8" s="673" customFormat="1">
      <c r="A3246" s="309">
        <v>551</v>
      </c>
      <c r="B3246" s="271" t="s">
        <v>7991</v>
      </c>
      <c r="C3246" s="309" t="s">
        <v>6947</v>
      </c>
      <c r="D3246" s="309" t="s">
        <v>6948</v>
      </c>
      <c r="E3246" s="290"/>
      <c r="F3246" s="290"/>
      <c r="G3246" s="415">
        <v>380</v>
      </c>
      <c r="H3246" s="371"/>
    </row>
    <row r="3247" spans="1:8" s="673" customFormat="1">
      <c r="A3247" s="309">
        <v>552</v>
      </c>
      <c r="B3247" s="271" t="s">
        <v>7992</v>
      </c>
      <c r="C3247" s="309" t="s">
        <v>6947</v>
      </c>
      <c r="D3247" s="309" t="s">
        <v>6948</v>
      </c>
      <c r="E3247" s="290"/>
      <c r="F3247" s="290"/>
      <c r="G3247" s="415">
        <v>620</v>
      </c>
      <c r="H3247" s="371"/>
    </row>
    <row r="3248" spans="1:8" s="673" customFormat="1" ht="33">
      <c r="A3248" s="309">
        <v>553</v>
      </c>
      <c r="B3248" s="271" t="s">
        <v>7993</v>
      </c>
      <c r="C3248" s="309" t="s">
        <v>6947</v>
      </c>
      <c r="D3248" s="309" t="s">
        <v>6948</v>
      </c>
      <c r="E3248" s="290"/>
      <c r="F3248" s="290"/>
      <c r="G3248" s="415">
        <v>604</v>
      </c>
      <c r="H3248" s="371"/>
    </row>
    <row r="3249" spans="1:8" s="673" customFormat="1">
      <c r="A3249" s="309">
        <v>554</v>
      </c>
      <c r="B3249" s="271" t="s">
        <v>7994</v>
      </c>
      <c r="C3249" s="309" t="s">
        <v>6947</v>
      </c>
      <c r="D3249" s="309" t="s">
        <v>6948</v>
      </c>
      <c r="E3249" s="290"/>
      <c r="F3249" s="290"/>
      <c r="G3249" s="415">
        <v>692</v>
      </c>
      <c r="H3249" s="371"/>
    </row>
    <row r="3250" spans="1:8" s="673" customFormat="1">
      <c r="A3250" s="309">
        <v>555</v>
      </c>
      <c r="B3250" s="271" t="s">
        <v>7995</v>
      </c>
      <c r="C3250" s="309" t="s">
        <v>6947</v>
      </c>
      <c r="D3250" s="309" t="s">
        <v>6948</v>
      </c>
      <c r="E3250" s="290"/>
      <c r="F3250" s="290"/>
      <c r="G3250" s="415">
        <v>776</v>
      </c>
      <c r="H3250" s="371"/>
    </row>
    <row r="3251" spans="1:8" s="673" customFormat="1">
      <c r="A3251" s="309">
        <v>556</v>
      </c>
      <c r="B3251" s="271" t="s">
        <v>7996</v>
      </c>
      <c r="C3251" s="309" t="s">
        <v>6947</v>
      </c>
      <c r="D3251" s="309" t="s">
        <v>6948</v>
      </c>
      <c r="E3251" s="290"/>
      <c r="F3251" s="290"/>
      <c r="G3251" s="415">
        <v>446</v>
      </c>
      <c r="H3251" s="371"/>
    </row>
    <row r="3252" spans="1:8" s="673" customFormat="1">
      <c r="A3252" s="309">
        <v>557</v>
      </c>
      <c r="B3252" s="271" t="s">
        <v>7997</v>
      </c>
      <c r="C3252" s="309" t="s">
        <v>6947</v>
      </c>
      <c r="D3252" s="309" t="s">
        <v>6948</v>
      </c>
      <c r="E3252" s="290"/>
      <c r="F3252" s="290"/>
      <c r="G3252" s="415">
        <v>455</v>
      </c>
      <c r="H3252" s="371"/>
    </row>
    <row r="3253" spans="1:8" s="673" customFormat="1">
      <c r="A3253" s="309">
        <v>558</v>
      </c>
      <c r="B3253" s="271" t="s">
        <v>7998</v>
      </c>
      <c r="C3253" s="309" t="s">
        <v>6947</v>
      </c>
      <c r="D3253" s="309" t="s">
        <v>6948</v>
      </c>
      <c r="E3253" s="290"/>
      <c r="F3253" s="290"/>
      <c r="G3253" s="415">
        <v>418</v>
      </c>
      <c r="H3253" s="371"/>
    </row>
    <row r="3254" spans="1:8" s="673" customFormat="1">
      <c r="A3254" s="309">
        <v>559</v>
      </c>
      <c r="B3254" s="271" t="s">
        <v>7999</v>
      </c>
      <c r="C3254" s="309" t="s">
        <v>6947</v>
      </c>
      <c r="D3254" s="309" t="s">
        <v>6948</v>
      </c>
      <c r="E3254" s="290"/>
      <c r="F3254" s="290"/>
      <c r="G3254" s="415">
        <v>636</v>
      </c>
      <c r="H3254" s="371"/>
    </row>
    <row r="3255" spans="1:8" s="673" customFormat="1">
      <c r="A3255" s="309">
        <v>560</v>
      </c>
      <c r="B3255" s="271" t="s">
        <v>8000</v>
      </c>
      <c r="C3255" s="309" t="s">
        <v>6947</v>
      </c>
      <c r="D3255" s="309" t="s">
        <v>6948</v>
      </c>
      <c r="E3255" s="290"/>
      <c r="F3255" s="290"/>
      <c r="G3255" s="415">
        <v>524</v>
      </c>
      <c r="H3255" s="371"/>
    </row>
    <row r="3256" spans="1:8" s="673" customFormat="1">
      <c r="A3256" s="309">
        <v>561</v>
      </c>
      <c r="B3256" s="271" t="s">
        <v>8001</v>
      </c>
      <c r="C3256" s="309" t="s">
        <v>6947</v>
      </c>
      <c r="D3256" s="309" t="s">
        <v>6948</v>
      </c>
      <c r="E3256" s="290"/>
      <c r="F3256" s="290"/>
      <c r="G3256" s="415">
        <v>812</v>
      </c>
      <c r="H3256" s="371"/>
    </row>
    <row r="3257" spans="1:8" s="673" customFormat="1" ht="33">
      <c r="A3257" s="309">
        <v>562</v>
      </c>
      <c r="B3257" s="271" t="s">
        <v>8002</v>
      </c>
      <c r="C3257" s="309" t="s">
        <v>6947</v>
      </c>
      <c r="D3257" s="309" t="s">
        <v>6948</v>
      </c>
      <c r="E3257" s="290"/>
      <c r="F3257" s="290"/>
      <c r="G3257" s="415">
        <v>765</v>
      </c>
      <c r="H3257" s="371"/>
    </row>
    <row r="3258" spans="1:8" s="673" customFormat="1" ht="33">
      <c r="A3258" s="309">
        <v>563</v>
      </c>
      <c r="B3258" s="271" t="s">
        <v>8003</v>
      </c>
      <c r="C3258" s="309" t="s">
        <v>6947</v>
      </c>
      <c r="D3258" s="309" t="s">
        <v>6948</v>
      </c>
      <c r="E3258" s="290"/>
      <c r="F3258" s="290"/>
      <c r="G3258" s="415">
        <v>515</v>
      </c>
      <c r="H3258" s="371"/>
    </row>
    <row r="3259" spans="1:8" s="673" customFormat="1" ht="33">
      <c r="A3259" s="309">
        <v>564</v>
      </c>
      <c r="B3259" s="271" t="s">
        <v>8004</v>
      </c>
      <c r="C3259" s="309" t="s">
        <v>6947</v>
      </c>
      <c r="D3259" s="309" t="s">
        <v>6948</v>
      </c>
      <c r="E3259" s="290"/>
      <c r="F3259" s="290"/>
      <c r="G3259" s="415">
        <v>782</v>
      </c>
      <c r="H3259" s="371"/>
    </row>
    <row r="3260" spans="1:8" s="673" customFormat="1">
      <c r="A3260" s="309">
        <v>565</v>
      </c>
      <c r="B3260" s="271" t="s">
        <v>8005</v>
      </c>
      <c r="C3260" s="309" t="s">
        <v>6947</v>
      </c>
      <c r="D3260" s="309" t="s">
        <v>6948</v>
      </c>
      <c r="E3260" s="290"/>
      <c r="F3260" s="290"/>
      <c r="G3260" s="415">
        <v>100</v>
      </c>
      <c r="H3260" s="371"/>
    </row>
    <row r="3261" spans="1:8" s="673" customFormat="1">
      <c r="A3261" s="309">
        <v>566</v>
      </c>
      <c r="B3261" s="271" t="s">
        <v>8006</v>
      </c>
      <c r="C3261" s="309" t="s">
        <v>6947</v>
      </c>
      <c r="D3261" s="309" t="s">
        <v>6948</v>
      </c>
      <c r="E3261" s="290"/>
      <c r="F3261" s="290"/>
      <c r="G3261" s="415">
        <v>142</v>
      </c>
      <c r="H3261" s="371"/>
    </row>
  </sheetData>
  <mergeCells count="12">
    <mergeCell ref="A4:F4"/>
    <mergeCell ref="A5:F5"/>
    <mergeCell ref="A1234:F1234"/>
    <mergeCell ref="B2695:D2695"/>
    <mergeCell ref="A1:H1"/>
    <mergeCell ref="A2:A3"/>
    <mergeCell ref="B2:B3"/>
    <mergeCell ref="C2:C3"/>
    <mergeCell ref="D2:D3"/>
    <mergeCell ref="E2:F2"/>
    <mergeCell ref="G2:H2"/>
    <mergeCell ref="A6:B6"/>
  </mergeCells>
  <pageMargins left="0.7" right="0.2" top="0.5" bottom="0.5" header="0.05" footer="0.05"/>
  <pageSetup paperSize="9" scale="65"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6"/>
  <sheetViews>
    <sheetView zoomScaleNormal="100" zoomScaleSheetLayoutView="85" workbookViewId="0">
      <selection activeCell="E5" sqref="E5"/>
    </sheetView>
  </sheetViews>
  <sheetFormatPr defaultRowHeight="15.75"/>
  <cols>
    <col min="1" max="1" width="6.42578125" style="228" customWidth="1"/>
    <col min="2" max="2" width="31.7109375" style="233" customWidth="1"/>
    <col min="3" max="3" width="22" style="230" customWidth="1"/>
    <col min="4" max="4" width="22.85546875" style="230" customWidth="1"/>
    <col min="5" max="5" width="15.7109375" style="234" customWidth="1"/>
    <col min="6" max="6" width="15.7109375" style="233" customWidth="1"/>
    <col min="7" max="7" width="15" style="234" customWidth="1"/>
    <col min="8" max="8" width="14.42578125" style="234" customWidth="1"/>
    <col min="9" max="9" width="13.85546875" style="234" customWidth="1"/>
    <col min="10" max="10" width="10.85546875" style="234" customWidth="1"/>
    <col min="11" max="11" width="10.7109375" style="227" customWidth="1"/>
    <col min="12" max="225" width="9.140625" style="227"/>
    <col min="226" max="226" width="7.7109375" style="227" customWidth="1"/>
    <col min="227" max="227" width="27.28515625" style="227" customWidth="1"/>
    <col min="228" max="228" width="15.7109375" style="227" customWidth="1"/>
    <col min="229" max="229" width="25.5703125" style="227" customWidth="1"/>
    <col min="230" max="230" width="29.7109375" style="227" customWidth="1"/>
    <col min="231" max="231" width="20.85546875" style="227" customWidth="1"/>
    <col min="232" max="232" width="18.5703125" style="227" customWidth="1"/>
    <col min="233" max="233" width="16.7109375" style="227" customWidth="1"/>
    <col min="234" max="234" width="13.85546875" style="227" customWidth="1"/>
    <col min="235" max="235" width="14.28515625" style="227" customWidth="1"/>
    <col min="236" max="236" width="12" style="227" customWidth="1"/>
    <col min="237" max="256" width="9.140625" style="227"/>
    <col min="257" max="257" width="6.42578125" style="227" customWidth="1"/>
    <col min="258" max="258" width="29" style="227" customWidth="1"/>
    <col min="259" max="259" width="20.5703125" style="227" customWidth="1"/>
    <col min="260" max="260" width="17.85546875" style="227" customWidth="1"/>
    <col min="261" max="262" width="15.7109375" style="227" customWidth="1"/>
    <col min="263" max="263" width="15" style="227" customWidth="1"/>
    <col min="264" max="264" width="14.42578125" style="227" customWidth="1"/>
    <col min="265" max="265" width="17.7109375" style="227" customWidth="1"/>
    <col min="266" max="266" width="10.85546875" style="227" customWidth="1"/>
    <col min="267" max="267" width="10.7109375" style="227" customWidth="1"/>
    <col min="268" max="481" width="9.140625" style="227"/>
    <col min="482" max="482" width="7.7109375" style="227" customWidth="1"/>
    <col min="483" max="483" width="27.28515625" style="227" customWidth="1"/>
    <col min="484" max="484" width="15.7109375" style="227" customWidth="1"/>
    <col min="485" max="485" width="25.5703125" style="227" customWidth="1"/>
    <col min="486" max="486" width="29.7109375" style="227" customWidth="1"/>
    <col min="487" max="487" width="20.85546875" style="227" customWidth="1"/>
    <col min="488" max="488" width="18.5703125" style="227" customWidth="1"/>
    <col min="489" max="489" width="16.7109375" style="227" customWidth="1"/>
    <col min="490" max="490" width="13.85546875" style="227" customWidth="1"/>
    <col min="491" max="491" width="14.28515625" style="227" customWidth="1"/>
    <col min="492" max="492" width="12" style="227" customWidth="1"/>
    <col min="493" max="512" width="9.140625" style="227"/>
    <col min="513" max="513" width="6.42578125" style="227" customWidth="1"/>
    <col min="514" max="514" width="29" style="227" customWidth="1"/>
    <col min="515" max="515" width="20.5703125" style="227" customWidth="1"/>
    <col min="516" max="516" width="17.85546875" style="227" customWidth="1"/>
    <col min="517" max="518" width="15.7109375" style="227" customWidth="1"/>
    <col min="519" max="519" width="15" style="227" customWidth="1"/>
    <col min="520" max="520" width="14.42578125" style="227" customWidth="1"/>
    <col min="521" max="521" width="17.7109375" style="227" customWidth="1"/>
    <col min="522" max="522" width="10.85546875" style="227" customWidth="1"/>
    <col min="523" max="523" width="10.7109375" style="227" customWidth="1"/>
    <col min="524" max="737" width="9.140625" style="227"/>
    <col min="738" max="738" width="7.7109375" style="227" customWidth="1"/>
    <col min="739" max="739" width="27.28515625" style="227" customWidth="1"/>
    <col min="740" max="740" width="15.7109375" style="227" customWidth="1"/>
    <col min="741" max="741" width="25.5703125" style="227" customWidth="1"/>
    <col min="742" max="742" width="29.7109375" style="227" customWidth="1"/>
    <col min="743" max="743" width="20.85546875" style="227" customWidth="1"/>
    <col min="744" max="744" width="18.5703125" style="227" customWidth="1"/>
    <col min="745" max="745" width="16.7109375" style="227" customWidth="1"/>
    <col min="746" max="746" width="13.85546875" style="227" customWidth="1"/>
    <col min="747" max="747" width="14.28515625" style="227" customWidth="1"/>
    <col min="748" max="748" width="12" style="227" customWidth="1"/>
    <col min="749" max="768" width="9.140625" style="227"/>
    <col min="769" max="769" width="6.42578125" style="227" customWidth="1"/>
    <col min="770" max="770" width="29" style="227" customWidth="1"/>
    <col min="771" max="771" width="20.5703125" style="227" customWidth="1"/>
    <col min="772" max="772" width="17.85546875" style="227" customWidth="1"/>
    <col min="773" max="774" width="15.7109375" style="227" customWidth="1"/>
    <col min="775" max="775" width="15" style="227" customWidth="1"/>
    <col min="776" max="776" width="14.42578125" style="227" customWidth="1"/>
    <col min="777" max="777" width="17.7109375" style="227" customWidth="1"/>
    <col min="778" max="778" width="10.85546875" style="227" customWidth="1"/>
    <col min="779" max="779" width="10.7109375" style="227" customWidth="1"/>
    <col min="780" max="993" width="9.140625" style="227"/>
    <col min="994" max="994" width="7.7109375" style="227" customWidth="1"/>
    <col min="995" max="995" width="27.28515625" style="227" customWidth="1"/>
    <col min="996" max="996" width="15.7109375" style="227" customWidth="1"/>
    <col min="997" max="997" width="25.5703125" style="227" customWidth="1"/>
    <col min="998" max="998" width="29.7109375" style="227" customWidth="1"/>
    <col min="999" max="999" width="20.85546875" style="227" customWidth="1"/>
    <col min="1000" max="1000" width="18.5703125" style="227" customWidth="1"/>
    <col min="1001" max="1001" width="16.7109375" style="227" customWidth="1"/>
    <col min="1002" max="1002" width="13.85546875" style="227" customWidth="1"/>
    <col min="1003" max="1003" width="14.28515625" style="227" customWidth="1"/>
    <col min="1004" max="1004" width="12" style="227" customWidth="1"/>
    <col min="1005" max="1024" width="9.140625" style="227"/>
    <col min="1025" max="1025" width="6.42578125" style="227" customWidth="1"/>
    <col min="1026" max="1026" width="29" style="227" customWidth="1"/>
    <col min="1027" max="1027" width="20.5703125" style="227" customWidth="1"/>
    <col min="1028" max="1028" width="17.85546875" style="227" customWidth="1"/>
    <col min="1029" max="1030" width="15.7109375" style="227" customWidth="1"/>
    <col min="1031" max="1031" width="15" style="227" customWidth="1"/>
    <col min="1032" max="1032" width="14.42578125" style="227" customWidth="1"/>
    <col min="1033" max="1033" width="17.7109375" style="227" customWidth="1"/>
    <col min="1034" max="1034" width="10.85546875" style="227" customWidth="1"/>
    <col min="1035" max="1035" width="10.7109375" style="227" customWidth="1"/>
    <col min="1036" max="1249" width="9.140625" style="227"/>
    <col min="1250" max="1250" width="7.7109375" style="227" customWidth="1"/>
    <col min="1251" max="1251" width="27.28515625" style="227" customWidth="1"/>
    <col min="1252" max="1252" width="15.7109375" style="227" customWidth="1"/>
    <col min="1253" max="1253" width="25.5703125" style="227" customWidth="1"/>
    <col min="1254" max="1254" width="29.7109375" style="227" customWidth="1"/>
    <col min="1255" max="1255" width="20.85546875" style="227" customWidth="1"/>
    <col min="1256" max="1256" width="18.5703125" style="227" customWidth="1"/>
    <col min="1257" max="1257" width="16.7109375" style="227" customWidth="1"/>
    <col min="1258" max="1258" width="13.85546875" style="227" customWidth="1"/>
    <col min="1259" max="1259" width="14.28515625" style="227" customWidth="1"/>
    <col min="1260" max="1260" width="12" style="227" customWidth="1"/>
    <col min="1261" max="1280" width="9.140625" style="227"/>
    <col min="1281" max="1281" width="6.42578125" style="227" customWidth="1"/>
    <col min="1282" max="1282" width="29" style="227" customWidth="1"/>
    <col min="1283" max="1283" width="20.5703125" style="227" customWidth="1"/>
    <col min="1284" max="1284" width="17.85546875" style="227" customWidth="1"/>
    <col min="1285" max="1286" width="15.7109375" style="227" customWidth="1"/>
    <col min="1287" max="1287" width="15" style="227" customWidth="1"/>
    <col min="1288" max="1288" width="14.42578125" style="227" customWidth="1"/>
    <col min="1289" max="1289" width="17.7109375" style="227" customWidth="1"/>
    <col min="1290" max="1290" width="10.85546875" style="227" customWidth="1"/>
    <col min="1291" max="1291" width="10.7109375" style="227" customWidth="1"/>
    <col min="1292" max="1505" width="9.140625" style="227"/>
    <col min="1506" max="1506" width="7.7109375" style="227" customWidth="1"/>
    <col min="1507" max="1507" width="27.28515625" style="227" customWidth="1"/>
    <col min="1508" max="1508" width="15.7109375" style="227" customWidth="1"/>
    <col min="1509" max="1509" width="25.5703125" style="227" customWidth="1"/>
    <col min="1510" max="1510" width="29.7109375" style="227" customWidth="1"/>
    <col min="1511" max="1511" width="20.85546875" style="227" customWidth="1"/>
    <col min="1512" max="1512" width="18.5703125" style="227" customWidth="1"/>
    <col min="1513" max="1513" width="16.7109375" style="227" customWidth="1"/>
    <col min="1514" max="1514" width="13.85546875" style="227" customWidth="1"/>
    <col min="1515" max="1515" width="14.28515625" style="227" customWidth="1"/>
    <col min="1516" max="1516" width="12" style="227" customWidth="1"/>
    <col min="1517" max="1536" width="9.140625" style="227"/>
    <col min="1537" max="1537" width="6.42578125" style="227" customWidth="1"/>
    <col min="1538" max="1538" width="29" style="227" customWidth="1"/>
    <col min="1539" max="1539" width="20.5703125" style="227" customWidth="1"/>
    <col min="1540" max="1540" width="17.85546875" style="227" customWidth="1"/>
    <col min="1541" max="1542" width="15.7109375" style="227" customWidth="1"/>
    <col min="1543" max="1543" width="15" style="227" customWidth="1"/>
    <col min="1544" max="1544" width="14.42578125" style="227" customWidth="1"/>
    <col min="1545" max="1545" width="17.7109375" style="227" customWidth="1"/>
    <col min="1546" max="1546" width="10.85546875" style="227" customWidth="1"/>
    <col min="1547" max="1547" width="10.7109375" style="227" customWidth="1"/>
    <col min="1548" max="1761" width="9.140625" style="227"/>
    <col min="1762" max="1762" width="7.7109375" style="227" customWidth="1"/>
    <col min="1763" max="1763" width="27.28515625" style="227" customWidth="1"/>
    <col min="1764" max="1764" width="15.7109375" style="227" customWidth="1"/>
    <col min="1765" max="1765" width="25.5703125" style="227" customWidth="1"/>
    <col min="1766" max="1766" width="29.7109375" style="227" customWidth="1"/>
    <col min="1767" max="1767" width="20.85546875" style="227" customWidth="1"/>
    <col min="1768" max="1768" width="18.5703125" style="227" customWidth="1"/>
    <col min="1769" max="1769" width="16.7109375" style="227" customWidth="1"/>
    <col min="1770" max="1770" width="13.85546875" style="227" customWidth="1"/>
    <col min="1771" max="1771" width="14.28515625" style="227" customWidth="1"/>
    <col min="1772" max="1772" width="12" style="227" customWidth="1"/>
    <col min="1773" max="1792" width="9.140625" style="227"/>
    <col min="1793" max="1793" width="6.42578125" style="227" customWidth="1"/>
    <col min="1794" max="1794" width="29" style="227" customWidth="1"/>
    <col min="1795" max="1795" width="20.5703125" style="227" customWidth="1"/>
    <col min="1796" max="1796" width="17.85546875" style="227" customWidth="1"/>
    <col min="1797" max="1798" width="15.7109375" style="227" customWidth="1"/>
    <col min="1799" max="1799" width="15" style="227" customWidth="1"/>
    <col min="1800" max="1800" width="14.42578125" style="227" customWidth="1"/>
    <col min="1801" max="1801" width="17.7109375" style="227" customWidth="1"/>
    <col min="1802" max="1802" width="10.85546875" style="227" customWidth="1"/>
    <col min="1803" max="1803" width="10.7109375" style="227" customWidth="1"/>
    <col min="1804" max="2017" width="9.140625" style="227"/>
    <col min="2018" max="2018" width="7.7109375" style="227" customWidth="1"/>
    <col min="2019" max="2019" width="27.28515625" style="227" customWidth="1"/>
    <col min="2020" max="2020" width="15.7109375" style="227" customWidth="1"/>
    <col min="2021" max="2021" width="25.5703125" style="227" customWidth="1"/>
    <col min="2022" max="2022" width="29.7109375" style="227" customWidth="1"/>
    <col min="2023" max="2023" width="20.85546875" style="227" customWidth="1"/>
    <col min="2024" max="2024" width="18.5703125" style="227" customWidth="1"/>
    <col min="2025" max="2025" width="16.7109375" style="227" customWidth="1"/>
    <col min="2026" max="2026" width="13.85546875" style="227" customWidth="1"/>
    <col min="2027" max="2027" width="14.28515625" style="227" customWidth="1"/>
    <col min="2028" max="2028" width="12" style="227" customWidth="1"/>
    <col min="2029" max="2048" width="9.140625" style="227"/>
    <col min="2049" max="2049" width="6.42578125" style="227" customWidth="1"/>
    <col min="2050" max="2050" width="29" style="227" customWidth="1"/>
    <col min="2051" max="2051" width="20.5703125" style="227" customWidth="1"/>
    <col min="2052" max="2052" width="17.85546875" style="227" customWidth="1"/>
    <col min="2053" max="2054" width="15.7109375" style="227" customWidth="1"/>
    <col min="2055" max="2055" width="15" style="227" customWidth="1"/>
    <col min="2056" max="2056" width="14.42578125" style="227" customWidth="1"/>
    <col min="2057" max="2057" width="17.7109375" style="227" customWidth="1"/>
    <col min="2058" max="2058" width="10.85546875" style="227" customWidth="1"/>
    <col min="2059" max="2059" width="10.7109375" style="227" customWidth="1"/>
    <col min="2060" max="2273" width="9.140625" style="227"/>
    <col min="2274" max="2274" width="7.7109375" style="227" customWidth="1"/>
    <col min="2275" max="2275" width="27.28515625" style="227" customWidth="1"/>
    <col min="2276" max="2276" width="15.7109375" style="227" customWidth="1"/>
    <col min="2277" max="2277" width="25.5703125" style="227" customWidth="1"/>
    <col min="2278" max="2278" width="29.7109375" style="227" customWidth="1"/>
    <col min="2279" max="2279" width="20.85546875" style="227" customWidth="1"/>
    <col min="2280" max="2280" width="18.5703125" style="227" customWidth="1"/>
    <col min="2281" max="2281" width="16.7109375" style="227" customWidth="1"/>
    <col min="2282" max="2282" width="13.85546875" style="227" customWidth="1"/>
    <col min="2283" max="2283" width="14.28515625" style="227" customWidth="1"/>
    <col min="2284" max="2284" width="12" style="227" customWidth="1"/>
    <col min="2285" max="2304" width="9.140625" style="227"/>
    <col min="2305" max="2305" width="6.42578125" style="227" customWidth="1"/>
    <col min="2306" max="2306" width="29" style="227" customWidth="1"/>
    <col min="2307" max="2307" width="20.5703125" style="227" customWidth="1"/>
    <col min="2308" max="2308" width="17.85546875" style="227" customWidth="1"/>
    <col min="2309" max="2310" width="15.7109375" style="227" customWidth="1"/>
    <col min="2311" max="2311" width="15" style="227" customWidth="1"/>
    <col min="2312" max="2312" width="14.42578125" style="227" customWidth="1"/>
    <col min="2313" max="2313" width="17.7109375" style="227" customWidth="1"/>
    <col min="2314" max="2314" width="10.85546875" style="227" customWidth="1"/>
    <col min="2315" max="2315" width="10.7109375" style="227" customWidth="1"/>
    <col min="2316" max="2529" width="9.140625" style="227"/>
    <col min="2530" max="2530" width="7.7109375" style="227" customWidth="1"/>
    <col min="2531" max="2531" width="27.28515625" style="227" customWidth="1"/>
    <col min="2532" max="2532" width="15.7109375" style="227" customWidth="1"/>
    <col min="2533" max="2533" width="25.5703125" style="227" customWidth="1"/>
    <col min="2534" max="2534" width="29.7109375" style="227" customWidth="1"/>
    <col min="2535" max="2535" width="20.85546875" style="227" customWidth="1"/>
    <col min="2536" max="2536" width="18.5703125" style="227" customWidth="1"/>
    <col min="2537" max="2537" width="16.7109375" style="227" customWidth="1"/>
    <col min="2538" max="2538" width="13.85546875" style="227" customWidth="1"/>
    <col min="2539" max="2539" width="14.28515625" style="227" customWidth="1"/>
    <col min="2540" max="2540" width="12" style="227" customWidth="1"/>
    <col min="2541" max="2560" width="9.140625" style="227"/>
    <col min="2561" max="2561" width="6.42578125" style="227" customWidth="1"/>
    <col min="2562" max="2562" width="29" style="227" customWidth="1"/>
    <col min="2563" max="2563" width="20.5703125" style="227" customWidth="1"/>
    <col min="2564" max="2564" width="17.85546875" style="227" customWidth="1"/>
    <col min="2565" max="2566" width="15.7109375" style="227" customWidth="1"/>
    <col min="2567" max="2567" width="15" style="227" customWidth="1"/>
    <col min="2568" max="2568" width="14.42578125" style="227" customWidth="1"/>
    <col min="2569" max="2569" width="17.7109375" style="227" customWidth="1"/>
    <col min="2570" max="2570" width="10.85546875" style="227" customWidth="1"/>
    <col min="2571" max="2571" width="10.7109375" style="227" customWidth="1"/>
    <col min="2572" max="2785" width="9.140625" style="227"/>
    <col min="2786" max="2786" width="7.7109375" style="227" customWidth="1"/>
    <col min="2787" max="2787" width="27.28515625" style="227" customWidth="1"/>
    <col min="2788" max="2788" width="15.7109375" style="227" customWidth="1"/>
    <col min="2789" max="2789" width="25.5703125" style="227" customWidth="1"/>
    <col min="2790" max="2790" width="29.7109375" style="227" customWidth="1"/>
    <col min="2791" max="2791" width="20.85546875" style="227" customWidth="1"/>
    <col min="2792" max="2792" width="18.5703125" style="227" customWidth="1"/>
    <col min="2793" max="2793" width="16.7109375" style="227" customWidth="1"/>
    <col min="2794" max="2794" width="13.85546875" style="227" customWidth="1"/>
    <col min="2795" max="2795" width="14.28515625" style="227" customWidth="1"/>
    <col min="2796" max="2796" width="12" style="227" customWidth="1"/>
    <col min="2797" max="2816" width="9.140625" style="227"/>
    <col min="2817" max="2817" width="6.42578125" style="227" customWidth="1"/>
    <col min="2818" max="2818" width="29" style="227" customWidth="1"/>
    <col min="2819" max="2819" width="20.5703125" style="227" customWidth="1"/>
    <col min="2820" max="2820" width="17.85546875" style="227" customWidth="1"/>
    <col min="2821" max="2822" width="15.7109375" style="227" customWidth="1"/>
    <col min="2823" max="2823" width="15" style="227" customWidth="1"/>
    <col min="2824" max="2824" width="14.42578125" style="227" customWidth="1"/>
    <col min="2825" max="2825" width="17.7109375" style="227" customWidth="1"/>
    <col min="2826" max="2826" width="10.85546875" style="227" customWidth="1"/>
    <col min="2827" max="2827" width="10.7109375" style="227" customWidth="1"/>
    <col min="2828" max="3041" width="9.140625" style="227"/>
    <col min="3042" max="3042" width="7.7109375" style="227" customWidth="1"/>
    <col min="3043" max="3043" width="27.28515625" style="227" customWidth="1"/>
    <col min="3044" max="3044" width="15.7109375" style="227" customWidth="1"/>
    <col min="3045" max="3045" width="25.5703125" style="227" customWidth="1"/>
    <col min="3046" max="3046" width="29.7109375" style="227" customWidth="1"/>
    <col min="3047" max="3047" width="20.85546875" style="227" customWidth="1"/>
    <col min="3048" max="3048" width="18.5703125" style="227" customWidth="1"/>
    <col min="3049" max="3049" width="16.7109375" style="227" customWidth="1"/>
    <col min="3050" max="3050" width="13.85546875" style="227" customWidth="1"/>
    <col min="3051" max="3051" width="14.28515625" style="227" customWidth="1"/>
    <col min="3052" max="3052" width="12" style="227" customWidth="1"/>
    <col min="3053" max="3072" width="9.140625" style="227"/>
    <col min="3073" max="3073" width="6.42578125" style="227" customWidth="1"/>
    <col min="3074" max="3074" width="29" style="227" customWidth="1"/>
    <col min="3075" max="3075" width="20.5703125" style="227" customWidth="1"/>
    <col min="3076" max="3076" width="17.85546875" style="227" customWidth="1"/>
    <col min="3077" max="3078" width="15.7109375" style="227" customWidth="1"/>
    <col min="3079" max="3079" width="15" style="227" customWidth="1"/>
    <col min="3080" max="3080" width="14.42578125" style="227" customWidth="1"/>
    <col min="3081" max="3081" width="17.7109375" style="227" customWidth="1"/>
    <col min="3082" max="3082" width="10.85546875" style="227" customWidth="1"/>
    <col min="3083" max="3083" width="10.7109375" style="227" customWidth="1"/>
    <col min="3084" max="3297" width="9.140625" style="227"/>
    <col min="3298" max="3298" width="7.7109375" style="227" customWidth="1"/>
    <col min="3299" max="3299" width="27.28515625" style="227" customWidth="1"/>
    <col min="3300" max="3300" width="15.7109375" style="227" customWidth="1"/>
    <col min="3301" max="3301" width="25.5703125" style="227" customWidth="1"/>
    <col min="3302" max="3302" width="29.7109375" style="227" customWidth="1"/>
    <col min="3303" max="3303" width="20.85546875" style="227" customWidth="1"/>
    <col min="3304" max="3304" width="18.5703125" style="227" customWidth="1"/>
    <col min="3305" max="3305" width="16.7109375" style="227" customWidth="1"/>
    <col min="3306" max="3306" width="13.85546875" style="227" customWidth="1"/>
    <col min="3307" max="3307" width="14.28515625" style="227" customWidth="1"/>
    <col min="3308" max="3308" width="12" style="227" customWidth="1"/>
    <col min="3309" max="3328" width="9.140625" style="227"/>
    <col min="3329" max="3329" width="6.42578125" style="227" customWidth="1"/>
    <col min="3330" max="3330" width="29" style="227" customWidth="1"/>
    <col min="3331" max="3331" width="20.5703125" style="227" customWidth="1"/>
    <col min="3332" max="3332" width="17.85546875" style="227" customWidth="1"/>
    <col min="3333" max="3334" width="15.7109375" style="227" customWidth="1"/>
    <col min="3335" max="3335" width="15" style="227" customWidth="1"/>
    <col min="3336" max="3336" width="14.42578125" style="227" customWidth="1"/>
    <col min="3337" max="3337" width="17.7109375" style="227" customWidth="1"/>
    <col min="3338" max="3338" width="10.85546875" style="227" customWidth="1"/>
    <col min="3339" max="3339" width="10.7109375" style="227" customWidth="1"/>
    <col min="3340" max="3553" width="9.140625" style="227"/>
    <col min="3554" max="3554" width="7.7109375" style="227" customWidth="1"/>
    <col min="3555" max="3555" width="27.28515625" style="227" customWidth="1"/>
    <col min="3556" max="3556" width="15.7109375" style="227" customWidth="1"/>
    <col min="3557" max="3557" width="25.5703125" style="227" customWidth="1"/>
    <col min="3558" max="3558" width="29.7109375" style="227" customWidth="1"/>
    <col min="3559" max="3559" width="20.85546875" style="227" customWidth="1"/>
    <col min="3560" max="3560" width="18.5703125" style="227" customWidth="1"/>
    <col min="3561" max="3561" width="16.7109375" style="227" customWidth="1"/>
    <col min="3562" max="3562" width="13.85546875" style="227" customWidth="1"/>
    <col min="3563" max="3563" width="14.28515625" style="227" customWidth="1"/>
    <col min="3564" max="3564" width="12" style="227" customWidth="1"/>
    <col min="3565" max="3584" width="9.140625" style="227"/>
    <col min="3585" max="3585" width="6.42578125" style="227" customWidth="1"/>
    <col min="3586" max="3586" width="29" style="227" customWidth="1"/>
    <col min="3587" max="3587" width="20.5703125" style="227" customWidth="1"/>
    <col min="3588" max="3588" width="17.85546875" style="227" customWidth="1"/>
    <col min="3589" max="3590" width="15.7109375" style="227" customWidth="1"/>
    <col min="3591" max="3591" width="15" style="227" customWidth="1"/>
    <col min="3592" max="3592" width="14.42578125" style="227" customWidth="1"/>
    <col min="3593" max="3593" width="17.7109375" style="227" customWidth="1"/>
    <col min="3594" max="3594" width="10.85546875" style="227" customWidth="1"/>
    <col min="3595" max="3595" width="10.7109375" style="227" customWidth="1"/>
    <col min="3596" max="3809" width="9.140625" style="227"/>
    <col min="3810" max="3810" width="7.7109375" style="227" customWidth="1"/>
    <col min="3811" max="3811" width="27.28515625" style="227" customWidth="1"/>
    <col min="3812" max="3812" width="15.7109375" style="227" customWidth="1"/>
    <col min="3813" max="3813" width="25.5703125" style="227" customWidth="1"/>
    <col min="3814" max="3814" width="29.7109375" style="227" customWidth="1"/>
    <col min="3815" max="3815" width="20.85546875" style="227" customWidth="1"/>
    <col min="3816" max="3816" width="18.5703125" style="227" customWidth="1"/>
    <col min="3817" max="3817" width="16.7109375" style="227" customWidth="1"/>
    <col min="3818" max="3818" width="13.85546875" style="227" customWidth="1"/>
    <col min="3819" max="3819" width="14.28515625" style="227" customWidth="1"/>
    <col min="3820" max="3820" width="12" style="227" customWidth="1"/>
    <col min="3821" max="3840" width="9.140625" style="227"/>
    <col min="3841" max="3841" width="6.42578125" style="227" customWidth="1"/>
    <col min="3842" max="3842" width="29" style="227" customWidth="1"/>
    <col min="3843" max="3843" width="20.5703125" style="227" customWidth="1"/>
    <col min="3844" max="3844" width="17.85546875" style="227" customWidth="1"/>
    <col min="3845" max="3846" width="15.7109375" style="227" customWidth="1"/>
    <col min="3847" max="3847" width="15" style="227" customWidth="1"/>
    <col min="3848" max="3848" width="14.42578125" style="227" customWidth="1"/>
    <col min="3849" max="3849" width="17.7109375" style="227" customWidth="1"/>
    <col min="3850" max="3850" width="10.85546875" style="227" customWidth="1"/>
    <col min="3851" max="3851" width="10.7109375" style="227" customWidth="1"/>
    <col min="3852" max="4065" width="9.140625" style="227"/>
    <col min="4066" max="4066" width="7.7109375" style="227" customWidth="1"/>
    <col min="4067" max="4067" width="27.28515625" style="227" customWidth="1"/>
    <col min="4068" max="4068" width="15.7109375" style="227" customWidth="1"/>
    <col min="4069" max="4069" width="25.5703125" style="227" customWidth="1"/>
    <col min="4070" max="4070" width="29.7109375" style="227" customWidth="1"/>
    <col min="4071" max="4071" width="20.85546875" style="227" customWidth="1"/>
    <col min="4072" max="4072" width="18.5703125" style="227" customWidth="1"/>
    <col min="4073" max="4073" width="16.7109375" style="227" customWidth="1"/>
    <col min="4074" max="4074" width="13.85546875" style="227" customWidth="1"/>
    <col min="4075" max="4075" width="14.28515625" style="227" customWidth="1"/>
    <col min="4076" max="4076" width="12" style="227" customWidth="1"/>
    <col min="4077" max="4096" width="9.140625" style="227"/>
    <col min="4097" max="4097" width="6.42578125" style="227" customWidth="1"/>
    <col min="4098" max="4098" width="29" style="227" customWidth="1"/>
    <col min="4099" max="4099" width="20.5703125" style="227" customWidth="1"/>
    <col min="4100" max="4100" width="17.85546875" style="227" customWidth="1"/>
    <col min="4101" max="4102" width="15.7109375" style="227" customWidth="1"/>
    <col min="4103" max="4103" width="15" style="227" customWidth="1"/>
    <col min="4104" max="4104" width="14.42578125" style="227" customWidth="1"/>
    <col min="4105" max="4105" width="17.7109375" style="227" customWidth="1"/>
    <col min="4106" max="4106" width="10.85546875" style="227" customWidth="1"/>
    <col min="4107" max="4107" width="10.7109375" style="227" customWidth="1"/>
    <col min="4108" max="4321" width="9.140625" style="227"/>
    <col min="4322" max="4322" width="7.7109375" style="227" customWidth="1"/>
    <col min="4323" max="4323" width="27.28515625" style="227" customWidth="1"/>
    <col min="4324" max="4324" width="15.7109375" style="227" customWidth="1"/>
    <col min="4325" max="4325" width="25.5703125" style="227" customWidth="1"/>
    <col min="4326" max="4326" width="29.7109375" style="227" customWidth="1"/>
    <col min="4327" max="4327" width="20.85546875" style="227" customWidth="1"/>
    <col min="4328" max="4328" width="18.5703125" style="227" customWidth="1"/>
    <col min="4329" max="4329" width="16.7109375" style="227" customWidth="1"/>
    <col min="4330" max="4330" width="13.85546875" style="227" customWidth="1"/>
    <col min="4331" max="4331" width="14.28515625" style="227" customWidth="1"/>
    <col min="4332" max="4332" width="12" style="227" customWidth="1"/>
    <col min="4333" max="4352" width="9.140625" style="227"/>
    <col min="4353" max="4353" width="6.42578125" style="227" customWidth="1"/>
    <col min="4354" max="4354" width="29" style="227" customWidth="1"/>
    <col min="4355" max="4355" width="20.5703125" style="227" customWidth="1"/>
    <col min="4356" max="4356" width="17.85546875" style="227" customWidth="1"/>
    <col min="4357" max="4358" width="15.7109375" style="227" customWidth="1"/>
    <col min="4359" max="4359" width="15" style="227" customWidth="1"/>
    <col min="4360" max="4360" width="14.42578125" style="227" customWidth="1"/>
    <col min="4361" max="4361" width="17.7109375" style="227" customWidth="1"/>
    <col min="4362" max="4362" width="10.85546875" style="227" customWidth="1"/>
    <col min="4363" max="4363" width="10.7109375" style="227" customWidth="1"/>
    <col min="4364" max="4577" width="9.140625" style="227"/>
    <col min="4578" max="4578" width="7.7109375" style="227" customWidth="1"/>
    <col min="4579" max="4579" width="27.28515625" style="227" customWidth="1"/>
    <col min="4580" max="4580" width="15.7109375" style="227" customWidth="1"/>
    <col min="4581" max="4581" width="25.5703125" style="227" customWidth="1"/>
    <col min="4582" max="4582" width="29.7109375" style="227" customWidth="1"/>
    <col min="4583" max="4583" width="20.85546875" style="227" customWidth="1"/>
    <col min="4584" max="4584" width="18.5703125" style="227" customWidth="1"/>
    <col min="4585" max="4585" width="16.7109375" style="227" customWidth="1"/>
    <col min="4586" max="4586" width="13.85546875" style="227" customWidth="1"/>
    <col min="4587" max="4587" width="14.28515625" style="227" customWidth="1"/>
    <col min="4588" max="4588" width="12" style="227" customWidth="1"/>
    <col min="4589" max="4608" width="9.140625" style="227"/>
    <col min="4609" max="4609" width="6.42578125" style="227" customWidth="1"/>
    <col min="4610" max="4610" width="29" style="227" customWidth="1"/>
    <col min="4611" max="4611" width="20.5703125" style="227" customWidth="1"/>
    <col min="4612" max="4612" width="17.85546875" style="227" customWidth="1"/>
    <col min="4613" max="4614" width="15.7109375" style="227" customWidth="1"/>
    <col min="4615" max="4615" width="15" style="227" customWidth="1"/>
    <col min="4616" max="4616" width="14.42578125" style="227" customWidth="1"/>
    <col min="4617" max="4617" width="17.7109375" style="227" customWidth="1"/>
    <col min="4618" max="4618" width="10.85546875" style="227" customWidth="1"/>
    <col min="4619" max="4619" width="10.7109375" style="227" customWidth="1"/>
    <col min="4620" max="4833" width="9.140625" style="227"/>
    <col min="4834" max="4834" width="7.7109375" style="227" customWidth="1"/>
    <col min="4835" max="4835" width="27.28515625" style="227" customWidth="1"/>
    <col min="4836" max="4836" width="15.7109375" style="227" customWidth="1"/>
    <col min="4837" max="4837" width="25.5703125" style="227" customWidth="1"/>
    <col min="4838" max="4838" width="29.7109375" style="227" customWidth="1"/>
    <col min="4839" max="4839" width="20.85546875" style="227" customWidth="1"/>
    <col min="4840" max="4840" width="18.5703125" style="227" customWidth="1"/>
    <col min="4841" max="4841" width="16.7109375" style="227" customWidth="1"/>
    <col min="4842" max="4842" width="13.85546875" style="227" customWidth="1"/>
    <col min="4843" max="4843" width="14.28515625" style="227" customWidth="1"/>
    <col min="4844" max="4844" width="12" style="227" customWidth="1"/>
    <col min="4845" max="4864" width="9.140625" style="227"/>
    <col min="4865" max="4865" width="6.42578125" style="227" customWidth="1"/>
    <col min="4866" max="4866" width="29" style="227" customWidth="1"/>
    <col min="4867" max="4867" width="20.5703125" style="227" customWidth="1"/>
    <col min="4868" max="4868" width="17.85546875" style="227" customWidth="1"/>
    <col min="4869" max="4870" width="15.7109375" style="227" customWidth="1"/>
    <col min="4871" max="4871" width="15" style="227" customWidth="1"/>
    <col min="4872" max="4872" width="14.42578125" style="227" customWidth="1"/>
    <col min="4873" max="4873" width="17.7109375" style="227" customWidth="1"/>
    <col min="4874" max="4874" width="10.85546875" style="227" customWidth="1"/>
    <col min="4875" max="4875" width="10.7109375" style="227" customWidth="1"/>
    <col min="4876" max="5089" width="9.140625" style="227"/>
    <col min="5090" max="5090" width="7.7109375" style="227" customWidth="1"/>
    <col min="5091" max="5091" width="27.28515625" style="227" customWidth="1"/>
    <col min="5092" max="5092" width="15.7109375" style="227" customWidth="1"/>
    <col min="5093" max="5093" width="25.5703125" style="227" customWidth="1"/>
    <col min="5094" max="5094" width="29.7109375" style="227" customWidth="1"/>
    <col min="5095" max="5095" width="20.85546875" style="227" customWidth="1"/>
    <col min="5096" max="5096" width="18.5703125" style="227" customWidth="1"/>
    <col min="5097" max="5097" width="16.7109375" style="227" customWidth="1"/>
    <col min="5098" max="5098" width="13.85546875" style="227" customWidth="1"/>
    <col min="5099" max="5099" width="14.28515625" style="227" customWidth="1"/>
    <col min="5100" max="5100" width="12" style="227" customWidth="1"/>
    <col min="5101" max="5120" width="9.140625" style="227"/>
    <col min="5121" max="5121" width="6.42578125" style="227" customWidth="1"/>
    <col min="5122" max="5122" width="29" style="227" customWidth="1"/>
    <col min="5123" max="5123" width="20.5703125" style="227" customWidth="1"/>
    <col min="5124" max="5124" width="17.85546875" style="227" customWidth="1"/>
    <col min="5125" max="5126" width="15.7109375" style="227" customWidth="1"/>
    <col min="5127" max="5127" width="15" style="227" customWidth="1"/>
    <col min="5128" max="5128" width="14.42578125" style="227" customWidth="1"/>
    <col min="5129" max="5129" width="17.7109375" style="227" customWidth="1"/>
    <col min="5130" max="5130" width="10.85546875" style="227" customWidth="1"/>
    <col min="5131" max="5131" width="10.7109375" style="227" customWidth="1"/>
    <col min="5132" max="5345" width="9.140625" style="227"/>
    <col min="5346" max="5346" width="7.7109375" style="227" customWidth="1"/>
    <col min="5347" max="5347" width="27.28515625" style="227" customWidth="1"/>
    <col min="5348" max="5348" width="15.7109375" style="227" customWidth="1"/>
    <col min="5349" max="5349" width="25.5703125" style="227" customWidth="1"/>
    <col min="5350" max="5350" width="29.7109375" style="227" customWidth="1"/>
    <col min="5351" max="5351" width="20.85546875" style="227" customWidth="1"/>
    <col min="5352" max="5352" width="18.5703125" style="227" customWidth="1"/>
    <col min="5353" max="5353" width="16.7109375" style="227" customWidth="1"/>
    <col min="5354" max="5354" width="13.85546875" style="227" customWidth="1"/>
    <col min="5355" max="5355" width="14.28515625" style="227" customWidth="1"/>
    <col min="5356" max="5356" width="12" style="227" customWidth="1"/>
    <col min="5357" max="5376" width="9.140625" style="227"/>
    <col min="5377" max="5377" width="6.42578125" style="227" customWidth="1"/>
    <col min="5378" max="5378" width="29" style="227" customWidth="1"/>
    <col min="5379" max="5379" width="20.5703125" style="227" customWidth="1"/>
    <col min="5380" max="5380" width="17.85546875" style="227" customWidth="1"/>
    <col min="5381" max="5382" width="15.7109375" style="227" customWidth="1"/>
    <col min="5383" max="5383" width="15" style="227" customWidth="1"/>
    <col min="5384" max="5384" width="14.42578125" style="227" customWidth="1"/>
    <col min="5385" max="5385" width="17.7109375" style="227" customWidth="1"/>
    <col min="5386" max="5386" width="10.85546875" style="227" customWidth="1"/>
    <col min="5387" max="5387" width="10.7109375" style="227" customWidth="1"/>
    <col min="5388" max="5601" width="9.140625" style="227"/>
    <col min="5602" max="5602" width="7.7109375" style="227" customWidth="1"/>
    <col min="5603" max="5603" width="27.28515625" style="227" customWidth="1"/>
    <col min="5604" max="5604" width="15.7109375" style="227" customWidth="1"/>
    <col min="5605" max="5605" width="25.5703125" style="227" customWidth="1"/>
    <col min="5606" max="5606" width="29.7109375" style="227" customWidth="1"/>
    <col min="5607" max="5607" width="20.85546875" style="227" customWidth="1"/>
    <col min="5608" max="5608" width="18.5703125" style="227" customWidth="1"/>
    <col min="5609" max="5609" width="16.7109375" style="227" customWidth="1"/>
    <col min="5610" max="5610" width="13.85546875" style="227" customWidth="1"/>
    <col min="5611" max="5611" width="14.28515625" style="227" customWidth="1"/>
    <col min="5612" max="5612" width="12" style="227" customWidth="1"/>
    <col min="5613" max="5632" width="9.140625" style="227"/>
    <col min="5633" max="5633" width="6.42578125" style="227" customWidth="1"/>
    <col min="5634" max="5634" width="29" style="227" customWidth="1"/>
    <col min="5635" max="5635" width="20.5703125" style="227" customWidth="1"/>
    <col min="5636" max="5636" width="17.85546875" style="227" customWidth="1"/>
    <col min="5637" max="5638" width="15.7109375" style="227" customWidth="1"/>
    <col min="5639" max="5639" width="15" style="227" customWidth="1"/>
    <col min="5640" max="5640" width="14.42578125" style="227" customWidth="1"/>
    <col min="5641" max="5641" width="17.7109375" style="227" customWidth="1"/>
    <col min="5642" max="5642" width="10.85546875" style="227" customWidth="1"/>
    <col min="5643" max="5643" width="10.7109375" style="227" customWidth="1"/>
    <col min="5644" max="5857" width="9.140625" style="227"/>
    <col min="5858" max="5858" width="7.7109375" style="227" customWidth="1"/>
    <col min="5859" max="5859" width="27.28515625" style="227" customWidth="1"/>
    <col min="5860" max="5860" width="15.7109375" style="227" customWidth="1"/>
    <col min="5861" max="5861" width="25.5703125" style="227" customWidth="1"/>
    <col min="5862" max="5862" width="29.7109375" style="227" customWidth="1"/>
    <col min="5863" max="5863" width="20.85546875" style="227" customWidth="1"/>
    <col min="5864" max="5864" width="18.5703125" style="227" customWidth="1"/>
    <col min="5865" max="5865" width="16.7109375" style="227" customWidth="1"/>
    <col min="5866" max="5866" width="13.85546875" style="227" customWidth="1"/>
    <col min="5867" max="5867" width="14.28515625" style="227" customWidth="1"/>
    <col min="5868" max="5868" width="12" style="227" customWidth="1"/>
    <col min="5869" max="5888" width="9.140625" style="227"/>
    <col min="5889" max="5889" width="6.42578125" style="227" customWidth="1"/>
    <col min="5890" max="5890" width="29" style="227" customWidth="1"/>
    <col min="5891" max="5891" width="20.5703125" style="227" customWidth="1"/>
    <col min="5892" max="5892" width="17.85546875" style="227" customWidth="1"/>
    <col min="5893" max="5894" width="15.7109375" style="227" customWidth="1"/>
    <col min="5895" max="5895" width="15" style="227" customWidth="1"/>
    <col min="5896" max="5896" width="14.42578125" style="227" customWidth="1"/>
    <col min="5897" max="5897" width="17.7109375" style="227" customWidth="1"/>
    <col min="5898" max="5898" width="10.85546875" style="227" customWidth="1"/>
    <col min="5899" max="5899" width="10.7109375" style="227" customWidth="1"/>
    <col min="5900" max="6113" width="9.140625" style="227"/>
    <col min="6114" max="6114" width="7.7109375" style="227" customWidth="1"/>
    <col min="6115" max="6115" width="27.28515625" style="227" customWidth="1"/>
    <col min="6116" max="6116" width="15.7109375" style="227" customWidth="1"/>
    <col min="6117" max="6117" width="25.5703125" style="227" customWidth="1"/>
    <col min="6118" max="6118" width="29.7109375" style="227" customWidth="1"/>
    <col min="6119" max="6119" width="20.85546875" style="227" customWidth="1"/>
    <col min="6120" max="6120" width="18.5703125" style="227" customWidth="1"/>
    <col min="6121" max="6121" width="16.7109375" style="227" customWidth="1"/>
    <col min="6122" max="6122" width="13.85546875" style="227" customWidth="1"/>
    <col min="6123" max="6123" width="14.28515625" style="227" customWidth="1"/>
    <col min="6124" max="6124" width="12" style="227" customWidth="1"/>
    <col min="6125" max="6144" width="9.140625" style="227"/>
    <col min="6145" max="6145" width="6.42578125" style="227" customWidth="1"/>
    <col min="6146" max="6146" width="29" style="227" customWidth="1"/>
    <col min="6147" max="6147" width="20.5703125" style="227" customWidth="1"/>
    <col min="6148" max="6148" width="17.85546875" style="227" customWidth="1"/>
    <col min="6149" max="6150" width="15.7109375" style="227" customWidth="1"/>
    <col min="6151" max="6151" width="15" style="227" customWidth="1"/>
    <col min="6152" max="6152" width="14.42578125" style="227" customWidth="1"/>
    <col min="6153" max="6153" width="17.7109375" style="227" customWidth="1"/>
    <col min="6154" max="6154" width="10.85546875" style="227" customWidth="1"/>
    <col min="6155" max="6155" width="10.7109375" style="227" customWidth="1"/>
    <col min="6156" max="6369" width="9.140625" style="227"/>
    <col min="6370" max="6370" width="7.7109375" style="227" customWidth="1"/>
    <col min="6371" max="6371" width="27.28515625" style="227" customWidth="1"/>
    <col min="6372" max="6372" width="15.7109375" style="227" customWidth="1"/>
    <col min="6373" max="6373" width="25.5703125" style="227" customWidth="1"/>
    <col min="6374" max="6374" width="29.7109375" style="227" customWidth="1"/>
    <col min="6375" max="6375" width="20.85546875" style="227" customWidth="1"/>
    <col min="6376" max="6376" width="18.5703125" style="227" customWidth="1"/>
    <col min="6377" max="6377" width="16.7109375" style="227" customWidth="1"/>
    <col min="6378" max="6378" width="13.85546875" style="227" customWidth="1"/>
    <col min="6379" max="6379" width="14.28515625" style="227" customWidth="1"/>
    <col min="6380" max="6380" width="12" style="227" customWidth="1"/>
    <col min="6381" max="6400" width="9.140625" style="227"/>
    <col min="6401" max="6401" width="6.42578125" style="227" customWidth="1"/>
    <col min="6402" max="6402" width="29" style="227" customWidth="1"/>
    <col min="6403" max="6403" width="20.5703125" style="227" customWidth="1"/>
    <col min="6404" max="6404" width="17.85546875" style="227" customWidth="1"/>
    <col min="6405" max="6406" width="15.7109375" style="227" customWidth="1"/>
    <col min="6407" max="6407" width="15" style="227" customWidth="1"/>
    <col min="6408" max="6408" width="14.42578125" style="227" customWidth="1"/>
    <col min="6409" max="6409" width="17.7109375" style="227" customWidth="1"/>
    <col min="6410" max="6410" width="10.85546875" style="227" customWidth="1"/>
    <col min="6411" max="6411" width="10.7109375" style="227" customWidth="1"/>
    <col min="6412" max="6625" width="9.140625" style="227"/>
    <col min="6626" max="6626" width="7.7109375" style="227" customWidth="1"/>
    <col min="6627" max="6627" width="27.28515625" style="227" customWidth="1"/>
    <col min="6628" max="6628" width="15.7109375" style="227" customWidth="1"/>
    <col min="6629" max="6629" width="25.5703125" style="227" customWidth="1"/>
    <col min="6630" max="6630" width="29.7109375" style="227" customWidth="1"/>
    <col min="6631" max="6631" width="20.85546875" style="227" customWidth="1"/>
    <col min="6632" max="6632" width="18.5703125" style="227" customWidth="1"/>
    <col min="6633" max="6633" width="16.7109375" style="227" customWidth="1"/>
    <col min="6634" max="6634" width="13.85546875" style="227" customWidth="1"/>
    <col min="6635" max="6635" width="14.28515625" style="227" customWidth="1"/>
    <col min="6636" max="6636" width="12" style="227" customWidth="1"/>
    <col min="6637" max="6656" width="9.140625" style="227"/>
    <col min="6657" max="6657" width="6.42578125" style="227" customWidth="1"/>
    <col min="6658" max="6658" width="29" style="227" customWidth="1"/>
    <col min="6659" max="6659" width="20.5703125" style="227" customWidth="1"/>
    <col min="6660" max="6660" width="17.85546875" style="227" customWidth="1"/>
    <col min="6661" max="6662" width="15.7109375" style="227" customWidth="1"/>
    <col min="6663" max="6663" width="15" style="227" customWidth="1"/>
    <col min="6664" max="6664" width="14.42578125" style="227" customWidth="1"/>
    <col min="6665" max="6665" width="17.7109375" style="227" customWidth="1"/>
    <col min="6666" max="6666" width="10.85546875" style="227" customWidth="1"/>
    <col min="6667" max="6667" width="10.7109375" style="227" customWidth="1"/>
    <col min="6668" max="6881" width="9.140625" style="227"/>
    <col min="6882" max="6882" width="7.7109375" style="227" customWidth="1"/>
    <col min="6883" max="6883" width="27.28515625" style="227" customWidth="1"/>
    <col min="6884" max="6884" width="15.7109375" style="227" customWidth="1"/>
    <col min="6885" max="6885" width="25.5703125" style="227" customWidth="1"/>
    <col min="6886" max="6886" width="29.7109375" style="227" customWidth="1"/>
    <col min="6887" max="6887" width="20.85546875" style="227" customWidth="1"/>
    <col min="6888" max="6888" width="18.5703125" style="227" customWidth="1"/>
    <col min="6889" max="6889" width="16.7109375" style="227" customWidth="1"/>
    <col min="6890" max="6890" width="13.85546875" style="227" customWidth="1"/>
    <col min="6891" max="6891" width="14.28515625" style="227" customWidth="1"/>
    <col min="6892" max="6892" width="12" style="227" customWidth="1"/>
    <col min="6893" max="6912" width="9.140625" style="227"/>
    <col min="6913" max="6913" width="6.42578125" style="227" customWidth="1"/>
    <col min="6914" max="6914" width="29" style="227" customWidth="1"/>
    <col min="6915" max="6915" width="20.5703125" style="227" customWidth="1"/>
    <col min="6916" max="6916" width="17.85546875" style="227" customWidth="1"/>
    <col min="6917" max="6918" width="15.7109375" style="227" customWidth="1"/>
    <col min="6919" max="6919" width="15" style="227" customWidth="1"/>
    <col min="6920" max="6920" width="14.42578125" style="227" customWidth="1"/>
    <col min="6921" max="6921" width="17.7109375" style="227" customWidth="1"/>
    <col min="6922" max="6922" width="10.85546875" style="227" customWidth="1"/>
    <col min="6923" max="6923" width="10.7109375" style="227" customWidth="1"/>
    <col min="6924" max="7137" width="9.140625" style="227"/>
    <col min="7138" max="7138" width="7.7109375" style="227" customWidth="1"/>
    <col min="7139" max="7139" width="27.28515625" style="227" customWidth="1"/>
    <col min="7140" max="7140" width="15.7109375" style="227" customWidth="1"/>
    <col min="7141" max="7141" width="25.5703125" style="227" customWidth="1"/>
    <col min="7142" max="7142" width="29.7109375" style="227" customWidth="1"/>
    <col min="7143" max="7143" width="20.85546875" style="227" customWidth="1"/>
    <col min="7144" max="7144" width="18.5703125" style="227" customWidth="1"/>
    <col min="7145" max="7145" width="16.7109375" style="227" customWidth="1"/>
    <col min="7146" max="7146" width="13.85546875" style="227" customWidth="1"/>
    <col min="7147" max="7147" width="14.28515625" style="227" customWidth="1"/>
    <col min="7148" max="7148" width="12" style="227" customWidth="1"/>
    <col min="7149" max="7168" width="9.140625" style="227"/>
    <col min="7169" max="7169" width="6.42578125" style="227" customWidth="1"/>
    <col min="7170" max="7170" width="29" style="227" customWidth="1"/>
    <col min="7171" max="7171" width="20.5703125" style="227" customWidth="1"/>
    <col min="7172" max="7172" width="17.85546875" style="227" customWidth="1"/>
    <col min="7173" max="7174" width="15.7109375" style="227" customWidth="1"/>
    <col min="7175" max="7175" width="15" style="227" customWidth="1"/>
    <col min="7176" max="7176" width="14.42578125" style="227" customWidth="1"/>
    <col min="7177" max="7177" width="17.7109375" style="227" customWidth="1"/>
    <col min="7178" max="7178" width="10.85546875" style="227" customWidth="1"/>
    <col min="7179" max="7179" width="10.7109375" style="227" customWidth="1"/>
    <col min="7180" max="7393" width="9.140625" style="227"/>
    <col min="7394" max="7394" width="7.7109375" style="227" customWidth="1"/>
    <col min="7395" max="7395" width="27.28515625" style="227" customWidth="1"/>
    <col min="7396" max="7396" width="15.7109375" style="227" customWidth="1"/>
    <col min="7397" max="7397" width="25.5703125" style="227" customWidth="1"/>
    <col min="7398" max="7398" width="29.7109375" style="227" customWidth="1"/>
    <col min="7399" max="7399" width="20.85546875" style="227" customWidth="1"/>
    <col min="7400" max="7400" width="18.5703125" style="227" customWidth="1"/>
    <col min="7401" max="7401" width="16.7109375" style="227" customWidth="1"/>
    <col min="7402" max="7402" width="13.85546875" style="227" customWidth="1"/>
    <col min="7403" max="7403" width="14.28515625" style="227" customWidth="1"/>
    <col min="7404" max="7404" width="12" style="227" customWidth="1"/>
    <col min="7405" max="7424" width="9.140625" style="227"/>
    <col min="7425" max="7425" width="6.42578125" style="227" customWidth="1"/>
    <col min="7426" max="7426" width="29" style="227" customWidth="1"/>
    <col min="7427" max="7427" width="20.5703125" style="227" customWidth="1"/>
    <col min="7428" max="7428" width="17.85546875" style="227" customWidth="1"/>
    <col min="7429" max="7430" width="15.7109375" style="227" customWidth="1"/>
    <col min="7431" max="7431" width="15" style="227" customWidth="1"/>
    <col min="7432" max="7432" width="14.42578125" style="227" customWidth="1"/>
    <col min="7433" max="7433" width="17.7109375" style="227" customWidth="1"/>
    <col min="7434" max="7434" width="10.85546875" style="227" customWidth="1"/>
    <col min="7435" max="7435" width="10.7109375" style="227" customWidth="1"/>
    <col min="7436" max="7649" width="9.140625" style="227"/>
    <col min="7650" max="7650" width="7.7109375" style="227" customWidth="1"/>
    <col min="7651" max="7651" width="27.28515625" style="227" customWidth="1"/>
    <col min="7652" max="7652" width="15.7109375" style="227" customWidth="1"/>
    <col min="7653" max="7653" width="25.5703125" style="227" customWidth="1"/>
    <col min="7654" max="7654" width="29.7109375" style="227" customWidth="1"/>
    <col min="7655" max="7655" width="20.85546875" style="227" customWidth="1"/>
    <col min="7656" max="7656" width="18.5703125" style="227" customWidth="1"/>
    <col min="7657" max="7657" width="16.7109375" style="227" customWidth="1"/>
    <col min="7658" max="7658" width="13.85546875" style="227" customWidth="1"/>
    <col min="7659" max="7659" width="14.28515625" style="227" customWidth="1"/>
    <col min="7660" max="7660" width="12" style="227" customWidth="1"/>
    <col min="7661" max="7680" width="9.140625" style="227"/>
    <col min="7681" max="7681" width="6.42578125" style="227" customWidth="1"/>
    <col min="7682" max="7682" width="29" style="227" customWidth="1"/>
    <col min="7683" max="7683" width="20.5703125" style="227" customWidth="1"/>
    <col min="7684" max="7684" width="17.85546875" style="227" customWidth="1"/>
    <col min="7685" max="7686" width="15.7109375" style="227" customWidth="1"/>
    <col min="7687" max="7687" width="15" style="227" customWidth="1"/>
    <col min="7688" max="7688" width="14.42578125" style="227" customWidth="1"/>
    <col min="7689" max="7689" width="17.7109375" style="227" customWidth="1"/>
    <col min="7690" max="7690" width="10.85546875" style="227" customWidth="1"/>
    <col min="7691" max="7691" width="10.7109375" style="227" customWidth="1"/>
    <col min="7692" max="7905" width="9.140625" style="227"/>
    <col min="7906" max="7906" width="7.7109375" style="227" customWidth="1"/>
    <col min="7907" max="7907" width="27.28515625" style="227" customWidth="1"/>
    <col min="7908" max="7908" width="15.7109375" style="227" customWidth="1"/>
    <col min="7909" max="7909" width="25.5703125" style="227" customWidth="1"/>
    <col min="7910" max="7910" width="29.7109375" style="227" customWidth="1"/>
    <col min="7911" max="7911" width="20.85546875" style="227" customWidth="1"/>
    <col min="7912" max="7912" width="18.5703125" style="227" customWidth="1"/>
    <col min="7913" max="7913" width="16.7109375" style="227" customWidth="1"/>
    <col min="7914" max="7914" width="13.85546875" style="227" customWidth="1"/>
    <col min="7915" max="7915" width="14.28515625" style="227" customWidth="1"/>
    <col min="7916" max="7916" width="12" style="227" customWidth="1"/>
    <col min="7917" max="7936" width="9.140625" style="227"/>
    <col min="7937" max="7937" width="6.42578125" style="227" customWidth="1"/>
    <col min="7938" max="7938" width="29" style="227" customWidth="1"/>
    <col min="7939" max="7939" width="20.5703125" style="227" customWidth="1"/>
    <col min="7940" max="7940" width="17.85546875" style="227" customWidth="1"/>
    <col min="7941" max="7942" width="15.7109375" style="227" customWidth="1"/>
    <col min="7943" max="7943" width="15" style="227" customWidth="1"/>
    <col min="7944" max="7944" width="14.42578125" style="227" customWidth="1"/>
    <col min="7945" max="7945" width="17.7109375" style="227" customWidth="1"/>
    <col min="7946" max="7946" width="10.85546875" style="227" customWidth="1"/>
    <col min="7947" max="7947" width="10.7109375" style="227" customWidth="1"/>
    <col min="7948" max="8161" width="9.140625" style="227"/>
    <col min="8162" max="8162" width="7.7109375" style="227" customWidth="1"/>
    <col min="8163" max="8163" width="27.28515625" style="227" customWidth="1"/>
    <col min="8164" max="8164" width="15.7109375" style="227" customWidth="1"/>
    <col min="8165" max="8165" width="25.5703125" style="227" customWidth="1"/>
    <col min="8166" max="8166" width="29.7109375" style="227" customWidth="1"/>
    <col min="8167" max="8167" width="20.85546875" style="227" customWidth="1"/>
    <col min="8168" max="8168" width="18.5703125" style="227" customWidth="1"/>
    <col min="8169" max="8169" width="16.7109375" style="227" customWidth="1"/>
    <col min="8170" max="8170" width="13.85546875" style="227" customWidth="1"/>
    <col min="8171" max="8171" width="14.28515625" style="227" customWidth="1"/>
    <col min="8172" max="8172" width="12" style="227" customWidth="1"/>
    <col min="8173" max="8192" width="9.140625" style="227"/>
    <col min="8193" max="8193" width="6.42578125" style="227" customWidth="1"/>
    <col min="8194" max="8194" width="29" style="227" customWidth="1"/>
    <col min="8195" max="8195" width="20.5703125" style="227" customWidth="1"/>
    <col min="8196" max="8196" width="17.85546875" style="227" customWidth="1"/>
    <col min="8197" max="8198" width="15.7109375" style="227" customWidth="1"/>
    <col min="8199" max="8199" width="15" style="227" customWidth="1"/>
    <col min="8200" max="8200" width="14.42578125" style="227" customWidth="1"/>
    <col min="8201" max="8201" width="17.7109375" style="227" customWidth="1"/>
    <col min="8202" max="8202" width="10.85546875" style="227" customWidth="1"/>
    <col min="8203" max="8203" width="10.7109375" style="227" customWidth="1"/>
    <col min="8204" max="8417" width="9.140625" style="227"/>
    <col min="8418" max="8418" width="7.7109375" style="227" customWidth="1"/>
    <col min="8419" max="8419" width="27.28515625" style="227" customWidth="1"/>
    <col min="8420" max="8420" width="15.7109375" style="227" customWidth="1"/>
    <col min="8421" max="8421" width="25.5703125" style="227" customWidth="1"/>
    <col min="8422" max="8422" width="29.7109375" style="227" customWidth="1"/>
    <col min="8423" max="8423" width="20.85546875" style="227" customWidth="1"/>
    <col min="8424" max="8424" width="18.5703125" style="227" customWidth="1"/>
    <col min="8425" max="8425" width="16.7109375" style="227" customWidth="1"/>
    <col min="8426" max="8426" width="13.85546875" style="227" customWidth="1"/>
    <col min="8427" max="8427" width="14.28515625" style="227" customWidth="1"/>
    <col min="8428" max="8428" width="12" style="227" customWidth="1"/>
    <col min="8429" max="8448" width="9.140625" style="227"/>
    <col min="8449" max="8449" width="6.42578125" style="227" customWidth="1"/>
    <col min="8450" max="8450" width="29" style="227" customWidth="1"/>
    <col min="8451" max="8451" width="20.5703125" style="227" customWidth="1"/>
    <col min="8452" max="8452" width="17.85546875" style="227" customWidth="1"/>
    <col min="8453" max="8454" width="15.7109375" style="227" customWidth="1"/>
    <col min="8455" max="8455" width="15" style="227" customWidth="1"/>
    <col min="8456" max="8456" width="14.42578125" style="227" customWidth="1"/>
    <col min="8457" max="8457" width="17.7109375" style="227" customWidth="1"/>
    <col min="8458" max="8458" width="10.85546875" style="227" customWidth="1"/>
    <col min="8459" max="8459" width="10.7109375" style="227" customWidth="1"/>
    <col min="8460" max="8673" width="9.140625" style="227"/>
    <col min="8674" max="8674" width="7.7109375" style="227" customWidth="1"/>
    <col min="8675" max="8675" width="27.28515625" style="227" customWidth="1"/>
    <col min="8676" max="8676" width="15.7109375" style="227" customWidth="1"/>
    <col min="8677" max="8677" width="25.5703125" style="227" customWidth="1"/>
    <col min="8678" max="8678" width="29.7109375" style="227" customWidth="1"/>
    <col min="8679" max="8679" width="20.85546875" style="227" customWidth="1"/>
    <col min="8680" max="8680" width="18.5703125" style="227" customWidth="1"/>
    <col min="8681" max="8681" width="16.7109375" style="227" customWidth="1"/>
    <col min="8682" max="8682" width="13.85546875" style="227" customWidth="1"/>
    <col min="8683" max="8683" width="14.28515625" style="227" customWidth="1"/>
    <col min="8684" max="8684" width="12" style="227" customWidth="1"/>
    <col min="8685" max="8704" width="9.140625" style="227"/>
    <col min="8705" max="8705" width="6.42578125" style="227" customWidth="1"/>
    <col min="8706" max="8706" width="29" style="227" customWidth="1"/>
    <col min="8707" max="8707" width="20.5703125" style="227" customWidth="1"/>
    <col min="8708" max="8708" width="17.85546875" style="227" customWidth="1"/>
    <col min="8709" max="8710" width="15.7109375" style="227" customWidth="1"/>
    <col min="8711" max="8711" width="15" style="227" customWidth="1"/>
    <col min="8712" max="8712" width="14.42578125" style="227" customWidth="1"/>
    <col min="8713" max="8713" width="17.7109375" style="227" customWidth="1"/>
    <col min="8714" max="8714" width="10.85546875" style="227" customWidth="1"/>
    <col min="8715" max="8715" width="10.7109375" style="227" customWidth="1"/>
    <col min="8716" max="8929" width="9.140625" style="227"/>
    <col min="8930" max="8930" width="7.7109375" style="227" customWidth="1"/>
    <col min="8931" max="8931" width="27.28515625" style="227" customWidth="1"/>
    <col min="8932" max="8932" width="15.7109375" style="227" customWidth="1"/>
    <col min="8933" max="8933" width="25.5703125" style="227" customWidth="1"/>
    <col min="8934" max="8934" width="29.7109375" style="227" customWidth="1"/>
    <col min="8935" max="8935" width="20.85546875" style="227" customWidth="1"/>
    <col min="8936" max="8936" width="18.5703125" style="227" customWidth="1"/>
    <col min="8937" max="8937" width="16.7109375" style="227" customWidth="1"/>
    <col min="8938" max="8938" width="13.85546875" style="227" customWidth="1"/>
    <col min="8939" max="8939" width="14.28515625" style="227" customWidth="1"/>
    <col min="8940" max="8940" width="12" style="227" customWidth="1"/>
    <col min="8941" max="8960" width="9.140625" style="227"/>
    <col min="8961" max="8961" width="6.42578125" style="227" customWidth="1"/>
    <col min="8962" max="8962" width="29" style="227" customWidth="1"/>
    <col min="8963" max="8963" width="20.5703125" style="227" customWidth="1"/>
    <col min="8964" max="8964" width="17.85546875" style="227" customWidth="1"/>
    <col min="8965" max="8966" width="15.7109375" style="227" customWidth="1"/>
    <col min="8967" max="8967" width="15" style="227" customWidth="1"/>
    <col min="8968" max="8968" width="14.42578125" style="227" customWidth="1"/>
    <col min="8969" max="8969" width="17.7109375" style="227" customWidth="1"/>
    <col min="8970" max="8970" width="10.85546875" style="227" customWidth="1"/>
    <col min="8971" max="8971" width="10.7109375" style="227" customWidth="1"/>
    <col min="8972" max="9185" width="9.140625" style="227"/>
    <col min="9186" max="9186" width="7.7109375" style="227" customWidth="1"/>
    <col min="9187" max="9187" width="27.28515625" style="227" customWidth="1"/>
    <col min="9188" max="9188" width="15.7109375" style="227" customWidth="1"/>
    <col min="9189" max="9189" width="25.5703125" style="227" customWidth="1"/>
    <col min="9190" max="9190" width="29.7109375" style="227" customWidth="1"/>
    <col min="9191" max="9191" width="20.85546875" style="227" customWidth="1"/>
    <col min="9192" max="9192" width="18.5703125" style="227" customWidth="1"/>
    <col min="9193" max="9193" width="16.7109375" style="227" customWidth="1"/>
    <col min="9194" max="9194" width="13.85546875" style="227" customWidth="1"/>
    <col min="9195" max="9195" width="14.28515625" style="227" customWidth="1"/>
    <col min="9196" max="9196" width="12" style="227" customWidth="1"/>
    <col min="9197" max="9216" width="9.140625" style="227"/>
    <col min="9217" max="9217" width="6.42578125" style="227" customWidth="1"/>
    <col min="9218" max="9218" width="29" style="227" customWidth="1"/>
    <col min="9219" max="9219" width="20.5703125" style="227" customWidth="1"/>
    <col min="9220" max="9220" width="17.85546875" style="227" customWidth="1"/>
    <col min="9221" max="9222" width="15.7109375" style="227" customWidth="1"/>
    <col min="9223" max="9223" width="15" style="227" customWidth="1"/>
    <col min="9224" max="9224" width="14.42578125" style="227" customWidth="1"/>
    <col min="9225" max="9225" width="17.7109375" style="227" customWidth="1"/>
    <col min="9226" max="9226" width="10.85546875" style="227" customWidth="1"/>
    <col min="9227" max="9227" width="10.7109375" style="227" customWidth="1"/>
    <col min="9228" max="9441" width="9.140625" style="227"/>
    <col min="9442" max="9442" width="7.7109375" style="227" customWidth="1"/>
    <col min="9443" max="9443" width="27.28515625" style="227" customWidth="1"/>
    <col min="9444" max="9444" width="15.7109375" style="227" customWidth="1"/>
    <col min="9445" max="9445" width="25.5703125" style="227" customWidth="1"/>
    <col min="9446" max="9446" width="29.7109375" style="227" customWidth="1"/>
    <col min="9447" max="9447" width="20.85546875" style="227" customWidth="1"/>
    <col min="9448" max="9448" width="18.5703125" style="227" customWidth="1"/>
    <col min="9449" max="9449" width="16.7109375" style="227" customWidth="1"/>
    <col min="9450" max="9450" width="13.85546875" style="227" customWidth="1"/>
    <col min="9451" max="9451" width="14.28515625" style="227" customWidth="1"/>
    <col min="9452" max="9452" width="12" style="227" customWidth="1"/>
    <col min="9453" max="9472" width="9.140625" style="227"/>
    <col min="9473" max="9473" width="6.42578125" style="227" customWidth="1"/>
    <col min="9474" max="9474" width="29" style="227" customWidth="1"/>
    <col min="9475" max="9475" width="20.5703125" style="227" customWidth="1"/>
    <col min="9476" max="9476" width="17.85546875" style="227" customWidth="1"/>
    <col min="9477" max="9478" width="15.7109375" style="227" customWidth="1"/>
    <col min="9479" max="9479" width="15" style="227" customWidth="1"/>
    <col min="9480" max="9480" width="14.42578125" style="227" customWidth="1"/>
    <col min="9481" max="9481" width="17.7109375" style="227" customWidth="1"/>
    <col min="9482" max="9482" width="10.85546875" style="227" customWidth="1"/>
    <col min="9483" max="9483" width="10.7109375" style="227" customWidth="1"/>
    <col min="9484" max="9697" width="9.140625" style="227"/>
    <col min="9698" max="9698" width="7.7109375" style="227" customWidth="1"/>
    <col min="9699" max="9699" width="27.28515625" style="227" customWidth="1"/>
    <col min="9700" max="9700" width="15.7109375" style="227" customWidth="1"/>
    <col min="9701" max="9701" width="25.5703125" style="227" customWidth="1"/>
    <col min="9702" max="9702" width="29.7109375" style="227" customWidth="1"/>
    <col min="9703" max="9703" width="20.85546875" style="227" customWidth="1"/>
    <col min="9704" max="9704" width="18.5703125" style="227" customWidth="1"/>
    <col min="9705" max="9705" width="16.7109375" style="227" customWidth="1"/>
    <col min="9706" max="9706" width="13.85546875" style="227" customWidth="1"/>
    <col min="9707" max="9707" width="14.28515625" style="227" customWidth="1"/>
    <col min="9708" max="9708" width="12" style="227" customWidth="1"/>
    <col min="9709" max="9728" width="9.140625" style="227"/>
    <col min="9729" max="9729" width="6.42578125" style="227" customWidth="1"/>
    <col min="9730" max="9730" width="29" style="227" customWidth="1"/>
    <col min="9731" max="9731" width="20.5703125" style="227" customWidth="1"/>
    <col min="9732" max="9732" width="17.85546875" style="227" customWidth="1"/>
    <col min="9733" max="9734" width="15.7109375" style="227" customWidth="1"/>
    <col min="9735" max="9735" width="15" style="227" customWidth="1"/>
    <col min="9736" max="9736" width="14.42578125" style="227" customWidth="1"/>
    <col min="9737" max="9737" width="17.7109375" style="227" customWidth="1"/>
    <col min="9738" max="9738" width="10.85546875" style="227" customWidth="1"/>
    <col min="9739" max="9739" width="10.7109375" style="227" customWidth="1"/>
    <col min="9740" max="9953" width="9.140625" style="227"/>
    <col min="9954" max="9954" width="7.7109375" style="227" customWidth="1"/>
    <col min="9955" max="9955" width="27.28515625" style="227" customWidth="1"/>
    <col min="9956" max="9956" width="15.7109375" style="227" customWidth="1"/>
    <col min="9957" max="9957" width="25.5703125" style="227" customWidth="1"/>
    <col min="9958" max="9958" width="29.7109375" style="227" customWidth="1"/>
    <col min="9959" max="9959" width="20.85546875" style="227" customWidth="1"/>
    <col min="9960" max="9960" width="18.5703125" style="227" customWidth="1"/>
    <col min="9961" max="9961" width="16.7109375" style="227" customWidth="1"/>
    <col min="9962" max="9962" width="13.85546875" style="227" customWidth="1"/>
    <col min="9963" max="9963" width="14.28515625" style="227" customWidth="1"/>
    <col min="9964" max="9964" width="12" style="227" customWidth="1"/>
    <col min="9965" max="9984" width="9.140625" style="227"/>
    <col min="9985" max="9985" width="6.42578125" style="227" customWidth="1"/>
    <col min="9986" max="9986" width="29" style="227" customWidth="1"/>
    <col min="9987" max="9987" width="20.5703125" style="227" customWidth="1"/>
    <col min="9988" max="9988" width="17.85546875" style="227" customWidth="1"/>
    <col min="9989" max="9990" width="15.7109375" style="227" customWidth="1"/>
    <col min="9991" max="9991" width="15" style="227" customWidth="1"/>
    <col min="9992" max="9992" width="14.42578125" style="227" customWidth="1"/>
    <col min="9993" max="9993" width="17.7109375" style="227" customWidth="1"/>
    <col min="9994" max="9994" width="10.85546875" style="227" customWidth="1"/>
    <col min="9995" max="9995" width="10.7109375" style="227" customWidth="1"/>
    <col min="9996" max="10209" width="9.140625" style="227"/>
    <col min="10210" max="10210" width="7.7109375" style="227" customWidth="1"/>
    <col min="10211" max="10211" width="27.28515625" style="227" customWidth="1"/>
    <col min="10212" max="10212" width="15.7109375" style="227" customWidth="1"/>
    <col min="10213" max="10213" width="25.5703125" style="227" customWidth="1"/>
    <col min="10214" max="10214" width="29.7109375" style="227" customWidth="1"/>
    <col min="10215" max="10215" width="20.85546875" style="227" customWidth="1"/>
    <col min="10216" max="10216" width="18.5703125" style="227" customWidth="1"/>
    <col min="10217" max="10217" width="16.7109375" style="227" customWidth="1"/>
    <col min="10218" max="10218" width="13.85546875" style="227" customWidth="1"/>
    <col min="10219" max="10219" width="14.28515625" style="227" customWidth="1"/>
    <col min="10220" max="10220" width="12" style="227" customWidth="1"/>
    <col min="10221" max="10240" width="9.140625" style="227"/>
    <col min="10241" max="10241" width="6.42578125" style="227" customWidth="1"/>
    <col min="10242" max="10242" width="29" style="227" customWidth="1"/>
    <col min="10243" max="10243" width="20.5703125" style="227" customWidth="1"/>
    <col min="10244" max="10244" width="17.85546875" style="227" customWidth="1"/>
    <col min="10245" max="10246" width="15.7109375" style="227" customWidth="1"/>
    <col min="10247" max="10247" width="15" style="227" customWidth="1"/>
    <col min="10248" max="10248" width="14.42578125" style="227" customWidth="1"/>
    <col min="10249" max="10249" width="17.7109375" style="227" customWidth="1"/>
    <col min="10250" max="10250" width="10.85546875" style="227" customWidth="1"/>
    <col min="10251" max="10251" width="10.7109375" style="227" customWidth="1"/>
    <col min="10252" max="10465" width="9.140625" style="227"/>
    <col min="10466" max="10466" width="7.7109375" style="227" customWidth="1"/>
    <col min="10467" max="10467" width="27.28515625" style="227" customWidth="1"/>
    <col min="10468" max="10468" width="15.7109375" style="227" customWidth="1"/>
    <col min="10469" max="10469" width="25.5703125" style="227" customWidth="1"/>
    <col min="10470" max="10470" width="29.7109375" style="227" customWidth="1"/>
    <col min="10471" max="10471" width="20.85546875" style="227" customWidth="1"/>
    <col min="10472" max="10472" width="18.5703125" style="227" customWidth="1"/>
    <col min="10473" max="10473" width="16.7109375" style="227" customWidth="1"/>
    <col min="10474" max="10474" width="13.85546875" style="227" customWidth="1"/>
    <col min="10475" max="10475" width="14.28515625" style="227" customWidth="1"/>
    <col min="10476" max="10476" width="12" style="227" customWidth="1"/>
    <col min="10477" max="10496" width="9.140625" style="227"/>
    <col min="10497" max="10497" width="6.42578125" style="227" customWidth="1"/>
    <col min="10498" max="10498" width="29" style="227" customWidth="1"/>
    <col min="10499" max="10499" width="20.5703125" style="227" customWidth="1"/>
    <col min="10500" max="10500" width="17.85546875" style="227" customWidth="1"/>
    <col min="10501" max="10502" width="15.7109375" style="227" customWidth="1"/>
    <col min="10503" max="10503" width="15" style="227" customWidth="1"/>
    <col min="10504" max="10504" width="14.42578125" style="227" customWidth="1"/>
    <col min="10505" max="10505" width="17.7109375" style="227" customWidth="1"/>
    <col min="10506" max="10506" width="10.85546875" style="227" customWidth="1"/>
    <col min="10507" max="10507" width="10.7109375" style="227" customWidth="1"/>
    <col min="10508" max="10721" width="9.140625" style="227"/>
    <col min="10722" max="10722" width="7.7109375" style="227" customWidth="1"/>
    <col min="10723" max="10723" width="27.28515625" style="227" customWidth="1"/>
    <col min="10724" max="10724" width="15.7109375" style="227" customWidth="1"/>
    <col min="10725" max="10725" width="25.5703125" style="227" customWidth="1"/>
    <col min="10726" max="10726" width="29.7109375" style="227" customWidth="1"/>
    <col min="10727" max="10727" width="20.85546875" style="227" customWidth="1"/>
    <col min="10728" max="10728" width="18.5703125" style="227" customWidth="1"/>
    <col min="10729" max="10729" width="16.7109375" style="227" customWidth="1"/>
    <col min="10730" max="10730" width="13.85546875" style="227" customWidth="1"/>
    <col min="10731" max="10731" width="14.28515625" style="227" customWidth="1"/>
    <col min="10732" max="10732" width="12" style="227" customWidth="1"/>
    <col min="10733" max="10752" width="9.140625" style="227"/>
    <col min="10753" max="10753" width="6.42578125" style="227" customWidth="1"/>
    <col min="10754" max="10754" width="29" style="227" customWidth="1"/>
    <col min="10755" max="10755" width="20.5703125" style="227" customWidth="1"/>
    <col min="10756" max="10756" width="17.85546875" style="227" customWidth="1"/>
    <col min="10757" max="10758" width="15.7109375" style="227" customWidth="1"/>
    <col min="10759" max="10759" width="15" style="227" customWidth="1"/>
    <col min="10760" max="10760" width="14.42578125" style="227" customWidth="1"/>
    <col min="10761" max="10761" width="17.7109375" style="227" customWidth="1"/>
    <col min="10762" max="10762" width="10.85546875" style="227" customWidth="1"/>
    <col min="10763" max="10763" width="10.7109375" style="227" customWidth="1"/>
    <col min="10764" max="10977" width="9.140625" style="227"/>
    <col min="10978" max="10978" width="7.7109375" style="227" customWidth="1"/>
    <col min="10979" max="10979" width="27.28515625" style="227" customWidth="1"/>
    <col min="10980" max="10980" width="15.7109375" style="227" customWidth="1"/>
    <col min="10981" max="10981" width="25.5703125" style="227" customWidth="1"/>
    <col min="10982" max="10982" width="29.7109375" style="227" customWidth="1"/>
    <col min="10983" max="10983" width="20.85546875" style="227" customWidth="1"/>
    <col min="10984" max="10984" width="18.5703125" style="227" customWidth="1"/>
    <col min="10985" max="10985" width="16.7109375" style="227" customWidth="1"/>
    <col min="10986" max="10986" width="13.85546875" style="227" customWidth="1"/>
    <col min="10987" max="10987" width="14.28515625" style="227" customWidth="1"/>
    <col min="10988" max="10988" width="12" style="227" customWidth="1"/>
    <col min="10989" max="11008" width="9.140625" style="227"/>
    <col min="11009" max="11009" width="6.42578125" style="227" customWidth="1"/>
    <col min="11010" max="11010" width="29" style="227" customWidth="1"/>
    <col min="11011" max="11011" width="20.5703125" style="227" customWidth="1"/>
    <col min="11012" max="11012" width="17.85546875" style="227" customWidth="1"/>
    <col min="11013" max="11014" width="15.7109375" style="227" customWidth="1"/>
    <col min="11015" max="11015" width="15" style="227" customWidth="1"/>
    <col min="11016" max="11016" width="14.42578125" style="227" customWidth="1"/>
    <col min="11017" max="11017" width="17.7109375" style="227" customWidth="1"/>
    <col min="11018" max="11018" width="10.85546875" style="227" customWidth="1"/>
    <col min="11019" max="11019" width="10.7109375" style="227" customWidth="1"/>
    <col min="11020" max="11233" width="9.140625" style="227"/>
    <col min="11234" max="11234" width="7.7109375" style="227" customWidth="1"/>
    <col min="11235" max="11235" width="27.28515625" style="227" customWidth="1"/>
    <col min="11236" max="11236" width="15.7109375" style="227" customWidth="1"/>
    <col min="11237" max="11237" width="25.5703125" style="227" customWidth="1"/>
    <col min="11238" max="11238" width="29.7109375" style="227" customWidth="1"/>
    <col min="11239" max="11239" width="20.85546875" style="227" customWidth="1"/>
    <col min="11240" max="11240" width="18.5703125" style="227" customWidth="1"/>
    <col min="11241" max="11241" width="16.7109375" style="227" customWidth="1"/>
    <col min="11242" max="11242" width="13.85546875" style="227" customWidth="1"/>
    <col min="11243" max="11243" width="14.28515625" style="227" customWidth="1"/>
    <col min="11244" max="11244" width="12" style="227" customWidth="1"/>
    <col min="11245" max="11264" width="9.140625" style="227"/>
    <col min="11265" max="11265" width="6.42578125" style="227" customWidth="1"/>
    <col min="11266" max="11266" width="29" style="227" customWidth="1"/>
    <col min="11267" max="11267" width="20.5703125" style="227" customWidth="1"/>
    <col min="11268" max="11268" width="17.85546875" style="227" customWidth="1"/>
    <col min="11269" max="11270" width="15.7109375" style="227" customWidth="1"/>
    <col min="11271" max="11271" width="15" style="227" customWidth="1"/>
    <col min="11272" max="11272" width="14.42578125" style="227" customWidth="1"/>
    <col min="11273" max="11273" width="17.7109375" style="227" customWidth="1"/>
    <col min="11274" max="11274" width="10.85546875" style="227" customWidth="1"/>
    <col min="11275" max="11275" width="10.7109375" style="227" customWidth="1"/>
    <col min="11276" max="11489" width="9.140625" style="227"/>
    <col min="11490" max="11490" width="7.7109375" style="227" customWidth="1"/>
    <col min="11491" max="11491" width="27.28515625" style="227" customWidth="1"/>
    <col min="11492" max="11492" width="15.7109375" style="227" customWidth="1"/>
    <col min="11493" max="11493" width="25.5703125" style="227" customWidth="1"/>
    <col min="11494" max="11494" width="29.7109375" style="227" customWidth="1"/>
    <col min="11495" max="11495" width="20.85546875" style="227" customWidth="1"/>
    <col min="11496" max="11496" width="18.5703125" style="227" customWidth="1"/>
    <col min="11497" max="11497" width="16.7109375" style="227" customWidth="1"/>
    <col min="11498" max="11498" width="13.85546875" style="227" customWidth="1"/>
    <col min="11499" max="11499" width="14.28515625" style="227" customWidth="1"/>
    <col min="11500" max="11500" width="12" style="227" customWidth="1"/>
    <col min="11501" max="11520" width="9.140625" style="227"/>
    <col min="11521" max="11521" width="6.42578125" style="227" customWidth="1"/>
    <col min="11522" max="11522" width="29" style="227" customWidth="1"/>
    <col min="11523" max="11523" width="20.5703125" style="227" customWidth="1"/>
    <col min="11524" max="11524" width="17.85546875" style="227" customWidth="1"/>
    <col min="11525" max="11526" width="15.7109375" style="227" customWidth="1"/>
    <col min="11527" max="11527" width="15" style="227" customWidth="1"/>
    <col min="11528" max="11528" width="14.42578125" style="227" customWidth="1"/>
    <col min="11529" max="11529" width="17.7109375" style="227" customWidth="1"/>
    <col min="11530" max="11530" width="10.85546875" style="227" customWidth="1"/>
    <col min="11531" max="11531" width="10.7109375" style="227" customWidth="1"/>
    <col min="11532" max="11745" width="9.140625" style="227"/>
    <col min="11746" max="11746" width="7.7109375" style="227" customWidth="1"/>
    <col min="11747" max="11747" width="27.28515625" style="227" customWidth="1"/>
    <col min="11748" max="11748" width="15.7109375" style="227" customWidth="1"/>
    <col min="11749" max="11749" width="25.5703125" style="227" customWidth="1"/>
    <col min="11750" max="11750" width="29.7109375" style="227" customWidth="1"/>
    <col min="11751" max="11751" width="20.85546875" style="227" customWidth="1"/>
    <col min="11752" max="11752" width="18.5703125" style="227" customWidth="1"/>
    <col min="11753" max="11753" width="16.7109375" style="227" customWidth="1"/>
    <col min="11754" max="11754" width="13.85546875" style="227" customWidth="1"/>
    <col min="11755" max="11755" width="14.28515625" style="227" customWidth="1"/>
    <col min="11756" max="11756" width="12" style="227" customWidth="1"/>
    <col min="11757" max="11776" width="9.140625" style="227"/>
    <col min="11777" max="11777" width="6.42578125" style="227" customWidth="1"/>
    <col min="11778" max="11778" width="29" style="227" customWidth="1"/>
    <col min="11779" max="11779" width="20.5703125" style="227" customWidth="1"/>
    <col min="11780" max="11780" width="17.85546875" style="227" customWidth="1"/>
    <col min="11781" max="11782" width="15.7109375" style="227" customWidth="1"/>
    <col min="11783" max="11783" width="15" style="227" customWidth="1"/>
    <col min="11784" max="11784" width="14.42578125" style="227" customWidth="1"/>
    <col min="11785" max="11785" width="17.7109375" style="227" customWidth="1"/>
    <col min="11786" max="11786" width="10.85546875" style="227" customWidth="1"/>
    <col min="11787" max="11787" width="10.7109375" style="227" customWidth="1"/>
    <col min="11788" max="12001" width="9.140625" style="227"/>
    <col min="12002" max="12002" width="7.7109375" style="227" customWidth="1"/>
    <col min="12003" max="12003" width="27.28515625" style="227" customWidth="1"/>
    <col min="12004" max="12004" width="15.7109375" style="227" customWidth="1"/>
    <col min="12005" max="12005" width="25.5703125" style="227" customWidth="1"/>
    <col min="12006" max="12006" width="29.7109375" style="227" customWidth="1"/>
    <col min="12007" max="12007" width="20.85546875" style="227" customWidth="1"/>
    <col min="12008" max="12008" width="18.5703125" style="227" customWidth="1"/>
    <col min="12009" max="12009" width="16.7109375" style="227" customWidth="1"/>
    <col min="12010" max="12010" width="13.85546875" style="227" customWidth="1"/>
    <col min="12011" max="12011" width="14.28515625" style="227" customWidth="1"/>
    <col min="12012" max="12012" width="12" style="227" customWidth="1"/>
    <col min="12013" max="12032" width="9.140625" style="227"/>
    <col min="12033" max="12033" width="6.42578125" style="227" customWidth="1"/>
    <col min="12034" max="12034" width="29" style="227" customWidth="1"/>
    <col min="12035" max="12035" width="20.5703125" style="227" customWidth="1"/>
    <col min="12036" max="12036" width="17.85546875" style="227" customWidth="1"/>
    <col min="12037" max="12038" width="15.7109375" style="227" customWidth="1"/>
    <col min="12039" max="12039" width="15" style="227" customWidth="1"/>
    <col min="12040" max="12040" width="14.42578125" style="227" customWidth="1"/>
    <col min="12041" max="12041" width="17.7109375" style="227" customWidth="1"/>
    <col min="12042" max="12042" width="10.85546875" style="227" customWidth="1"/>
    <col min="12043" max="12043" width="10.7109375" style="227" customWidth="1"/>
    <col min="12044" max="12257" width="9.140625" style="227"/>
    <col min="12258" max="12258" width="7.7109375" style="227" customWidth="1"/>
    <col min="12259" max="12259" width="27.28515625" style="227" customWidth="1"/>
    <col min="12260" max="12260" width="15.7109375" style="227" customWidth="1"/>
    <col min="12261" max="12261" width="25.5703125" style="227" customWidth="1"/>
    <col min="12262" max="12262" width="29.7109375" style="227" customWidth="1"/>
    <col min="12263" max="12263" width="20.85546875" style="227" customWidth="1"/>
    <col min="12264" max="12264" width="18.5703125" style="227" customWidth="1"/>
    <col min="12265" max="12265" width="16.7109375" style="227" customWidth="1"/>
    <col min="12266" max="12266" width="13.85546875" style="227" customWidth="1"/>
    <col min="12267" max="12267" width="14.28515625" style="227" customWidth="1"/>
    <col min="12268" max="12268" width="12" style="227" customWidth="1"/>
    <col min="12269" max="12288" width="9.140625" style="227"/>
    <col min="12289" max="12289" width="6.42578125" style="227" customWidth="1"/>
    <col min="12290" max="12290" width="29" style="227" customWidth="1"/>
    <col min="12291" max="12291" width="20.5703125" style="227" customWidth="1"/>
    <col min="12292" max="12292" width="17.85546875" style="227" customWidth="1"/>
    <col min="12293" max="12294" width="15.7109375" style="227" customWidth="1"/>
    <col min="12295" max="12295" width="15" style="227" customWidth="1"/>
    <col min="12296" max="12296" width="14.42578125" style="227" customWidth="1"/>
    <col min="12297" max="12297" width="17.7109375" style="227" customWidth="1"/>
    <col min="12298" max="12298" width="10.85546875" style="227" customWidth="1"/>
    <col min="12299" max="12299" width="10.7109375" style="227" customWidth="1"/>
    <col min="12300" max="12513" width="9.140625" style="227"/>
    <col min="12514" max="12514" width="7.7109375" style="227" customWidth="1"/>
    <col min="12515" max="12515" width="27.28515625" style="227" customWidth="1"/>
    <col min="12516" max="12516" width="15.7109375" style="227" customWidth="1"/>
    <col min="12517" max="12517" width="25.5703125" style="227" customWidth="1"/>
    <col min="12518" max="12518" width="29.7109375" style="227" customWidth="1"/>
    <col min="12519" max="12519" width="20.85546875" style="227" customWidth="1"/>
    <col min="12520" max="12520" width="18.5703125" style="227" customWidth="1"/>
    <col min="12521" max="12521" width="16.7109375" style="227" customWidth="1"/>
    <col min="12522" max="12522" width="13.85546875" style="227" customWidth="1"/>
    <col min="12523" max="12523" width="14.28515625" style="227" customWidth="1"/>
    <col min="12524" max="12524" width="12" style="227" customWidth="1"/>
    <col min="12525" max="12544" width="9.140625" style="227"/>
    <col min="12545" max="12545" width="6.42578125" style="227" customWidth="1"/>
    <col min="12546" max="12546" width="29" style="227" customWidth="1"/>
    <col min="12547" max="12547" width="20.5703125" style="227" customWidth="1"/>
    <col min="12548" max="12548" width="17.85546875" style="227" customWidth="1"/>
    <col min="12549" max="12550" width="15.7109375" style="227" customWidth="1"/>
    <col min="12551" max="12551" width="15" style="227" customWidth="1"/>
    <col min="12552" max="12552" width="14.42578125" style="227" customWidth="1"/>
    <col min="12553" max="12553" width="17.7109375" style="227" customWidth="1"/>
    <col min="12554" max="12554" width="10.85546875" style="227" customWidth="1"/>
    <col min="12555" max="12555" width="10.7109375" style="227" customWidth="1"/>
    <col min="12556" max="12769" width="9.140625" style="227"/>
    <col min="12770" max="12770" width="7.7109375" style="227" customWidth="1"/>
    <col min="12771" max="12771" width="27.28515625" style="227" customWidth="1"/>
    <col min="12772" max="12772" width="15.7109375" style="227" customWidth="1"/>
    <col min="12773" max="12773" width="25.5703125" style="227" customWidth="1"/>
    <col min="12774" max="12774" width="29.7109375" style="227" customWidth="1"/>
    <col min="12775" max="12775" width="20.85546875" style="227" customWidth="1"/>
    <col min="12776" max="12776" width="18.5703125" style="227" customWidth="1"/>
    <col min="12777" max="12777" width="16.7109375" style="227" customWidth="1"/>
    <col min="12778" max="12778" width="13.85546875" style="227" customWidth="1"/>
    <col min="12779" max="12779" width="14.28515625" style="227" customWidth="1"/>
    <col min="12780" max="12780" width="12" style="227" customWidth="1"/>
    <col min="12781" max="12800" width="9.140625" style="227"/>
    <col min="12801" max="12801" width="6.42578125" style="227" customWidth="1"/>
    <col min="12802" max="12802" width="29" style="227" customWidth="1"/>
    <col min="12803" max="12803" width="20.5703125" style="227" customWidth="1"/>
    <col min="12804" max="12804" width="17.85546875" style="227" customWidth="1"/>
    <col min="12805" max="12806" width="15.7109375" style="227" customWidth="1"/>
    <col min="12807" max="12807" width="15" style="227" customWidth="1"/>
    <col min="12808" max="12808" width="14.42578125" style="227" customWidth="1"/>
    <col min="12809" max="12809" width="17.7109375" style="227" customWidth="1"/>
    <col min="12810" max="12810" width="10.85546875" style="227" customWidth="1"/>
    <col min="12811" max="12811" width="10.7109375" style="227" customWidth="1"/>
    <col min="12812" max="13025" width="9.140625" style="227"/>
    <col min="13026" max="13026" width="7.7109375" style="227" customWidth="1"/>
    <col min="13027" max="13027" width="27.28515625" style="227" customWidth="1"/>
    <col min="13028" max="13028" width="15.7109375" style="227" customWidth="1"/>
    <col min="13029" max="13029" width="25.5703125" style="227" customWidth="1"/>
    <col min="13030" max="13030" width="29.7109375" style="227" customWidth="1"/>
    <col min="13031" max="13031" width="20.85546875" style="227" customWidth="1"/>
    <col min="13032" max="13032" width="18.5703125" style="227" customWidth="1"/>
    <col min="13033" max="13033" width="16.7109375" style="227" customWidth="1"/>
    <col min="13034" max="13034" width="13.85546875" style="227" customWidth="1"/>
    <col min="13035" max="13035" width="14.28515625" style="227" customWidth="1"/>
    <col min="13036" max="13036" width="12" style="227" customWidth="1"/>
    <col min="13037" max="13056" width="9.140625" style="227"/>
    <col min="13057" max="13057" width="6.42578125" style="227" customWidth="1"/>
    <col min="13058" max="13058" width="29" style="227" customWidth="1"/>
    <col min="13059" max="13059" width="20.5703125" style="227" customWidth="1"/>
    <col min="13060" max="13060" width="17.85546875" style="227" customWidth="1"/>
    <col min="13061" max="13062" width="15.7109375" style="227" customWidth="1"/>
    <col min="13063" max="13063" width="15" style="227" customWidth="1"/>
    <col min="13064" max="13064" width="14.42578125" style="227" customWidth="1"/>
    <col min="13065" max="13065" width="17.7109375" style="227" customWidth="1"/>
    <col min="13066" max="13066" width="10.85546875" style="227" customWidth="1"/>
    <col min="13067" max="13067" width="10.7109375" style="227" customWidth="1"/>
    <col min="13068" max="13281" width="9.140625" style="227"/>
    <col min="13282" max="13282" width="7.7109375" style="227" customWidth="1"/>
    <col min="13283" max="13283" width="27.28515625" style="227" customWidth="1"/>
    <col min="13284" max="13284" width="15.7109375" style="227" customWidth="1"/>
    <col min="13285" max="13285" width="25.5703125" style="227" customWidth="1"/>
    <col min="13286" max="13286" width="29.7109375" style="227" customWidth="1"/>
    <col min="13287" max="13287" width="20.85546875" style="227" customWidth="1"/>
    <col min="13288" max="13288" width="18.5703125" style="227" customWidth="1"/>
    <col min="13289" max="13289" width="16.7109375" style="227" customWidth="1"/>
    <col min="13290" max="13290" width="13.85546875" style="227" customWidth="1"/>
    <col min="13291" max="13291" width="14.28515625" style="227" customWidth="1"/>
    <col min="13292" max="13292" width="12" style="227" customWidth="1"/>
    <col min="13293" max="13312" width="9.140625" style="227"/>
    <col min="13313" max="13313" width="6.42578125" style="227" customWidth="1"/>
    <col min="13314" max="13314" width="29" style="227" customWidth="1"/>
    <col min="13315" max="13315" width="20.5703125" style="227" customWidth="1"/>
    <col min="13316" max="13316" width="17.85546875" style="227" customWidth="1"/>
    <col min="13317" max="13318" width="15.7109375" style="227" customWidth="1"/>
    <col min="13319" max="13319" width="15" style="227" customWidth="1"/>
    <col min="13320" max="13320" width="14.42578125" style="227" customWidth="1"/>
    <col min="13321" max="13321" width="17.7109375" style="227" customWidth="1"/>
    <col min="13322" max="13322" width="10.85546875" style="227" customWidth="1"/>
    <col min="13323" max="13323" width="10.7109375" style="227" customWidth="1"/>
    <col min="13324" max="13537" width="9.140625" style="227"/>
    <col min="13538" max="13538" width="7.7109375" style="227" customWidth="1"/>
    <col min="13539" max="13539" width="27.28515625" style="227" customWidth="1"/>
    <col min="13540" max="13540" width="15.7109375" style="227" customWidth="1"/>
    <col min="13541" max="13541" width="25.5703125" style="227" customWidth="1"/>
    <col min="13542" max="13542" width="29.7109375" style="227" customWidth="1"/>
    <col min="13543" max="13543" width="20.85546875" style="227" customWidth="1"/>
    <col min="13544" max="13544" width="18.5703125" style="227" customWidth="1"/>
    <col min="13545" max="13545" width="16.7109375" style="227" customWidth="1"/>
    <col min="13546" max="13546" width="13.85546875" style="227" customWidth="1"/>
    <col min="13547" max="13547" width="14.28515625" style="227" customWidth="1"/>
    <col min="13548" max="13548" width="12" style="227" customWidth="1"/>
    <col min="13549" max="13568" width="9.140625" style="227"/>
    <col min="13569" max="13569" width="6.42578125" style="227" customWidth="1"/>
    <col min="13570" max="13570" width="29" style="227" customWidth="1"/>
    <col min="13571" max="13571" width="20.5703125" style="227" customWidth="1"/>
    <col min="13572" max="13572" width="17.85546875" style="227" customWidth="1"/>
    <col min="13573" max="13574" width="15.7109375" style="227" customWidth="1"/>
    <col min="13575" max="13575" width="15" style="227" customWidth="1"/>
    <col min="13576" max="13576" width="14.42578125" style="227" customWidth="1"/>
    <col min="13577" max="13577" width="17.7109375" style="227" customWidth="1"/>
    <col min="13578" max="13578" width="10.85546875" style="227" customWidth="1"/>
    <col min="13579" max="13579" width="10.7109375" style="227" customWidth="1"/>
    <col min="13580" max="13793" width="9.140625" style="227"/>
    <col min="13794" max="13794" width="7.7109375" style="227" customWidth="1"/>
    <col min="13795" max="13795" width="27.28515625" style="227" customWidth="1"/>
    <col min="13796" max="13796" width="15.7109375" style="227" customWidth="1"/>
    <col min="13797" max="13797" width="25.5703125" style="227" customWidth="1"/>
    <col min="13798" max="13798" width="29.7109375" style="227" customWidth="1"/>
    <col min="13799" max="13799" width="20.85546875" style="227" customWidth="1"/>
    <col min="13800" max="13800" width="18.5703125" style="227" customWidth="1"/>
    <col min="13801" max="13801" width="16.7109375" style="227" customWidth="1"/>
    <col min="13802" max="13802" width="13.85546875" style="227" customWidth="1"/>
    <col min="13803" max="13803" width="14.28515625" style="227" customWidth="1"/>
    <col min="13804" max="13804" width="12" style="227" customWidth="1"/>
    <col min="13805" max="13824" width="9.140625" style="227"/>
    <col min="13825" max="13825" width="6.42578125" style="227" customWidth="1"/>
    <col min="13826" max="13826" width="29" style="227" customWidth="1"/>
    <col min="13827" max="13827" width="20.5703125" style="227" customWidth="1"/>
    <col min="13828" max="13828" width="17.85546875" style="227" customWidth="1"/>
    <col min="13829" max="13830" width="15.7109375" style="227" customWidth="1"/>
    <col min="13831" max="13831" width="15" style="227" customWidth="1"/>
    <col min="13832" max="13832" width="14.42578125" style="227" customWidth="1"/>
    <col min="13833" max="13833" width="17.7109375" style="227" customWidth="1"/>
    <col min="13834" max="13834" width="10.85546875" style="227" customWidth="1"/>
    <col min="13835" max="13835" width="10.7109375" style="227" customWidth="1"/>
    <col min="13836" max="14049" width="9.140625" style="227"/>
    <col min="14050" max="14050" width="7.7109375" style="227" customWidth="1"/>
    <col min="14051" max="14051" width="27.28515625" style="227" customWidth="1"/>
    <col min="14052" max="14052" width="15.7109375" style="227" customWidth="1"/>
    <col min="14053" max="14053" width="25.5703125" style="227" customWidth="1"/>
    <col min="14054" max="14054" width="29.7109375" style="227" customWidth="1"/>
    <col min="14055" max="14055" width="20.85546875" style="227" customWidth="1"/>
    <col min="14056" max="14056" width="18.5703125" style="227" customWidth="1"/>
    <col min="14057" max="14057" width="16.7109375" style="227" customWidth="1"/>
    <col min="14058" max="14058" width="13.85546875" style="227" customWidth="1"/>
    <col min="14059" max="14059" width="14.28515625" style="227" customWidth="1"/>
    <col min="14060" max="14060" width="12" style="227" customWidth="1"/>
    <col min="14061" max="14080" width="9.140625" style="227"/>
    <col min="14081" max="14081" width="6.42578125" style="227" customWidth="1"/>
    <col min="14082" max="14082" width="29" style="227" customWidth="1"/>
    <col min="14083" max="14083" width="20.5703125" style="227" customWidth="1"/>
    <col min="14084" max="14084" width="17.85546875" style="227" customWidth="1"/>
    <col min="14085" max="14086" width="15.7109375" style="227" customWidth="1"/>
    <col min="14087" max="14087" width="15" style="227" customWidth="1"/>
    <col min="14088" max="14088" width="14.42578125" style="227" customWidth="1"/>
    <col min="14089" max="14089" width="17.7109375" style="227" customWidth="1"/>
    <col min="14090" max="14090" width="10.85546875" style="227" customWidth="1"/>
    <col min="14091" max="14091" width="10.7109375" style="227" customWidth="1"/>
    <col min="14092" max="14305" width="9.140625" style="227"/>
    <col min="14306" max="14306" width="7.7109375" style="227" customWidth="1"/>
    <col min="14307" max="14307" width="27.28515625" style="227" customWidth="1"/>
    <col min="14308" max="14308" width="15.7109375" style="227" customWidth="1"/>
    <col min="14309" max="14309" width="25.5703125" style="227" customWidth="1"/>
    <col min="14310" max="14310" width="29.7109375" style="227" customWidth="1"/>
    <col min="14311" max="14311" width="20.85546875" style="227" customWidth="1"/>
    <col min="14312" max="14312" width="18.5703125" style="227" customWidth="1"/>
    <col min="14313" max="14313" width="16.7109375" style="227" customWidth="1"/>
    <col min="14314" max="14314" width="13.85546875" style="227" customWidth="1"/>
    <col min="14315" max="14315" width="14.28515625" style="227" customWidth="1"/>
    <col min="14316" max="14316" width="12" style="227" customWidth="1"/>
    <col min="14317" max="14336" width="9.140625" style="227"/>
    <col min="14337" max="14337" width="6.42578125" style="227" customWidth="1"/>
    <col min="14338" max="14338" width="29" style="227" customWidth="1"/>
    <col min="14339" max="14339" width="20.5703125" style="227" customWidth="1"/>
    <col min="14340" max="14340" width="17.85546875" style="227" customWidth="1"/>
    <col min="14341" max="14342" width="15.7109375" style="227" customWidth="1"/>
    <col min="14343" max="14343" width="15" style="227" customWidth="1"/>
    <col min="14344" max="14344" width="14.42578125" style="227" customWidth="1"/>
    <col min="14345" max="14345" width="17.7109375" style="227" customWidth="1"/>
    <col min="14346" max="14346" width="10.85546875" style="227" customWidth="1"/>
    <col min="14347" max="14347" width="10.7109375" style="227" customWidth="1"/>
    <col min="14348" max="14561" width="9.140625" style="227"/>
    <col min="14562" max="14562" width="7.7109375" style="227" customWidth="1"/>
    <col min="14563" max="14563" width="27.28515625" style="227" customWidth="1"/>
    <col min="14564" max="14564" width="15.7109375" style="227" customWidth="1"/>
    <col min="14565" max="14565" width="25.5703125" style="227" customWidth="1"/>
    <col min="14566" max="14566" width="29.7109375" style="227" customWidth="1"/>
    <col min="14567" max="14567" width="20.85546875" style="227" customWidth="1"/>
    <col min="14568" max="14568" width="18.5703125" style="227" customWidth="1"/>
    <col min="14569" max="14569" width="16.7109375" style="227" customWidth="1"/>
    <col min="14570" max="14570" width="13.85546875" style="227" customWidth="1"/>
    <col min="14571" max="14571" width="14.28515625" style="227" customWidth="1"/>
    <col min="14572" max="14572" width="12" style="227" customWidth="1"/>
    <col min="14573" max="14592" width="9.140625" style="227"/>
    <col min="14593" max="14593" width="6.42578125" style="227" customWidth="1"/>
    <col min="14594" max="14594" width="29" style="227" customWidth="1"/>
    <col min="14595" max="14595" width="20.5703125" style="227" customWidth="1"/>
    <col min="14596" max="14596" width="17.85546875" style="227" customWidth="1"/>
    <col min="14597" max="14598" width="15.7109375" style="227" customWidth="1"/>
    <col min="14599" max="14599" width="15" style="227" customWidth="1"/>
    <col min="14600" max="14600" width="14.42578125" style="227" customWidth="1"/>
    <col min="14601" max="14601" width="17.7109375" style="227" customWidth="1"/>
    <col min="14602" max="14602" width="10.85546875" style="227" customWidth="1"/>
    <col min="14603" max="14603" width="10.7109375" style="227" customWidth="1"/>
    <col min="14604" max="14817" width="9.140625" style="227"/>
    <col min="14818" max="14818" width="7.7109375" style="227" customWidth="1"/>
    <col min="14819" max="14819" width="27.28515625" style="227" customWidth="1"/>
    <col min="14820" max="14820" width="15.7109375" style="227" customWidth="1"/>
    <col min="14821" max="14821" width="25.5703125" style="227" customWidth="1"/>
    <col min="14822" max="14822" width="29.7109375" style="227" customWidth="1"/>
    <col min="14823" max="14823" width="20.85546875" style="227" customWidth="1"/>
    <col min="14824" max="14824" width="18.5703125" style="227" customWidth="1"/>
    <col min="14825" max="14825" width="16.7109375" style="227" customWidth="1"/>
    <col min="14826" max="14826" width="13.85546875" style="227" customWidth="1"/>
    <col min="14827" max="14827" width="14.28515625" style="227" customWidth="1"/>
    <col min="14828" max="14828" width="12" style="227" customWidth="1"/>
    <col min="14829" max="14848" width="9.140625" style="227"/>
    <col min="14849" max="14849" width="6.42578125" style="227" customWidth="1"/>
    <col min="14850" max="14850" width="29" style="227" customWidth="1"/>
    <col min="14851" max="14851" width="20.5703125" style="227" customWidth="1"/>
    <col min="14852" max="14852" width="17.85546875" style="227" customWidth="1"/>
    <col min="14853" max="14854" width="15.7109375" style="227" customWidth="1"/>
    <col min="14855" max="14855" width="15" style="227" customWidth="1"/>
    <col min="14856" max="14856" width="14.42578125" style="227" customWidth="1"/>
    <col min="14857" max="14857" width="17.7109375" style="227" customWidth="1"/>
    <col min="14858" max="14858" width="10.85546875" style="227" customWidth="1"/>
    <col min="14859" max="14859" width="10.7109375" style="227" customWidth="1"/>
    <col min="14860" max="15073" width="9.140625" style="227"/>
    <col min="15074" max="15074" width="7.7109375" style="227" customWidth="1"/>
    <col min="15075" max="15075" width="27.28515625" style="227" customWidth="1"/>
    <col min="15076" max="15076" width="15.7109375" style="227" customWidth="1"/>
    <col min="15077" max="15077" width="25.5703125" style="227" customWidth="1"/>
    <col min="15078" max="15078" width="29.7109375" style="227" customWidth="1"/>
    <col min="15079" max="15079" width="20.85546875" style="227" customWidth="1"/>
    <col min="15080" max="15080" width="18.5703125" style="227" customWidth="1"/>
    <col min="15081" max="15081" width="16.7109375" style="227" customWidth="1"/>
    <col min="15082" max="15082" width="13.85546875" style="227" customWidth="1"/>
    <col min="15083" max="15083" width="14.28515625" style="227" customWidth="1"/>
    <col min="15084" max="15084" width="12" style="227" customWidth="1"/>
    <col min="15085" max="15104" width="9.140625" style="227"/>
    <col min="15105" max="15105" width="6.42578125" style="227" customWidth="1"/>
    <col min="15106" max="15106" width="29" style="227" customWidth="1"/>
    <col min="15107" max="15107" width="20.5703125" style="227" customWidth="1"/>
    <col min="15108" max="15108" width="17.85546875" style="227" customWidth="1"/>
    <col min="15109" max="15110" width="15.7109375" style="227" customWidth="1"/>
    <col min="15111" max="15111" width="15" style="227" customWidth="1"/>
    <col min="15112" max="15112" width="14.42578125" style="227" customWidth="1"/>
    <col min="15113" max="15113" width="17.7109375" style="227" customWidth="1"/>
    <col min="15114" max="15114" width="10.85546875" style="227" customWidth="1"/>
    <col min="15115" max="15115" width="10.7109375" style="227" customWidth="1"/>
    <col min="15116" max="15329" width="9.140625" style="227"/>
    <col min="15330" max="15330" width="7.7109375" style="227" customWidth="1"/>
    <col min="15331" max="15331" width="27.28515625" style="227" customWidth="1"/>
    <col min="15332" max="15332" width="15.7109375" style="227" customWidth="1"/>
    <col min="15333" max="15333" width="25.5703125" style="227" customWidth="1"/>
    <col min="15334" max="15334" width="29.7109375" style="227" customWidth="1"/>
    <col min="15335" max="15335" width="20.85546875" style="227" customWidth="1"/>
    <col min="15336" max="15336" width="18.5703125" style="227" customWidth="1"/>
    <col min="15337" max="15337" width="16.7109375" style="227" customWidth="1"/>
    <col min="15338" max="15338" width="13.85546875" style="227" customWidth="1"/>
    <col min="15339" max="15339" width="14.28515625" style="227" customWidth="1"/>
    <col min="15340" max="15340" width="12" style="227" customWidth="1"/>
    <col min="15341" max="15360" width="9.140625" style="227"/>
    <col min="15361" max="15361" width="6.42578125" style="227" customWidth="1"/>
    <col min="15362" max="15362" width="29" style="227" customWidth="1"/>
    <col min="15363" max="15363" width="20.5703125" style="227" customWidth="1"/>
    <col min="15364" max="15364" width="17.85546875" style="227" customWidth="1"/>
    <col min="15365" max="15366" width="15.7109375" style="227" customWidth="1"/>
    <col min="15367" max="15367" width="15" style="227" customWidth="1"/>
    <col min="15368" max="15368" width="14.42578125" style="227" customWidth="1"/>
    <col min="15369" max="15369" width="17.7109375" style="227" customWidth="1"/>
    <col min="15370" max="15370" width="10.85546875" style="227" customWidth="1"/>
    <col min="15371" max="15371" width="10.7109375" style="227" customWidth="1"/>
    <col min="15372" max="15585" width="9.140625" style="227"/>
    <col min="15586" max="15586" width="7.7109375" style="227" customWidth="1"/>
    <col min="15587" max="15587" width="27.28515625" style="227" customWidth="1"/>
    <col min="15588" max="15588" width="15.7109375" style="227" customWidth="1"/>
    <col min="15589" max="15589" width="25.5703125" style="227" customWidth="1"/>
    <col min="15590" max="15590" width="29.7109375" style="227" customWidth="1"/>
    <col min="15591" max="15591" width="20.85546875" style="227" customWidth="1"/>
    <col min="15592" max="15592" width="18.5703125" style="227" customWidth="1"/>
    <col min="15593" max="15593" width="16.7109375" style="227" customWidth="1"/>
    <col min="15594" max="15594" width="13.85546875" style="227" customWidth="1"/>
    <col min="15595" max="15595" width="14.28515625" style="227" customWidth="1"/>
    <col min="15596" max="15596" width="12" style="227" customWidth="1"/>
    <col min="15597" max="15616" width="9.140625" style="227"/>
    <col min="15617" max="15617" width="6.42578125" style="227" customWidth="1"/>
    <col min="15618" max="15618" width="29" style="227" customWidth="1"/>
    <col min="15619" max="15619" width="20.5703125" style="227" customWidth="1"/>
    <col min="15620" max="15620" width="17.85546875" style="227" customWidth="1"/>
    <col min="15621" max="15622" width="15.7109375" style="227" customWidth="1"/>
    <col min="15623" max="15623" width="15" style="227" customWidth="1"/>
    <col min="15624" max="15624" width="14.42578125" style="227" customWidth="1"/>
    <col min="15625" max="15625" width="17.7109375" style="227" customWidth="1"/>
    <col min="15626" max="15626" width="10.85546875" style="227" customWidth="1"/>
    <col min="15627" max="15627" width="10.7109375" style="227" customWidth="1"/>
    <col min="15628" max="15841" width="9.140625" style="227"/>
    <col min="15842" max="15842" width="7.7109375" style="227" customWidth="1"/>
    <col min="15843" max="15843" width="27.28515625" style="227" customWidth="1"/>
    <col min="15844" max="15844" width="15.7109375" style="227" customWidth="1"/>
    <col min="15845" max="15845" width="25.5703125" style="227" customWidth="1"/>
    <col min="15846" max="15846" width="29.7109375" style="227" customWidth="1"/>
    <col min="15847" max="15847" width="20.85546875" style="227" customWidth="1"/>
    <col min="15848" max="15848" width="18.5703125" style="227" customWidth="1"/>
    <col min="15849" max="15849" width="16.7109375" style="227" customWidth="1"/>
    <col min="15850" max="15850" width="13.85546875" style="227" customWidth="1"/>
    <col min="15851" max="15851" width="14.28515625" style="227" customWidth="1"/>
    <col min="15852" max="15852" width="12" style="227" customWidth="1"/>
    <col min="15853" max="15872" width="9.140625" style="227"/>
    <col min="15873" max="15873" width="6.42578125" style="227" customWidth="1"/>
    <col min="15874" max="15874" width="29" style="227" customWidth="1"/>
    <col min="15875" max="15875" width="20.5703125" style="227" customWidth="1"/>
    <col min="15876" max="15876" width="17.85546875" style="227" customWidth="1"/>
    <col min="15877" max="15878" width="15.7109375" style="227" customWidth="1"/>
    <col min="15879" max="15879" width="15" style="227" customWidth="1"/>
    <col min="15880" max="15880" width="14.42578125" style="227" customWidth="1"/>
    <col min="15881" max="15881" width="17.7109375" style="227" customWidth="1"/>
    <col min="15882" max="15882" width="10.85546875" style="227" customWidth="1"/>
    <col min="15883" max="15883" width="10.7109375" style="227" customWidth="1"/>
    <col min="15884" max="16097" width="9.140625" style="227"/>
    <col min="16098" max="16098" width="7.7109375" style="227" customWidth="1"/>
    <col min="16099" max="16099" width="27.28515625" style="227" customWidth="1"/>
    <col min="16100" max="16100" width="15.7109375" style="227" customWidth="1"/>
    <col min="16101" max="16101" width="25.5703125" style="227" customWidth="1"/>
    <col min="16102" max="16102" width="29.7109375" style="227" customWidth="1"/>
    <col min="16103" max="16103" width="20.85546875" style="227" customWidth="1"/>
    <col min="16104" max="16104" width="18.5703125" style="227" customWidth="1"/>
    <col min="16105" max="16105" width="16.7109375" style="227" customWidth="1"/>
    <col min="16106" max="16106" width="13.85546875" style="227" customWidth="1"/>
    <col min="16107" max="16107" width="14.28515625" style="227" customWidth="1"/>
    <col min="16108" max="16108" width="12" style="227" customWidth="1"/>
    <col min="16109" max="16128" width="9.140625" style="227"/>
    <col min="16129" max="16129" width="6.42578125" style="227" customWidth="1"/>
    <col min="16130" max="16130" width="29" style="227" customWidth="1"/>
    <col min="16131" max="16131" width="20.5703125" style="227" customWidth="1"/>
    <col min="16132" max="16132" width="17.85546875" style="227" customWidth="1"/>
    <col min="16133" max="16134" width="15.7109375" style="227" customWidth="1"/>
    <col min="16135" max="16135" width="15" style="227" customWidth="1"/>
    <col min="16136" max="16136" width="14.42578125" style="227" customWidth="1"/>
    <col min="16137" max="16137" width="17.7109375" style="227" customWidth="1"/>
    <col min="16138" max="16138" width="10.85546875" style="227" customWidth="1"/>
    <col min="16139" max="16139" width="10.7109375" style="227" customWidth="1"/>
    <col min="16140" max="16353" width="9.140625" style="227"/>
    <col min="16354" max="16354" width="7.7109375" style="227" customWidth="1"/>
    <col min="16355" max="16355" width="27.28515625" style="227" customWidth="1"/>
    <col min="16356" max="16356" width="15.7109375" style="227" customWidth="1"/>
    <col min="16357" max="16357" width="25.5703125" style="227" customWidth="1"/>
    <col min="16358" max="16358" width="29.7109375" style="227" customWidth="1"/>
    <col min="16359" max="16359" width="20.85546875" style="227" customWidth="1"/>
    <col min="16360" max="16360" width="18.5703125" style="227" customWidth="1"/>
    <col min="16361" max="16361" width="16.7109375" style="227" customWidth="1"/>
    <col min="16362" max="16362" width="13.85546875" style="227" customWidth="1"/>
    <col min="16363" max="16363" width="14.28515625" style="227" customWidth="1"/>
    <col min="16364" max="16364" width="12" style="227" customWidth="1"/>
    <col min="16365" max="16384" width="9.140625" style="227"/>
  </cols>
  <sheetData>
    <row r="1" spans="1:11" ht="77.25" customHeight="1">
      <c r="A1" s="808" t="s">
        <v>9124</v>
      </c>
      <c r="B1" s="808"/>
      <c r="C1" s="808"/>
      <c r="D1" s="808"/>
      <c r="E1" s="808"/>
      <c r="F1" s="808"/>
      <c r="G1" s="808"/>
      <c r="H1" s="808"/>
      <c r="I1" s="808"/>
      <c r="J1" s="808"/>
      <c r="K1" s="808"/>
    </row>
    <row r="2" spans="1:11" ht="17.25" customHeight="1">
      <c r="A2" s="809" t="s">
        <v>474</v>
      </c>
      <c r="B2" s="810" t="s">
        <v>6786</v>
      </c>
      <c r="C2" s="810" t="s">
        <v>5069</v>
      </c>
      <c r="D2" s="769" t="s">
        <v>5528</v>
      </c>
      <c r="E2" s="811" t="s">
        <v>6787</v>
      </c>
      <c r="F2" s="811"/>
      <c r="G2" s="811"/>
      <c r="H2" s="811"/>
      <c r="I2" s="811"/>
      <c r="J2" s="811"/>
      <c r="K2" s="811" t="s">
        <v>587</v>
      </c>
    </row>
    <row r="3" spans="1:11" ht="64.5" customHeight="1">
      <c r="A3" s="809"/>
      <c r="B3" s="810"/>
      <c r="C3" s="810"/>
      <c r="D3" s="769"/>
      <c r="E3" s="444" t="s">
        <v>9110</v>
      </c>
      <c r="F3" s="444" t="s">
        <v>6788</v>
      </c>
      <c r="G3" s="444" t="s">
        <v>6789</v>
      </c>
      <c r="H3" s="444" t="s">
        <v>6790</v>
      </c>
      <c r="I3" s="444" t="s">
        <v>6791</v>
      </c>
      <c r="J3" s="637" t="s">
        <v>6792</v>
      </c>
      <c r="K3" s="811"/>
    </row>
    <row r="4" spans="1:11" s="230" customFormat="1">
      <c r="A4" s="636" t="s">
        <v>5530</v>
      </c>
      <c r="B4" s="244" t="s">
        <v>6793</v>
      </c>
      <c r="C4" s="221"/>
      <c r="D4" s="240"/>
      <c r="E4" s="348"/>
      <c r="F4" s="709"/>
      <c r="G4" s="655"/>
      <c r="H4" s="652"/>
      <c r="I4" s="223"/>
      <c r="J4" s="223"/>
      <c r="K4" s="219"/>
    </row>
    <row r="5" spans="1:11" s="230" customFormat="1" ht="31.5">
      <c r="A5" s="542">
        <v>1</v>
      </c>
      <c r="B5" s="237" t="s">
        <v>7040</v>
      </c>
      <c r="C5" s="221" t="s">
        <v>7041</v>
      </c>
      <c r="D5" s="221" t="s">
        <v>7042</v>
      </c>
      <c r="E5" s="348">
        <v>0.21</v>
      </c>
      <c r="F5" s="709"/>
      <c r="G5" s="655"/>
      <c r="H5" s="652"/>
      <c r="I5" s="223"/>
      <c r="J5" s="223" t="s">
        <v>7043</v>
      </c>
      <c r="K5" s="246"/>
    </row>
    <row r="6" spans="1:11" s="230" customFormat="1" ht="31.5">
      <c r="A6" s="542">
        <v>2</v>
      </c>
      <c r="B6" s="237" t="s">
        <v>7044</v>
      </c>
      <c r="C6" s="221" t="s">
        <v>6947</v>
      </c>
      <c r="D6" s="221" t="s">
        <v>6948</v>
      </c>
      <c r="E6" s="348">
        <v>0.78</v>
      </c>
      <c r="F6" s="709">
        <v>6</v>
      </c>
      <c r="G6" s="655">
        <v>400</v>
      </c>
      <c r="H6" s="652"/>
      <c r="I6" s="223"/>
      <c r="J6" s="223" t="s">
        <v>7045</v>
      </c>
      <c r="K6" s="246"/>
    </row>
    <row r="7" spans="1:11" s="230" customFormat="1" ht="31.5">
      <c r="A7" s="542">
        <v>3</v>
      </c>
      <c r="B7" s="428" t="s">
        <v>7046</v>
      </c>
      <c r="C7" s="219" t="s">
        <v>6829</v>
      </c>
      <c r="D7" s="221" t="s">
        <v>6830</v>
      </c>
      <c r="E7" s="348">
        <v>0.03</v>
      </c>
      <c r="F7" s="709"/>
      <c r="G7" s="655"/>
      <c r="H7" s="652"/>
      <c r="I7" s="223"/>
      <c r="J7" s="223"/>
      <c r="K7" s="246"/>
    </row>
    <row r="8" spans="1:11" s="230" customFormat="1" ht="31.5">
      <c r="A8" s="542">
        <v>4</v>
      </c>
      <c r="B8" s="428" t="s">
        <v>8707</v>
      </c>
      <c r="C8" s="219" t="s">
        <v>5078</v>
      </c>
      <c r="D8" s="221" t="s">
        <v>8708</v>
      </c>
      <c r="E8" s="348"/>
      <c r="F8" s="709"/>
      <c r="G8" s="655"/>
      <c r="H8" s="652"/>
      <c r="I8" s="223"/>
      <c r="J8" s="223"/>
      <c r="K8" s="246"/>
    </row>
    <row r="9" spans="1:11" s="230" customFormat="1" ht="31.5">
      <c r="A9" s="542">
        <v>5</v>
      </c>
      <c r="B9" s="428" t="s">
        <v>8805</v>
      </c>
      <c r="C9" s="219" t="s">
        <v>8798</v>
      </c>
      <c r="D9" s="221" t="s">
        <v>8799</v>
      </c>
      <c r="E9" s="348"/>
      <c r="F9" s="709"/>
      <c r="G9" s="655"/>
      <c r="H9" s="652"/>
      <c r="I9" s="223"/>
      <c r="J9" s="223"/>
      <c r="K9" s="246"/>
    </row>
    <row r="10" spans="1:11" s="230" customFormat="1" ht="31.5">
      <c r="A10" s="542">
        <v>6</v>
      </c>
      <c r="B10" s="428" t="s">
        <v>8806</v>
      </c>
      <c r="C10" s="219" t="s">
        <v>8798</v>
      </c>
      <c r="D10" s="221" t="s">
        <v>8799</v>
      </c>
      <c r="E10" s="348"/>
      <c r="F10" s="709"/>
      <c r="G10" s="655"/>
      <c r="H10" s="652"/>
      <c r="I10" s="223"/>
      <c r="J10" s="223"/>
      <c r="K10" s="246"/>
    </row>
    <row r="11" spans="1:11" s="612" customFormat="1" ht="33">
      <c r="A11" s="542">
        <v>7</v>
      </c>
      <c r="B11" s="267" t="s">
        <v>7112</v>
      </c>
      <c r="C11" s="268" t="s">
        <v>7113</v>
      </c>
      <c r="D11" s="309" t="s">
        <v>8932</v>
      </c>
      <c r="E11" s="491">
        <v>0.84</v>
      </c>
      <c r="F11" s="667">
        <v>14</v>
      </c>
      <c r="G11" s="668">
        <v>594</v>
      </c>
      <c r="H11" s="652"/>
      <c r="I11" s="260"/>
      <c r="J11" s="260" t="s">
        <v>7092</v>
      </c>
      <c r="K11" s="260"/>
    </row>
    <row r="12" spans="1:11" s="261" customFormat="1" ht="36" customHeight="1">
      <c r="A12" s="542">
        <v>8</v>
      </c>
      <c r="B12" s="267" t="s">
        <v>7131</v>
      </c>
      <c r="C12" s="268" t="s">
        <v>6882</v>
      </c>
      <c r="D12" s="309" t="s">
        <v>9055</v>
      </c>
      <c r="E12" s="491">
        <v>0.82</v>
      </c>
      <c r="F12" s="667">
        <v>6.76</v>
      </c>
      <c r="G12" s="668">
        <v>1350</v>
      </c>
      <c r="H12" s="668">
        <v>18.3</v>
      </c>
      <c r="I12" s="260"/>
      <c r="J12" s="223" t="s">
        <v>7045</v>
      </c>
      <c r="K12" s="260"/>
    </row>
    <row r="13" spans="1:11" s="261" customFormat="1" ht="33">
      <c r="A13" s="542">
        <v>9</v>
      </c>
      <c r="B13" s="267" t="s">
        <v>7130</v>
      </c>
      <c r="C13" s="268" t="s">
        <v>6882</v>
      </c>
      <c r="D13" s="309" t="s">
        <v>9055</v>
      </c>
      <c r="E13" s="707">
        <v>2.4</v>
      </c>
      <c r="F13" s="610">
        <v>8.5</v>
      </c>
      <c r="G13" s="668">
        <v>1850</v>
      </c>
      <c r="H13" s="611">
        <v>23</v>
      </c>
      <c r="I13" s="260"/>
      <c r="J13" s="223" t="s">
        <v>7045</v>
      </c>
      <c r="K13" s="260"/>
    </row>
    <row r="14" spans="1:11" s="261" customFormat="1" ht="33">
      <c r="A14" s="542">
        <v>10</v>
      </c>
      <c r="B14" s="466" t="s">
        <v>7126</v>
      </c>
      <c r="C14" s="307" t="s">
        <v>6882</v>
      </c>
      <c r="D14" s="309" t="s">
        <v>9055</v>
      </c>
      <c r="E14" s="710">
        <v>2.3E-2</v>
      </c>
      <c r="F14" s="663"/>
      <c r="G14" s="664">
        <v>8.5</v>
      </c>
      <c r="H14" s="664"/>
      <c r="I14" s="611"/>
      <c r="J14" s="260"/>
      <c r="K14" s="260"/>
    </row>
    <row r="15" spans="1:11" s="230" customFormat="1">
      <c r="A15" s="636" t="s">
        <v>5900</v>
      </c>
      <c r="B15" s="244" t="s">
        <v>7047</v>
      </c>
      <c r="C15" s="221"/>
      <c r="D15" s="240"/>
      <c r="E15" s="348"/>
      <c r="F15" s="709"/>
      <c r="G15" s="655"/>
      <c r="H15" s="652"/>
      <c r="I15" s="223"/>
      <c r="J15" s="223"/>
      <c r="K15" s="246"/>
    </row>
    <row r="16" spans="1:11" s="230" customFormat="1" ht="37.5" customHeight="1">
      <c r="A16" s="542">
        <v>1</v>
      </c>
      <c r="B16" s="237" t="s">
        <v>7048</v>
      </c>
      <c r="C16" s="221" t="s">
        <v>5827</v>
      </c>
      <c r="D16" s="221" t="s">
        <v>6921</v>
      </c>
      <c r="E16" s="321"/>
      <c r="F16" s="516"/>
      <c r="G16" s="652"/>
      <c r="H16" s="652"/>
      <c r="I16" s="223"/>
      <c r="J16" s="223"/>
      <c r="K16" s="246"/>
    </row>
    <row r="17" spans="1:11" s="230" customFormat="1" ht="37.5" customHeight="1">
      <c r="A17" s="542">
        <v>2</v>
      </c>
      <c r="B17" s="237" t="s">
        <v>7049</v>
      </c>
      <c r="C17" s="221" t="s">
        <v>5827</v>
      </c>
      <c r="D17" s="221" t="s">
        <v>6921</v>
      </c>
      <c r="E17" s="321"/>
      <c r="F17" s="516"/>
      <c r="G17" s="652"/>
      <c r="H17" s="652"/>
      <c r="I17" s="223"/>
      <c r="J17" s="223"/>
      <c r="K17" s="246"/>
    </row>
    <row r="18" spans="1:11" s="230" customFormat="1" ht="37.5" customHeight="1">
      <c r="A18" s="542">
        <v>3</v>
      </c>
      <c r="B18" s="237" t="s">
        <v>7050</v>
      </c>
      <c r="C18" s="221" t="s">
        <v>5827</v>
      </c>
      <c r="D18" s="221" t="s">
        <v>6921</v>
      </c>
      <c r="E18" s="321"/>
      <c r="F18" s="516"/>
      <c r="G18" s="652"/>
      <c r="H18" s="652"/>
      <c r="I18" s="223"/>
      <c r="J18" s="223"/>
      <c r="K18" s="246"/>
    </row>
    <row r="19" spans="1:11" s="354" customFormat="1" ht="37.5" customHeight="1">
      <c r="A19" s="542">
        <v>4</v>
      </c>
      <c r="B19" s="237" t="s">
        <v>7051</v>
      </c>
      <c r="C19" s="221" t="s">
        <v>5827</v>
      </c>
      <c r="D19" s="221" t="s">
        <v>6921</v>
      </c>
      <c r="E19" s="246"/>
      <c r="F19" s="374"/>
      <c r="G19" s="374"/>
      <c r="H19" s="374"/>
      <c r="I19" s="246"/>
      <c r="J19" s="246"/>
      <c r="K19" s="246"/>
    </row>
    <row r="20" spans="1:11" s="354" customFormat="1" ht="37.5" customHeight="1">
      <c r="A20" s="542">
        <v>5</v>
      </c>
      <c r="B20" s="238" t="s">
        <v>7052</v>
      </c>
      <c r="C20" s="219" t="s">
        <v>6800</v>
      </c>
      <c r="D20" s="221" t="s">
        <v>6801</v>
      </c>
      <c r="E20" s="246"/>
      <c r="F20" s="374">
        <v>2</v>
      </c>
      <c r="G20" s="374">
        <v>2</v>
      </c>
      <c r="H20" s="374">
        <v>2</v>
      </c>
      <c r="I20" s="246"/>
      <c r="J20" s="246"/>
      <c r="K20" s="246"/>
    </row>
    <row r="21" spans="1:11" s="354" customFormat="1" ht="37.5" customHeight="1">
      <c r="A21" s="542">
        <v>6</v>
      </c>
      <c r="B21" s="238" t="s">
        <v>7053</v>
      </c>
      <c r="C21" s="219" t="s">
        <v>6800</v>
      </c>
      <c r="D21" s="221" t="s">
        <v>6801</v>
      </c>
      <c r="E21" s="246"/>
      <c r="F21" s="374">
        <v>2</v>
      </c>
      <c r="G21" s="374">
        <v>2</v>
      </c>
      <c r="H21" s="374">
        <v>2</v>
      </c>
      <c r="I21" s="246"/>
      <c r="J21" s="246"/>
      <c r="K21" s="246"/>
    </row>
    <row r="22" spans="1:11" s="354" customFormat="1" ht="45.75" customHeight="1">
      <c r="A22" s="542">
        <v>7</v>
      </c>
      <c r="B22" s="238" t="s">
        <v>7054</v>
      </c>
      <c r="C22" s="219" t="s">
        <v>6800</v>
      </c>
      <c r="D22" s="221" t="s">
        <v>6801</v>
      </c>
      <c r="E22" s="246"/>
      <c r="F22" s="374">
        <v>2</v>
      </c>
      <c r="G22" s="374">
        <v>2</v>
      </c>
      <c r="H22" s="374">
        <v>2</v>
      </c>
      <c r="I22" s="246"/>
      <c r="J22" s="246"/>
      <c r="K22" s="246"/>
    </row>
    <row r="23" spans="1:11" ht="31.5">
      <c r="A23" s="542">
        <v>8</v>
      </c>
      <c r="B23" s="224" t="s">
        <v>7055</v>
      </c>
      <c r="C23" s="219" t="s">
        <v>6800</v>
      </c>
      <c r="D23" s="221" t="s">
        <v>6801</v>
      </c>
      <c r="E23" s="246"/>
      <c r="F23" s="374">
        <v>2</v>
      </c>
      <c r="G23" s="374">
        <v>2</v>
      </c>
      <c r="H23" s="374">
        <v>2</v>
      </c>
      <c r="I23" s="246"/>
      <c r="J23" s="246"/>
      <c r="K23" s="349"/>
    </row>
    <row r="24" spans="1:11" ht="31.5">
      <c r="A24" s="542">
        <v>9</v>
      </c>
      <c r="B24" s="224" t="s">
        <v>7056</v>
      </c>
      <c r="C24" s="219" t="s">
        <v>6800</v>
      </c>
      <c r="D24" s="221" t="s">
        <v>6801</v>
      </c>
      <c r="E24" s="246"/>
      <c r="F24" s="374">
        <v>2</v>
      </c>
      <c r="G24" s="374">
        <v>2</v>
      </c>
      <c r="H24" s="374">
        <v>2</v>
      </c>
      <c r="I24" s="246"/>
      <c r="J24" s="246"/>
      <c r="K24" s="349"/>
    </row>
    <row r="25" spans="1:11" ht="31.5">
      <c r="A25" s="542">
        <v>10</v>
      </c>
      <c r="B25" s="224" t="s">
        <v>7057</v>
      </c>
      <c r="C25" s="219" t="s">
        <v>6800</v>
      </c>
      <c r="D25" s="221" t="s">
        <v>6801</v>
      </c>
      <c r="E25" s="246"/>
      <c r="F25" s="374">
        <v>1.5</v>
      </c>
      <c r="G25" s="350" t="s">
        <v>224</v>
      </c>
      <c r="H25" s="350" t="s">
        <v>224</v>
      </c>
      <c r="I25" s="246"/>
      <c r="J25" s="246"/>
      <c r="K25" s="349"/>
    </row>
    <row r="26" spans="1:11" ht="31.5">
      <c r="A26" s="542">
        <v>11</v>
      </c>
      <c r="B26" s="224" t="s">
        <v>7058</v>
      </c>
      <c r="C26" s="219" t="s">
        <v>6800</v>
      </c>
      <c r="D26" s="221" t="s">
        <v>6801</v>
      </c>
      <c r="E26" s="246"/>
      <c r="F26" s="374">
        <v>1.5</v>
      </c>
      <c r="G26" s="350" t="s">
        <v>224</v>
      </c>
      <c r="H26" s="350" t="s">
        <v>224</v>
      </c>
      <c r="I26" s="246"/>
      <c r="J26" s="246"/>
      <c r="K26" s="349"/>
    </row>
    <row r="27" spans="1:11" ht="31.5">
      <c r="A27" s="542">
        <v>12</v>
      </c>
      <c r="B27" s="224" t="s">
        <v>7059</v>
      </c>
      <c r="C27" s="219" t="s">
        <v>6947</v>
      </c>
      <c r="D27" s="221" t="s">
        <v>6948</v>
      </c>
      <c r="E27" s="246"/>
      <c r="F27" s="374">
        <v>2.5</v>
      </c>
      <c r="G27" s="350"/>
      <c r="H27" s="350"/>
      <c r="I27" s="246"/>
      <c r="J27" s="246"/>
      <c r="K27" s="349"/>
    </row>
    <row r="28" spans="1:11" ht="31.5">
      <c r="A28" s="542">
        <v>13</v>
      </c>
      <c r="B28" s="224" t="s">
        <v>7060</v>
      </c>
      <c r="C28" s="219" t="s">
        <v>6947</v>
      </c>
      <c r="D28" s="221" t="s">
        <v>6948</v>
      </c>
      <c r="E28" s="246"/>
      <c r="F28" s="374">
        <v>2.5</v>
      </c>
      <c r="G28" s="350"/>
      <c r="H28" s="350"/>
      <c r="I28" s="246"/>
      <c r="J28" s="246"/>
      <c r="K28" s="349"/>
    </row>
    <row r="29" spans="1:11" ht="31.5">
      <c r="A29" s="542">
        <v>14</v>
      </c>
      <c r="B29" s="224" t="s">
        <v>7061</v>
      </c>
      <c r="C29" s="219" t="s">
        <v>6947</v>
      </c>
      <c r="D29" s="221" t="s">
        <v>6948</v>
      </c>
      <c r="E29" s="246"/>
      <c r="F29" s="374">
        <v>2.5</v>
      </c>
      <c r="G29" s="350"/>
      <c r="H29" s="350"/>
      <c r="I29" s="246"/>
      <c r="J29" s="246"/>
      <c r="K29" s="349"/>
    </row>
    <row r="30" spans="1:11" ht="31.5">
      <c r="A30" s="542">
        <v>15</v>
      </c>
      <c r="B30" s="224" t="s">
        <v>7062</v>
      </c>
      <c r="C30" s="219" t="s">
        <v>6947</v>
      </c>
      <c r="D30" s="221" t="s">
        <v>6948</v>
      </c>
      <c r="E30" s="246"/>
      <c r="F30" s="374">
        <v>2.5</v>
      </c>
      <c r="G30" s="350"/>
      <c r="H30" s="350"/>
      <c r="I30" s="246"/>
      <c r="J30" s="246"/>
      <c r="K30" s="349"/>
    </row>
    <row r="31" spans="1:11" ht="31.5">
      <c r="A31" s="542">
        <v>16</v>
      </c>
      <c r="B31" s="224" t="s">
        <v>7063</v>
      </c>
      <c r="C31" s="219" t="s">
        <v>6916</v>
      </c>
      <c r="D31" s="221" t="s">
        <v>6917</v>
      </c>
      <c r="E31" s="246"/>
      <c r="F31" s="374">
        <v>12</v>
      </c>
      <c r="G31" s="350" t="s">
        <v>3978</v>
      </c>
      <c r="H31" s="350" t="s">
        <v>183</v>
      </c>
      <c r="I31" s="246"/>
      <c r="J31" s="246"/>
      <c r="K31" s="349"/>
    </row>
    <row r="32" spans="1:11" ht="31.5">
      <c r="A32" s="542">
        <v>17</v>
      </c>
      <c r="B32" s="224" t="s">
        <v>7064</v>
      </c>
      <c r="C32" s="219" t="s">
        <v>6916</v>
      </c>
      <c r="D32" s="221" t="s">
        <v>6917</v>
      </c>
      <c r="E32" s="246"/>
      <c r="F32" s="374">
        <v>12</v>
      </c>
      <c r="G32" s="350" t="s">
        <v>3978</v>
      </c>
      <c r="H32" s="350" t="s">
        <v>183</v>
      </c>
      <c r="I32" s="246"/>
      <c r="J32" s="246"/>
      <c r="K32" s="349"/>
    </row>
    <row r="33" spans="1:11" s="247" customFormat="1" ht="31.5">
      <c r="A33" s="542">
        <v>18</v>
      </c>
      <c r="B33" s="224" t="s">
        <v>7065</v>
      </c>
      <c r="C33" s="219" t="s">
        <v>6991</v>
      </c>
      <c r="D33" s="221" t="s">
        <v>6992</v>
      </c>
      <c r="E33" s="246"/>
      <c r="F33" s="246"/>
      <c r="G33" s="350"/>
      <c r="H33" s="350"/>
      <c r="I33" s="246"/>
      <c r="J33" s="246"/>
      <c r="K33" s="349"/>
    </row>
    <row r="34" spans="1:11" s="247" customFormat="1" ht="31.5">
      <c r="A34" s="542">
        <v>19</v>
      </c>
      <c r="B34" s="224" t="s">
        <v>7066</v>
      </c>
      <c r="C34" s="219" t="s">
        <v>6991</v>
      </c>
      <c r="D34" s="221" t="s">
        <v>6992</v>
      </c>
      <c r="E34" s="246"/>
      <c r="F34" s="246"/>
      <c r="G34" s="350"/>
      <c r="H34" s="350"/>
      <c r="I34" s="246"/>
      <c r="J34" s="246"/>
      <c r="K34" s="349"/>
    </row>
    <row r="35" spans="1:11" s="247" customFormat="1" ht="31.5">
      <c r="A35" s="542">
        <v>20</v>
      </c>
      <c r="B35" s="224" t="s">
        <v>7067</v>
      </c>
      <c r="C35" s="219" t="s">
        <v>6991</v>
      </c>
      <c r="D35" s="221" t="s">
        <v>6992</v>
      </c>
      <c r="E35" s="246"/>
      <c r="F35" s="246"/>
      <c r="G35" s="350"/>
      <c r="H35" s="350"/>
      <c r="I35" s="246"/>
      <c r="J35" s="246"/>
      <c r="K35" s="349"/>
    </row>
    <row r="36" spans="1:11" s="247" customFormat="1" ht="31.5">
      <c r="A36" s="542">
        <v>21</v>
      </c>
      <c r="B36" s="224" t="s">
        <v>7068</v>
      </c>
      <c r="C36" s="219" t="s">
        <v>6991</v>
      </c>
      <c r="D36" s="221" t="s">
        <v>6992</v>
      </c>
      <c r="E36" s="246"/>
      <c r="F36" s="246"/>
      <c r="G36" s="350"/>
      <c r="H36" s="350"/>
      <c r="I36" s="246"/>
      <c r="J36" s="246"/>
      <c r="K36" s="349"/>
    </row>
    <row r="37" spans="1:11" s="247" customFormat="1" ht="31.5">
      <c r="A37" s="542">
        <v>22</v>
      </c>
      <c r="B37" s="224" t="s">
        <v>7069</v>
      </c>
      <c r="C37" s="219" t="s">
        <v>6991</v>
      </c>
      <c r="D37" s="221" t="s">
        <v>6992</v>
      </c>
      <c r="E37" s="246"/>
      <c r="F37" s="246"/>
      <c r="G37" s="350"/>
      <c r="H37" s="350"/>
      <c r="I37" s="246"/>
      <c r="J37" s="246"/>
      <c r="K37" s="349"/>
    </row>
    <row r="38" spans="1:11" s="247" customFormat="1" ht="31.5">
      <c r="A38" s="542">
        <v>23</v>
      </c>
      <c r="B38" s="224" t="s">
        <v>7070</v>
      </c>
      <c r="C38" s="219" t="s">
        <v>6947</v>
      </c>
      <c r="D38" s="221" t="s">
        <v>6948</v>
      </c>
      <c r="E38" s="246"/>
      <c r="F38" s="246"/>
      <c r="G38" s="350"/>
      <c r="H38" s="350"/>
      <c r="I38" s="246"/>
      <c r="J38" s="246"/>
      <c r="K38" s="349"/>
    </row>
    <row r="39" spans="1:11" s="247" customFormat="1" ht="31.5">
      <c r="A39" s="542">
        <v>24</v>
      </c>
      <c r="B39" s="224" t="s">
        <v>7071</v>
      </c>
      <c r="C39" s="219" t="s">
        <v>6947</v>
      </c>
      <c r="D39" s="221" t="s">
        <v>6948</v>
      </c>
      <c r="E39" s="246"/>
      <c r="F39" s="246"/>
      <c r="G39" s="350"/>
      <c r="H39" s="350"/>
      <c r="I39" s="246"/>
      <c r="J39" s="246"/>
      <c r="K39" s="349"/>
    </row>
    <row r="40" spans="1:11" s="247" customFormat="1" ht="31.5">
      <c r="A40" s="542">
        <v>25</v>
      </c>
      <c r="B40" s="224" t="s">
        <v>7072</v>
      </c>
      <c r="C40" s="219" t="s">
        <v>6947</v>
      </c>
      <c r="D40" s="221" t="s">
        <v>6948</v>
      </c>
      <c r="E40" s="246"/>
      <c r="F40" s="246"/>
      <c r="G40" s="350"/>
      <c r="H40" s="350"/>
      <c r="I40" s="246"/>
      <c r="J40" s="246"/>
      <c r="K40" s="349"/>
    </row>
    <row r="41" spans="1:11" s="247" customFormat="1" ht="31.5">
      <c r="A41" s="542">
        <v>26</v>
      </c>
      <c r="B41" s="251" t="s">
        <v>7073</v>
      </c>
      <c r="C41" s="219" t="s">
        <v>6947</v>
      </c>
      <c r="D41" s="221" t="s">
        <v>6948</v>
      </c>
      <c r="E41" s="246"/>
      <c r="F41" s="246"/>
      <c r="G41" s="350"/>
      <c r="H41" s="350"/>
      <c r="I41" s="246"/>
      <c r="J41" s="246"/>
      <c r="K41" s="349"/>
    </row>
    <row r="42" spans="1:11" s="247" customFormat="1" ht="37.5" customHeight="1">
      <c r="A42" s="542">
        <v>27</v>
      </c>
      <c r="B42" s="224" t="s">
        <v>7074</v>
      </c>
      <c r="C42" s="252" t="s">
        <v>7041</v>
      </c>
      <c r="D42" s="252" t="s">
        <v>7042</v>
      </c>
      <c r="E42" s="246"/>
      <c r="F42" s="246"/>
      <c r="G42" s="350"/>
      <c r="H42" s="350"/>
      <c r="I42" s="246"/>
      <c r="J42" s="246"/>
      <c r="K42" s="349"/>
    </row>
    <row r="43" spans="1:11" s="247" customFormat="1" ht="37.5" customHeight="1">
      <c r="A43" s="542">
        <v>28</v>
      </c>
      <c r="B43" s="224" t="s">
        <v>7075</v>
      </c>
      <c r="C43" s="219" t="s">
        <v>7076</v>
      </c>
      <c r="D43" s="252" t="s">
        <v>7077</v>
      </c>
      <c r="E43" s="246"/>
      <c r="F43" s="246"/>
      <c r="G43" s="350"/>
      <c r="H43" s="350"/>
      <c r="I43" s="246"/>
      <c r="J43" s="246"/>
      <c r="K43" s="349"/>
    </row>
    <row r="44" spans="1:11" s="247" customFormat="1" ht="37.5" customHeight="1">
      <c r="A44" s="542">
        <v>29</v>
      </c>
      <c r="B44" s="224" t="s">
        <v>7078</v>
      </c>
      <c r="C44" s="219" t="s">
        <v>7076</v>
      </c>
      <c r="D44" s="252" t="s">
        <v>7077</v>
      </c>
      <c r="E44" s="246"/>
      <c r="F44" s="246"/>
      <c r="G44" s="350"/>
      <c r="H44" s="350"/>
      <c r="I44" s="246"/>
      <c r="J44" s="246"/>
      <c r="K44" s="349"/>
    </row>
    <row r="45" spans="1:11" s="247" customFormat="1" ht="37.5" customHeight="1">
      <c r="A45" s="542">
        <v>30</v>
      </c>
      <c r="B45" s="224" t="s">
        <v>7079</v>
      </c>
      <c r="C45" s="219" t="s">
        <v>7076</v>
      </c>
      <c r="D45" s="252" t="s">
        <v>7077</v>
      </c>
      <c r="E45" s="246"/>
      <c r="F45" s="246"/>
      <c r="G45" s="350"/>
      <c r="H45" s="350"/>
      <c r="I45" s="246"/>
      <c r="J45" s="246"/>
      <c r="K45" s="349"/>
    </row>
    <row r="46" spans="1:11" s="247" customFormat="1" ht="37.5" customHeight="1">
      <c r="A46" s="542">
        <v>31</v>
      </c>
      <c r="B46" s="224" t="s">
        <v>7080</v>
      </c>
      <c r="C46" s="219" t="s">
        <v>6939</v>
      </c>
      <c r="D46" s="252" t="s">
        <v>6940</v>
      </c>
      <c r="E46" s="246"/>
      <c r="F46" s="246"/>
      <c r="G46" s="350"/>
      <c r="H46" s="350"/>
      <c r="I46" s="246"/>
      <c r="J46" s="246"/>
      <c r="K46" s="349"/>
    </row>
    <row r="47" spans="1:11" s="247" customFormat="1" ht="37.5" customHeight="1">
      <c r="A47" s="542">
        <v>32</v>
      </c>
      <c r="B47" s="224" t="s">
        <v>7081</v>
      </c>
      <c r="C47" s="219" t="s">
        <v>6939</v>
      </c>
      <c r="D47" s="252" t="s">
        <v>6940</v>
      </c>
      <c r="E47" s="246"/>
      <c r="F47" s="246"/>
      <c r="G47" s="350"/>
      <c r="H47" s="350"/>
      <c r="I47" s="246"/>
      <c r="J47" s="246"/>
      <c r="K47" s="349"/>
    </row>
    <row r="48" spans="1:11" s="247" customFormat="1" ht="37.5" customHeight="1">
      <c r="A48" s="542">
        <v>33</v>
      </c>
      <c r="B48" s="224" t="s">
        <v>7082</v>
      </c>
      <c r="C48" s="219" t="s">
        <v>6939</v>
      </c>
      <c r="D48" s="252" t="s">
        <v>6940</v>
      </c>
      <c r="E48" s="246"/>
      <c r="F48" s="246"/>
      <c r="G48" s="350"/>
      <c r="H48" s="350"/>
      <c r="I48" s="246"/>
      <c r="J48" s="246"/>
      <c r="K48" s="349"/>
    </row>
    <row r="49" spans="1:11" s="247" customFormat="1" ht="37.5" customHeight="1">
      <c r="A49" s="542">
        <v>34</v>
      </c>
      <c r="B49" s="224" t="s">
        <v>7083</v>
      </c>
      <c r="C49" s="219" t="s">
        <v>6939</v>
      </c>
      <c r="D49" s="252" t="s">
        <v>6940</v>
      </c>
      <c r="E49" s="246"/>
      <c r="F49" s="246"/>
      <c r="G49" s="350"/>
      <c r="H49" s="350"/>
      <c r="I49" s="246"/>
      <c r="J49" s="246"/>
      <c r="K49" s="349"/>
    </row>
    <row r="50" spans="1:11" s="247" customFormat="1" ht="37.5" customHeight="1">
      <c r="A50" s="542">
        <v>35</v>
      </c>
      <c r="B50" s="224" t="s">
        <v>7084</v>
      </c>
      <c r="C50" s="219" t="s">
        <v>6939</v>
      </c>
      <c r="D50" s="252" t="s">
        <v>6940</v>
      </c>
      <c r="E50" s="246"/>
      <c r="F50" s="246"/>
      <c r="G50" s="350"/>
      <c r="H50" s="350"/>
      <c r="I50" s="246"/>
      <c r="J50" s="246"/>
      <c r="K50" s="349"/>
    </row>
    <row r="51" spans="1:11" s="247" customFormat="1" ht="37.5" customHeight="1">
      <c r="A51" s="542">
        <v>36</v>
      </c>
      <c r="B51" s="224" t="s">
        <v>7085</v>
      </c>
      <c r="C51" s="219" t="s">
        <v>6856</v>
      </c>
      <c r="D51" s="252" t="s">
        <v>7086</v>
      </c>
      <c r="E51" s="246"/>
      <c r="F51" s="246"/>
      <c r="G51" s="350"/>
      <c r="H51" s="350"/>
      <c r="I51" s="246"/>
      <c r="J51" s="246"/>
      <c r="K51" s="349"/>
    </row>
    <row r="52" spans="1:11" ht="37.5" customHeight="1">
      <c r="A52" s="542">
        <v>37</v>
      </c>
      <c r="B52" s="224" t="s">
        <v>8497</v>
      </c>
      <c r="C52" s="219" t="s">
        <v>8452</v>
      </c>
      <c r="D52" s="221" t="s">
        <v>8453</v>
      </c>
      <c r="E52" s="246"/>
      <c r="F52" s="219"/>
      <c r="G52" s="241"/>
      <c r="H52" s="241"/>
      <c r="I52" s="246"/>
      <c r="J52" s="246"/>
      <c r="K52" s="243"/>
    </row>
    <row r="53" spans="1:11" ht="37.5" customHeight="1">
      <c r="A53" s="542">
        <v>38</v>
      </c>
      <c r="B53" s="539" t="s">
        <v>9028</v>
      </c>
      <c r="C53" s="540" t="s">
        <v>9029</v>
      </c>
      <c r="D53" s="240" t="s">
        <v>5903</v>
      </c>
      <c r="E53" s="321">
        <v>0.246</v>
      </c>
      <c r="F53" s="543">
        <v>3</v>
      </c>
      <c r="G53" s="544">
        <v>315</v>
      </c>
      <c r="H53" s="544">
        <v>260.32</v>
      </c>
      <c r="I53" s="545">
        <v>0.9</v>
      </c>
      <c r="J53" s="544"/>
      <c r="K53" s="243"/>
    </row>
    <row r="54" spans="1:11">
      <c r="B54" s="248"/>
      <c r="C54" s="239"/>
      <c r="D54" s="249"/>
      <c r="F54" s="230"/>
      <c r="G54" s="250"/>
      <c r="H54" s="250"/>
    </row>
    <row r="55" spans="1:11">
      <c r="B55" s="248"/>
      <c r="C55" s="239"/>
      <c r="D55" s="249"/>
      <c r="F55" s="230"/>
      <c r="G55" s="250"/>
      <c r="H55" s="250"/>
    </row>
    <row r="56" spans="1:11">
      <c r="B56" s="227"/>
      <c r="C56" s="228"/>
      <c r="D56" s="227"/>
      <c r="E56" s="708"/>
      <c r="F56" s="227"/>
      <c r="G56" s="227"/>
      <c r="H56" s="227"/>
    </row>
  </sheetData>
  <mergeCells count="7">
    <mergeCell ref="A1:K1"/>
    <mergeCell ref="A2:A3"/>
    <mergeCell ref="B2:B3"/>
    <mergeCell ref="C2:C3"/>
    <mergeCell ref="D2:D3"/>
    <mergeCell ref="E2:J2"/>
    <mergeCell ref="K2:K3"/>
  </mergeCells>
  <pageMargins left="0.7" right="0.45" top="0.5" bottom="0.5" header="0.05" footer="0.05"/>
  <pageSetup paperSize="9" scale="74"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
  <sheetViews>
    <sheetView tabSelected="1" zoomScale="85" zoomScaleNormal="85" zoomScaleSheetLayoutView="85" workbookViewId="0">
      <selection activeCell="E6" sqref="E6"/>
    </sheetView>
  </sheetViews>
  <sheetFormatPr defaultColWidth="20" defaultRowHeight="15.75"/>
  <cols>
    <col min="1" max="1" width="7.5703125" style="216" customWidth="1"/>
    <col min="2" max="2" width="29.28515625" style="236" customWidth="1"/>
    <col min="3" max="3" width="34.28515625" style="215" customWidth="1"/>
    <col min="4" max="5" width="25.5703125" style="217" customWidth="1"/>
    <col min="6" max="6" width="16.5703125" style="216" customWidth="1"/>
    <col min="7" max="7" width="11.28515625" style="218" customWidth="1"/>
    <col min="8" max="8" width="11.7109375" style="215" bestFit="1" customWidth="1"/>
    <col min="9" max="16384" width="20" style="215"/>
  </cols>
  <sheetData>
    <row r="1" spans="1:8" ht="105" customHeight="1">
      <c r="A1" s="818" t="s">
        <v>9125</v>
      </c>
      <c r="B1" s="819"/>
      <c r="C1" s="819"/>
      <c r="D1" s="819"/>
      <c r="E1" s="819"/>
      <c r="F1" s="819"/>
      <c r="G1" s="819"/>
      <c r="H1" s="819"/>
    </row>
    <row r="2" spans="1:8" ht="16.5" customHeight="1">
      <c r="A2" s="820" t="s">
        <v>474</v>
      </c>
      <c r="B2" s="821" t="s">
        <v>8018</v>
      </c>
      <c r="C2" s="823" t="s">
        <v>8017</v>
      </c>
      <c r="D2" s="820" t="s">
        <v>147</v>
      </c>
      <c r="E2" s="820"/>
      <c r="F2" s="824" t="s">
        <v>3917</v>
      </c>
      <c r="G2" s="825"/>
      <c r="H2" s="570"/>
    </row>
    <row r="3" spans="1:8" ht="33">
      <c r="A3" s="820"/>
      <c r="B3" s="822"/>
      <c r="C3" s="823"/>
      <c r="D3" s="571" t="s">
        <v>8120</v>
      </c>
      <c r="E3" s="571" t="s">
        <v>8121</v>
      </c>
      <c r="F3" s="572" t="s">
        <v>585</v>
      </c>
      <c r="G3" s="573" t="s">
        <v>586</v>
      </c>
      <c r="H3" s="572" t="s">
        <v>587</v>
      </c>
    </row>
    <row r="4" spans="1:8" ht="27" customHeight="1">
      <c r="A4" s="826" t="s">
        <v>8019</v>
      </c>
      <c r="B4" s="827"/>
      <c r="C4" s="827"/>
      <c r="D4" s="827"/>
      <c r="E4" s="828"/>
      <c r="F4" s="574"/>
      <c r="G4" s="573"/>
      <c r="H4" s="572"/>
    </row>
    <row r="5" spans="1:8" ht="56.25" customHeight="1">
      <c r="A5" s="296">
        <v>1</v>
      </c>
      <c r="B5" s="297" t="s">
        <v>6780</v>
      </c>
      <c r="C5" s="296" t="s">
        <v>6779</v>
      </c>
      <c r="D5" s="296" t="s">
        <v>8122</v>
      </c>
      <c r="E5" s="296" t="s">
        <v>8123</v>
      </c>
      <c r="F5" s="298">
        <v>7900</v>
      </c>
      <c r="G5" s="296"/>
      <c r="H5" s="812"/>
    </row>
    <row r="6" spans="1:8" ht="49.5">
      <c r="A6" s="296">
        <v>2</v>
      </c>
      <c r="B6" s="297" t="s">
        <v>6781</v>
      </c>
      <c r="C6" s="296" t="s">
        <v>6779</v>
      </c>
      <c r="D6" s="296" t="s">
        <v>8124</v>
      </c>
      <c r="E6" s="296" t="s">
        <v>8125</v>
      </c>
      <c r="F6" s="298">
        <v>8300</v>
      </c>
      <c r="G6" s="296"/>
      <c r="H6" s="813"/>
    </row>
    <row r="7" spans="1:8" ht="57.75" customHeight="1">
      <c r="A7" s="296">
        <v>3</v>
      </c>
      <c r="B7" s="297" t="s">
        <v>6782</v>
      </c>
      <c r="C7" s="296" t="s">
        <v>6779</v>
      </c>
      <c r="D7" s="296" t="s">
        <v>8126</v>
      </c>
      <c r="E7" s="296" t="s">
        <v>8127</v>
      </c>
      <c r="F7" s="298">
        <v>4200</v>
      </c>
      <c r="G7" s="296"/>
      <c r="H7" s="813"/>
    </row>
    <row r="8" spans="1:8" ht="49.5">
      <c r="A8" s="296">
        <v>4</v>
      </c>
      <c r="B8" s="297" t="s">
        <v>6783</v>
      </c>
      <c r="C8" s="296" t="s">
        <v>6779</v>
      </c>
      <c r="D8" s="296" t="s">
        <v>8128</v>
      </c>
      <c r="E8" s="296" t="s">
        <v>8129</v>
      </c>
      <c r="F8" s="298">
        <v>5200</v>
      </c>
      <c r="G8" s="296"/>
      <c r="H8" s="813"/>
    </row>
    <row r="9" spans="1:8" ht="42" customHeight="1">
      <c r="A9" s="296">
        <v>5</v>
      </c>
      <c r="B9" s="297" t="s">
        <v>6784</v>
      </c>
      <c r="C9" s="296" t="s">
        <v>6779</v>
      </c>
      <c r="D9" s="296" t="s">
        <v>8130</v>
      </c>
      <c r="E9" s="296" t="s">
        <v>8131</v>
      </c>
      <c r="F9" s="298">
        <v>3900</v>
      </c>
      <c r="G9" s="296"/>
      <c r="H9" s="813"/>
    </row>
    <row r="10" spans="1:8" ht="54" customHeight="1">
      <c r="A10" s="296">
        <v>6</v>
      </c>
      <c r="B10" s="297" t="s">
        <v>6785</v>
      </c>
      <c r="C10" s="296" t="s">
        <v>6779</v>
      </c>
      <c r="D10" s="296" t="s">
        <v>8132</v>
      </c>
      <c r="E10" s="296" t="s">
        <v>8133</v>
      </c>
      <c r="F10" s="298">
        <v>5500</v>
      </c>
      <c r="G10" s="296"/>
      <c r="H10" s="814"/>
    </row>
    <row r="11" spans="1:8" ht="36">
      <c r="A11" s="815" t="s">
        <v>8020</v>
      </c>
      <c r="B11" s="816"/>
      <c r="C11" s="816"/>
      <c r="D11" s="417" t="s">
        <v>7088</v>
      </c>
      <c r="E11" s="417" t="s">
        <v>8021</v>
      </c>
      <c r="F11" s="417" t="s">
        <v>6788</v>
      </c>
      <c r="G11" s="417" t="s">
        <v>8134</v>
      </c>
      <c r="H11" s="408"/>
    </row>
    <row r="12" spans="1:8" ht="18.75" customHeight="1">
      <c r="A12" s="557">
        <v>1</v>
      </c>
      <c r="B12" s="558" t="s">
        <v>6797</v>
      </c>
      <c r="C12" s="559" t="s">
        <v>6779</v>
      </c>
      <c r="D12" s="560">
        <v>0.17</v>
      </c>
      <c r="E12" s="561">
        <v>288.25</v>
      </c>
      <c r="F12" s="561">
        <v>19.7</v>
      </c>
      <c r="G12" s="562" t="s">
        <v>8022</v>
      </c>
      <c r="H12" s="563"/>
    </row>
    <row r="13" spans="1:8" ht="18.75" customHeight="1">
      <c r="A13" s="557">
        <v>2</v>
      </c>
      <c r="B13" s="558" t="s">
        <v>6798</v>
      </c>
      <c r="C13" s="559" t="s">
        <v>6779</v>
      </c>
      <c r="D13" s="560">
        <v>5.2999999999999999E-2</v>
      </c>
      <c r="E13" s="561">
        <v>1198.8399999999999</v>
      </c>
      <c r="F13" s="564"/>
      <c r="G13" s="817" t="s">
        <v>7124</v>
      </c>
      <c r="H13" s="563"/>
    </row>
    <row r="14" spans="1:8" ht="18.75" customHeight="1">
      <c r="A14" s="557">
        <v>3</v>
      </c>
      <c r="B14" s="558" t="s">
        <v>6796</v>
      </c>
      <c r="C14" s="559" t="s">
        <v>6779</v>
      </c>
      <c r="D14" s="560">
        <v>6.6699999999999995E-2</v>
      </c>
      <c r="E14" s="561">
        <v>114.6</v>
      </c>
      <c r="F14" s="565">
        <v>9.6999999999999993</v>
      </c>
      <c r="G14" s="817"/>
      <c r="H14" s="563"/>
    </row>
    <row r="15" spans="1:8" ht="18.75" customHeight="1">
      <c r="A15" s="557">
        <v>4</v>
      </c>
      <c r="B15" s="558" t="s">
        <v>6794</v>
      </c>
      <c r="C15" s="559" t="s">
        <v>6779</v>
      </c>
      <c r="D15" s="560">
        <v>0.54</v>
      </c>
      <c r="E15" s="561">
        <v>2726.5</v>
      </c>
      <c r="F15" s="565"/>
      <c r="G15" s="817" t="s">
        <v>7117</v>
      </c>
      <c r="H15" s="563"/>
    </row>
    <row r="16" spans="1:8" ht="18.75" customHeight="1">
      <c r="A16" s="557">
        <v>5</v>
      </c>
      <c r="B16" s="558" t="s">
        <v>6795</v>
      </c>
      <c r="C16" s="559" t="s">
        <v>6779</v>
      </c>
      <c r="D16" s="560">
        <v>0.51800000000000002</v>
      </c>
      <c r="E16" s="561">
        <v>2222.8200000000002</v>
      </c>
      <c r="F16" s="565"/>
      <c r="G16" s="817"/>
      <c r="H16" s="563"/>
    </row>
    <row r="17" spans="1:8" ht="18.75" customHeight="1">
      <c r="A17" s="557">
        <v>6</v>
      </c>
      <c r="B17" s="558" t="s">
        <v>7129</v>
      </c>
      <c r="C17" s="559" t="s">
        <v>6779</v>
      </c>
      <c r="D17" s="566">
        <v>0.64500000000000002</v>
      </c>
      <c r="E17" s="567">
        <v>1737.05</v>
      </c>
      <c r="F17" s="568">
        <v>6.69</v>
      </c>
      <c r="G17" s="817"/>
      <c r="H17" s="569"/>
    </row>
    <row r="18" spans="1:8">
      <c r="A18" s="552"/>
      <c r="B18" s="553"/>
      <c r="C18" s="554"/>
      <c r="D18" s="555"/>
      <c r="E18" s="555"/>
      <c r="F18" s="552"/>
      <c r="G18" s="556"/>
      <c r="H18" s="554"/>
    </row>
  </sheetData>
  <mergeCells count="11">
    <mergeCell ref="H5:H10"/>
    <mergeCell ref="A11:C11"/>
    <mergeCell ref="G13:G14"/>
    <mergeCell ref="G15:G17"/>
    <mergeCell ref="A1:H1"/>
    <mergeCell ref="A2:A3"/>
    <mergeCell ref="B2:B3"/>
    <mergeCell ref="C2:C3"/>
    <mergeCell ref="D2:E2"/>
    <mergeCell ref="F2:G2"/>
    <mergeCell ref="A4:E4"/>
  </mergeCells>
  <pageMargins left="0.7" right="0.45" top="0.5" bottom="0.5" header="0.05" footer="0.05"/>
  <pageSetup paperSize="9" scale="83"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00"/>
  <sheetViews>
    <sheetView topLeftCell="C1" workbookViewId="0">
      <pane ySplit="6" topLeftCell="A1226" activePane="bottomLeft" state="frozen"/>
      <selection activeCell="C1" sqref="C1"/>
      <selection pane="bottomLeft" activeCell="D1310" sqref="D1310"/>
    </sheetView>
  </sheetViews>
  <sheetFormatPr defaultRowHeight="18.75"/>
  <cols>
    <col min="1" max="1" width="10.7109375" style="63" hidden="1" customWidth="1"/>
    <col min="2" max="2" width="16.140625" style="63" hidden="1" customWidth="1"/>
    <col min="3" max="3" width="5.28515625" style="64" customWidth="1"/>
    <col min="4" max="4" width="26.42578125" style="65" customWidth="1"/>
    <col min="5" max="5" width="22.85546875" style="63" customWidth="1"/>
    <col min="6" max="6" width="21.85546875" style="63" customWidth="1"/>
    <col min="7" max="7" width="11.85546875" style="66" customWidth="1"/>
    <col min="8" max="8" width="15" style="67" customWidth="1"/>
    <col min="9" max="9" width="15.7109375" style="67" customWidth="1"/>
    <col min="10" max="10" width="12.28515625" style="63" customWidth="1"/>
    <col min="11" max="16384" width="9.140625" style="63"/>
  </cols>
  <sheetData>
    <row r="1" spans="1:10" s="3" customFormat="1" ht="16.5" customHeight="1">
      <c r="C1" s="833" t="s">
        <v>1133</v>
      </c>
      <c r="D1" s="833"/>
      <c r="E1" s="833"/>
      <c r="F1" s="833"/>
      <c r="G1" s="833"/>
      <c r="H1" s="833"/>
      <c r="I1" s="833"/>
      <c r="J1" s="833"/>
    </row>
    <row r="2" spans="1:10" s="3" customFormat="1" ht="29.25" customHeight="1">
      <c r="C2" s="833"/>
      <c r="D2" s="833"/>
      <c r="E2" s="833"/>
      <c r="F2" s="833"/>
      <c r="G2" s="833"/>
      <c r="H2" s="833"/>
      <c r="I2" s="833"/>
      <c r="J2" s="833"/>
    </row>
    <row r="3" spans="1:10" s="3" customFormat="1" ht="20.25" customHeight="1">
      <c r="C3" s="834" t="s">
        <v>3768</v>
      </c>
      <c r="D3" s="835"/>
      <c r="E3" s="835"/>
      <c r="F3" s="835"/>
      <c r="G3" s="835"/>
      <c r="H3" s="835"/>
      <c r="I3" s="835"/>
      <c r="J3" s="835"/>
    </row>
    <row r="4" spans="1:10" s="3" customFormat="1" ht="16.5" thickBot="1">
      <c r="C4" s="7"/>
      <c r="D4" s="8"/>
      <c r="E4" s="4"/>
      <c r="F4" s="4"/>
      <c r="G4" s="5"/>
      <c r="H4" s="6"/>
      <c r="I4" s="6"/>
    </row>
    <row r="5" spans="1:10" s="3" customFormat="1" ht="15.75">
      <c r="C5" s="836" t="s">
        <v>474</v>
      </c>
      <c r="D5" s="838" t="s">
        <v>1134</v>
      </c>
      <c r="E5" s="838" t="s">
        <v>714</v>
      </c>
      <c r="F5" s="838" t="s">
        <v>715</v>
      </c>
      <c r="G5" s="840" t="s">
        <v>1109</v>
      </c>
      <c r="H5" s="842" t="s">
        <v>147</v>
      </c>
      <c r="I5" s="842"/>
      <c r="J5" s="843" t="s">
        <v>587</v>
      </c>
    </row>
    <row r="6" spans="1:10" s="3" customFormat="1" ht="17.25" customHeight="1" thickBot="1">
      <c r="C6" s="837"/>
      <c r="D6" s="839"/>
      <c r="E6" s="839"/>
      <c r="F6" s="839"/>
      <c r="G6" s="841"/>
      <c r="H6" s="9" t="s">
        <v>583</v>
      </c>
      <c r="I6" s="9" t="s">
        <v>584</v>
      </c>
      <c r="J6" s="844"/>
    </row>
    <row r="7" spans="1:10" s="3" customFormat="1" ht="24" customHeight="1" thickBot="1">
      <c r="C7" s="830" t="s">
        <v>1135</v>
      </c>
      <c r="D7" s="831"/>
      <c r="E7" s="831"/>
      <c r="F7" s="832"/>
      <c r="G7" s="10">
        <f>SUM(G8:G1999)</f>
        <v>2300403.0000000009</v>
      </c>
      <c r="H7" s="11"/>
      <c r="I7" s="11"/>
      <c r="J7" s="12"/>
    </row>
    <row r="8" spans="1:10" s="13" customFormat="1" ht="30.95" customHeight="1">
      <c r="A8" s="13">
        <f>A9++A1241+A1291+A1399+A1498+A1824+A1858+A1999</f>
        <v>1992</v>
      </c>
      <c r="B8" s="14">
        <f>SUM(B9:B1999)</f>
        <v>2300403</v>
      </c>
      <c r="C8" s="15">
        <v>1</v>
      </c>
      <c r="D8" s="180" t="s">
        <v>1049</v>
      </c>
      <c r="E8" s="16" t="s">
        <v>1136</v>
      </c>
      <c r="F8" s="17" t="s">
        <v>1137</v>
      </c>
      <c r="G8" s="18">
        <v>2500</v>
      </c>
      <c r="H8" s="19" t="s">
        <v>1138</v>
      </c>
      <c r="I8" s="19" t="s">
        <v>1048</v>
      </c>
      <c r="J8" s="20"/>
    </row>
    <row r="9" spans="1:10" s="13" customFormat="1" ht="30.95" customHeight="1">
      <c r="A9" s="13">
        <v>1226</v>
      </c>
      <c r="B9" s="21">
        <f>SUM(G8:G1233)</f>
        <v>1234244</v>
      </c>
      <c r="C9" s="22">
        <v>2</v>
      </c>
      <c r="D9" s="181" t="s">
        <v>1139</v>
      </c>
      <c r="E9" s="23" t="s">
        <v>1136</v>
      </c>
      <c r="F9" s="23" t="s">
        <v>1137</v>
      </c>
      <c r="G9" s="24">
        <v>1500</v>
      </c>
      <c r="H9" s="25" t="s">
        <v>1140</v>
      </c>
      <c r="I9" s="25" t="s">
        <v>407</v>
      </c>
      <c r="J9" s="26"/>
    </row>
    <row r="10" spans="1:10" s="13" customFormat="1" ht="30.95" customHeight="1">
      <c r="C10" s="22">
        <f t="shared" ref="C10:C73" si="0">C9+1</f>
        <v>3</v>
      </c>
      <c r="D10" s="181" t="s">
        <v>1141</v>
      </c>
      <c r="E10" s="23" t="s">
        <v>1136</v>
      </c>
      <c r="F10" s="23" t="s">
        <v>1137</v>
      </c>
      <c r="G10" s="24">
        <v>2220</v>
      </c>
      <c r="H10" s="25" t="s">
        <v>1140</v>
      </c>
      <c r="I10" s="25" t="s">
        <v>1046</v>
      </c>
      <c r="J10" s="26"/>
    </row>
    <row r="11" spans="1:10" s="13" customFormat="1" ht="30.95" customHeight="1">
      <c r="C11" s="22">
        <f t="shared" si="0"/>
        <v>4</v>
      </c>
      <c r="D11" s="181" t="s">
        <v>1142</v>
      </c>
      <c r="E11" s="23" t="s">
        <v>1136</v>
      </c>
      <c r="F11" s="23" t="s">
        <v>1137</v>
      </c>
      <c r="G11" s="24">
        <v>2530</v>
      </c>
      <c r="H11" s="25" t="s">
        <v>1140</v>
      </c>
      <c r="I11" s="25" t="s">
        <v>1143</v>
      </c>
      <c r="J11" s="26"/>
    </row>
    <row r="12" spans="1:10" s="13" customFormat="1" ht="30.95" customHeight="1">
      <c r="C12" s="22">
        <f t="shared" si="0"/>
        <v>5</v>
      </c>
      <c r="D12" s="181" t="s">
        <v>1144</v>
      </c>
      <c r="E12" s="23" t="s">
        <v>1136</v>
      </c>
      <c r="F12" s="23" t="s">
        <v>1137</v>
      </c>
      <c r="G12" s="24">
        <v>2580</v>
      </c>
      <c r="H12" s="25" t="s">
        <v>1140</v>
      </c>
      <c r="I12" s="25" t="s">
        <v>1143</v>
      </c>
      <c r="J12" s="26"/>
    </row>
    <row r="13" spans="1:10" s="13" customFormat="1" ht="30.95" customHeight="1">
      <c r="C13" s="22">
        <f t="shared" si="0"/>
        <v>6</v>
      </c>
      <c r="D13" s="181" t="s">
        <v>1145</v>
      </c>
      <c r="E13" s="23" t="s">
        <v>1136</v>
      </c>
      <c r="F13" s="23" t="s">
        <v>1137</v>
      </c>
      <c r="G13" s="24">
        <v>2470</v>
      </c>
      <c r="H13" s="25" t="s">
        <v>1140</v>
      </c>
      <c r="I13" s="25" t="s">
        <v>1143</v>
      </c>
      <c r="J13" s="26"/>
    </row>
    <row r="14" spans="1:10" s="13" customFormat="1" ht="30.95" customHeight="1">
      <c r="C14" s="22">
        <f t="shared" si="0"/>
        <v>7</v>
      </c>
      <c r="D14" s="182" t="s">
        <v>1146</v>
      </c>
      <c r="E14" s="23" t="s">
        <v>1136</v>
      </c>
      <c r="F14" s="23" t="s">
        <v>1137</v>
      </c>
      <c r="G14" s="28">
        <v>300</v>
      </c>
      <c r="H14" s="27" t="s">
        <v>3599</v>
      </c>
      <c r="I14" s="27" t="s">
        <v>1147</v>
      </c>
      <c r="J14" s="26"/>
    </row>
    <row r="15" spans="1:10" s="13" customFormat="1" ht="30.95" customHeight="1">
      <c r="C15" s="22">
        <f t="shared" si="0"/>
        <v>8</v>
      </c>
      <c r="D15" s="182" t="s">
        <v>1148</v>
      </c>
      <c r="E15" s="23" t="s">
        <v>1136</v>
      </c>
      <c r="F15" s="23" t="s">
        <v>1137</v>
      </c>
      <c r="G15" s="28">
        <v>400</v>
      </c>
      <c r="H15" s="27" t="s">
        <v>3599</v>
      </c>
      <c r="I15" s="27" t="s">
        <v>1147</v>
      </c>
      <c r="J15" s="26"/>
    </row>
    <row r="16" spans="1:10" s="13" customFormat="1" ht="30.95" customHeight="1">
      <c r="C16" s="22">
        <f t="shared" si="0"/>
        <v>9</v>
      </c>
      <c r="D16" s="182" t="s">
        <v>1149</v>
      </c>
      <c r="E16" s="23" t="s">
        <v>1136</v>
      </c>
      <c r="F16" s="23" t="s">
        <v>1137</v>
      </c>
      <c r="G16" s="28">
        <v>400</v>
      </c>
      <c r="H16" s="27" t="s">
        <v>3599</v>
      </c>
      <c r="I16" s="27" t="s">
        <v>1147</v>
      </c>
      <c r="J16" s="26"/>
    </row>
    <row r="17" spans="3:10" s="13" customFormat="1" ht="30.95" customHeight="1">
      <c r="C17" s="22">
        <f t="shared" si="0"/>
        <v>10</v>
      </c>
      <c r="D17" s="181" t="s">
        <v>1150</v>
      </c>
      <c r="E17" s="23" t="s">
        <v>1136</v>
      </c>
      <c r="F17" s="23" t="s">
        <v>1137</v>
      </c>
      <c r="G17" s="24">
        <v>6260</v>
      </c>
      <c r="H17" s="25" t="s">
        <v>1151</v>
      </c>
      <c r="I17" s="25" t="s">
        <v>1152</v>
      </c>
      <c r="J17" s="26"/>
    </row>
    <row r="18" spans="3:10" s="13" customFormat="1" ht="30.95" customHeight="1">
      <c r="C18" s="22">
        <f t="shared" si="0"/>
        <v>11</v>
      </c>
      <c r="D18" s="181" t="s">
        <v>1153</v>
      </c>
      <c r="E18" s="23" t="s">
        <v>1136</v>
      </c>
      <c r="F18" s="23" t="s">
        <v>1137</v>
      </c>
      <c r="G18" s="24">
        <v>3500</v>
      </c>
      <c r="H18" s="25" t="s">
        <v>1152</v>
      </c>
      <c r="I18" s="25" t="s">
        <v>407</v>
      </c>
      <c r="J18" s="26"/>
    </row>
    <row r="19" spans="3:10" s="13" customFormat="1" ht="47.25" customHeight="1">
      <c r="C19" s="22">
        <f t="shared" si="0"/>
        <v>12</v>
      </c>
      <c r="D19" s="183" t="s">
        <v>1154</v>
      </c>
      <c r="E19" s="23" t="s">
        <v>1136</v>
      </c>
      <c r="F19" s="23" t="s">
        <v>1137</v>
      </c>
      <c r="G19" s="24">
        <v>700</v>
      </c>
      <c r="H19" s="25" t="s">
        <v>1155</v>
      </c>
      <c r="I19" s="25" t="s">
        <v>1156</v>
      </c>
      <c r="J19" s="26"/>
    </row>
    <row r="20" spans="3:10" s="13" customFormat="1" ht="30.95" customHeight="1">
      <c r="C20" s="22">
        <f t="shared" si="0"/>
        <v>13</v>
      </c>
      <c r="D20" s="181" t="s">
        <v>1157</v>
      </c>
      <c r="E20" s="23" t="s">
        <v>1136</v>
      </c>
      <c r="F20" s="23" t="s">
        <v>1137</v>
      </c>
      <c r="G20" s="24">
        <v>2070</v>
      </c>
      <c r="H20" s="25" t="s">
        <v>1158</v>
      </c>
      <c r="I20" s="25" t="s">
        <v>1159</v>
      </c>
      <c r="J20" s="26"/>
    </row>
    <row r="21" spans="3:10" s="13" customFormat="1" ht="30.95" customHeight="1">
      <c r="C21" s="22">
        <f t="shared" si="0"/>
        <v>14</v>
      </c>
      <c r="D21" s="181" t="s">
        <v>1160</v>
      </c>
      <c r="E21" s="23" t="s">
        <v>1136</v>
      </c>
      <c r="F21" s="23" t="s">
        <v>1137</v>
      </c>
      <c r="G21" s="24">
        <v>8238</v>
      </c>
      <c r="H21" s="25" t="s">
        <v>1161</v>
      </c>
      <c r="I21" s="25" t="s">
        <v>1162</v>
      </c>
      <c r="J21" s="26"/>
    </row>
    <row r="22" spans="3:10" s="13" customFormat="1" ht="30.95" customHeight="1">
      <c r="C22" s="22">
        <f t="shared" si="0"/>
        <v>15</v>
      </c>
      <c r="D22" s="181" t="s">
        <v>1117</v>
      </c>
      <c r="E22" s="23" t="s">
        <v>1136</v>
      </c>
      <c r="F22" s="23" t="s">
        <v>1137</v>
      </c>
      <c r="G22" s="24">
        <v>15460</v>
      </c>
      <c r="H22" s="25" t="s">
        <v>1164</v>
      </c>
      <c r="I22" s="25" t="s">
        <v>1165</v>
      </c>
      <c r="J22" s="26"/>
    </row>
    <row r="23" spans="3:10" s="13" customFormat="1" ht="30.95" customHeight="1">
      <c r="C23" s="22">
        <f t="shared" si="0"/>
        <v>16</v>
      </c>
      <c r="D23" s="181" t="s">
        <v>1166</v>
      </c>
      <c r="E23" s="23" t="s">
        <v>1136</v>
      </c>
      <c r="F23" s="23" t="s">
        <v>1137</v>
      </c>
      <c r="G23" s="24">
        <v>960</v>
      </c>
      <c r="H23" s="25" t="s">
        <v>1163</v>
      </c>
      <c r="I23" s="25" t="s">
        <v>244</v>
      </c>
      <c r="J23" s="26"/>
    </row>
    <row r="24" spans="3:10" s="13" customFormat="1" ht="30.95" customHeight="1">
      <c r="C24" s="22">
        <f t="shared" si="0"/>
        <v>17</v>
      </c>
      <c r="D24" s="181" t="s">
        <v>1167</v>
      </c>
      <c r="E24" s="23" t="s">
        <v>1136</v>
      </c>
      <c r="F24" s="23" t="s">
        <v>1137</v>
      </c>
      <c r="G24" s="24">
        <v>967</v>
      </c>
      <c r="H24" s="25" t="s">
        <v>1163</v>
      </c>
      <c r="I24" s="25" t="s">
        <v>244</v>
      </c>
      <c r="J24" s="26"/>
    </row>
    <row r="25" spans="3:10" s="13" customFormat="1" ht="30.95" customHeight="1">
      <c r="C25" s="22">
        <f t="shared" si="0"/>
        <v>18</v>
      </c>
      <c r="D25" s="181" t="s">
        <v>1168</v>
      </c>
      <c r="E25" s="23" t="s">
        <v>1136</v>
      </c>
      <c r="F25" s="23" t="s">
        <v>1137</v>
      </c>
      <c r="G25" s="24">
        <v>1006</v>
      </c>
      <c r="H25" s="25" t="s">
        <v>1163</v>
      </c>
      <c r="I25" s="25" t="s">
        <v>244</v>
      </c>
      <c r="J25" s="26"/>
    </row>
    <row r="26" spans="3:10" s="13" customFormat="1" ht="30.95" customHeight="1">
      <c r="C26" s="22">
        <f t="shared" si="0"/>
        <v>19</v>
      </c>
      <c r="D26" s="181" t="s">
        <v>1169</v>
      </c>
      <c r="E26" s="23" t="s">
        <v>1136</v>
      </c>
      <c r="F26" s="23" t="s">
        <v>1137</v>
      </c>
      <c r="G26" s="24">
        <v>1800</v>
      </c>
      <c r="H26" s="25" t="s">
        <v>1163</v>
      </c>
      <c r="I26" s="25" t="s">
        <v>1170</v>
      </c>
      <c r="J26" s="26"/>
    </row>
    <row r="27" spans="3:10" s="13" customFormat="1" ht="30.95" customHeight="1">
      <c r="C27" s="22">
        <f t="shared" si="0"/>
        <v>20</v>
      </c>
      <c r="D27" s="181" t="s">
        <v>1171</v>
      </c>
      <c r="E27" s="23" t="s">
        <v>1136</v>
      </c>
      <c r="F27" s="23" t="s">
        <v>1137</v>
      </c>
      <c r="G27" s="24">
        <v>997</v>
      </c>
      <c r="H27" s="25" t="s">
        <v>1163</v>
      </c>
      <c r="I27" s="25" t="s">
        <v>244</v>
      </c>
      <c r="J27" s="26"/>
    </row>
    <row r="28" spans="3:10" s="13" customFormat="1" ht="30.95" customHeight="1">
      <c r="C28" s="22">
        <f t="shared" si="0"/>
        <v>21</v>
      </c>
      <c r="D28" s="181" t="s">
        <v>1172</v>
      </c>
      <c r="E28" s="23" t="s">
        <v>1136</v>
      </c>
      <c r="F28" s="23" t="s">
        <v>1137</v>
      </c>
      <c r="G28" s="24">
        <v>1812</v>
      </c>
      <c r="H28" s="25" t="s">
        <v>1163</v>
      </c>
      <c r="I28" s="25" t="s">
        <v>244</v>
      </c>
      <c r="J28" s="26"/>
    </row>
    <row r="29" spans="3:10" s="13" customFormat="1" ht="30.95" customHeight="1">
      <c r="C29" s="22">
        <f t="shared" si="0"/>
        <v>22</v>
      </c>
      <c r="D29" s="181" t="s">
        <v>1173</v>
      </c>
      <c r="E29" s="23" t="s">
        <v>1136</v>
      </c>
      <c r="F29" s="23" t="s">
        <v>1137</v>
      </c>
      <c r="G29" s="24">
        <v>983</v>
      </c>
      <c r="H29" s="25" t="s">
        <v>1163</v>
      </c>
      <c r="I29" s="25" t="s">
        <v>244</v>
      </c>
      <c r="J29" s="26"/>
    </row>
    <row r="30" spans="3:10" s="13" customFormat="1" ht="30.95" customHeight="1">
      <c r="C30" s="22">
        <f t="shared" si="0"/>
        <v>23</v>
      </c>
      <c r="D30" s="181" t="s">
        <v>1174</v>
      </c>
      <c r="E30" s="23" t="s">
        <v>1136</v>
      </c>
      <c r="F30" s="23" t="s">
        <v>1137</v>
      </c>
      <c r="G30" s="24">
        <v>1840</v>
      </c>
      <c r="H30" s="25" t="s">
        <v>1163</v>
      </c>
      <c r="I30" s="25" t="s">
        <v>244</v>
      </c>
      <c r="J30" s="26"/>
    </row>
    <row r="31" spans="3:10" s="13" customFormat="1" ht="30.95" customHeight="1">
      <c r="C31" s="22">
        <f t="shared" si="0"/>
        <v>24</v>
      </c>
      <c r="D31" s="181" t="s">
        <v>1175</v>
      </c>
      <c r="E31" s="23" t="s">
        <v>1136</v>
      </c>
      <c r="F31" s="23" t="s">
        <v>1137</v>
      </c>
      <c r="G31" s="24">
        <v>981</v>
      </c>
      <c r="H31" s="25" t="s">
        <v>1163</v>
      </c>
      <c r="I31" s="25" t="s">
        <v>244</v>
      </c>
      <c r="J31" s="26"/>
    </row>
    <row r="32" spans="3:10" s="13" customFormat="1" ht="30.95" customHeight="1">
      <c r="C32" s="22">
        <f t="shared" si="0"/>
        <v>25</v>
      </c>
      <c r="D32" s="181" t="s">
        <v>1176</v>
      </c>
      <c r="E32" s="23" t="s">
        <v>1136</v>
      </c>
      <c r="F32" s="23" t="s">
        <v>1137</v>
      </c>
      <c r="G32" s="24">
        <v>1837</v>
      </c>
      <c r="H32" s="25" t="s">
        <v>1163</v>
      </c>
      <c r="I32" s="25" t="s">
        <v>244</v>
      </c>
      <c r="J32" s="26"/>
    </row>
    <row r="33" spans="3:10" s="13" customFormat="1" ht="30.95" customHeight="1">
      <c r="C33" s="22">
        <f t="shared" si="0"/>
        <v>26</v>
      </c>
      <c r="D33" s="181" t="s">
        <v>1177</v>
      </c>
      <c r="E33" s="23" t="s">
        <v>1136</v>
      </c>
      <c r="F33" s="23" t="s">
        <v>1137</v>
      </c>
      <c r="G33" s="24">
        <v>978</v>
      </c>
      <c r="H33" s="25" t="s">
        <v>1163</v>
      </c>
      <c r="I33" s="25" t="s">
        <v>244</v>
      </c>
      <c r="J33" s="26"/>
    </row>
    <row r="34" spans="3:10" s="13" customFormat="1" ht="30.95" customHeight="1">
      <c r="C34" s="22">
        <f t="shared" si="0"/>
        <v>27</v>
      </c>
      <c r="D34" s="181" t="s">
        <v>1178</v>
      </c>
      <c r="E34" s="23" t="s">
        <v>1136</v>
      </c>
      <c r="F34" s="23" t="s">
        <v>1137</v>
      </c>
      <c r="G34" s="24">
        <v>1830</v>
      </c>
      <c r="H34" s="25" t="s">
        <v>1163</v>
      </c>
      <c r="I34" s="25" t="s">
        <v>244</v>
      </c>
      <c r="J34" s="26"/>
    </row>
    <row r="35" spans="3:10" s="13" customFormat="1" ht="30.95" customHeight="1">
      <c r="C35" s="22">
        <f t="shared" si="0"/>
        <v>28</v>
      </c>
      <c r="D35" s="181" t="s">
        <v>1179</v>
      </c>
      <c r="E35" s="23" t="s">
        <v>1136</v>
      </c>
      <c r="F35" s="23" t="s">
        <v>1137</v>
      </c>
      <c r="G35" s="24">
        <v>945</v>
      </c>
      <c r="H35" s="25" t="s">
        <v>1163</v>
      </c>
      <c r="I35" s="25" t="s">
        <v>244</v>
      </c>
      <c r="J35" s="26"/>
    </row>
    <row r="36" spans="3:10" s="13" customFormat="1" ht="30.95" customHeight="1">
      <c r="C36" s="22">
        <f t="shared" si="0"/>
        <v>29</v>
      </c>
      <c r="D36" s="181" t="s">
        <v>1180</v>
      </c>
      <c r="E36" s="23" t="s">
        <v>1136</v>
      </c>
      <c r="F36" s="23" t="s">
        <v>1137</v>
      </c>
      <c r="G36" s="24">
        <v>1825</v>
      </c>
      <c r="H36" s="25" t="s">
        <v>1163</v>
      </c>
      <c r="I36" s="25" t="s">
        <v>244</v>
      </c>
      <c r="J36" s="26"/>
    </row>
    <row r="37" spans="3:10" s="13" customFormat="1" ht="30.95" customHeight="1">
      <c r="C37" s="22">
        <f t="shared" si="0"/>
        <v>30</v>
      </c>
      <c r="D37" s="181" t="s">
        <v>1181</v>
      </c>
      <c r="E37" s="23" t="s">
        <v>1136</v>
      </c>
      <c r="F37" s="23" t="s">
        <v>1137</v>
      </c>
      <c r="G37" s="24">
        <v>15595</v>
      </c>
      <c r="H37" s="25" t="s">
        <v>1163</v>
      </c>
      <c r="I37" s="25" t="s">
        <v>244</v>
      </c>
      <c r="J37" s="26"/>
    </row>
    <row r="38" spans="3:10" s="13" customFormat="1" ht="30.95" customHeight="1">
      <c r="C38" s="22">
        <f t="shared" si="0"/>
        <v>31</v>
      </c>
      <c r="D38" s="181" t="s">
        <v>1182</v>
      </c>
      <c r="E38" s="23" t="s">
        <v>1136</v>
      </c>
      <c r="F38" s="23" t="s">
        <v>1137</v>
      </c>
      <c r="G38" s="24">
        <v>4894</v>
      </c>
      <c r="H38" s="25" t="s">
        <v>1163</v>
      </c>
      <c r="I38" s="25" t="s">
        <v>244</v>
      </c>
      <c r="J38" s="26"/>
    </row>
    <row r="39" spans="3:10" s="13" customFormat="1" ht="30.95" customHeight="1">
      <c r="C39" s="22">
        <f t="shared" si="0"/>
        <v>32</v>
      </c>
      <c r="D39" s="181" t="s">
        <v>1183</v>
      </c>
      <c r="E39" s="23" t="s">
        <v>1136</v>
      </c>
      <c r="F39" s="23" t="s">
        <v>1137</v>
      </c>
      <c r="G39" s="24">
        <v>1250</v>
      </c>
      <c r="H39" s="25" t="s">
        <v>1163</v>
      </c>
      <c r="I39" s="25" t="s">
        <v>244</v>
      </c>
      <c r="J39" s="26"/>
    </row>
    <row r="40" spans="3:10" s="13" customFormat="1" ht="30.95" customHeight="1">
      <c r="C40" s="22">
        <f t="shared" si="0"/>
        <v>33</v>
      </c>
      <c r="D40" s="181" t="s">
        <v>1184</v>
      </c>
      <c r="E40" s="23" t="s">
        <v>1136</v>
      </c>
      <c r="F40" s="23" t="s">
        <v>1137</v>
      </c>
      <c r="G40" s="24">
        <v>1300</v>
      </c>
      <c r="H40" s="25" t="s">
        <v>1163</v>
      </c>
      <c r="I40" s="25" t="s">
        <v>244</v>
      </c>
      <c r="J40" s="26"/>
    </row>
    <row r="41" spans="3:10" s="13" customFormat="1" ht="30.95" customHeight="1">
      <c r="C41" s="22">
        <f t="shared" si="0"/>
        <v>34</v>
      </c>
      <c r="D41" s="181" t="s">
        <v>1185</v>
      </c>
      <c r="E41" s="23" t="s">
        <v>1136</v>
      </c>
      <c r="F41" s="23" t="s">
        <v>1137</v>
      </c>
      <c r="G41" s="24">
        <v>1114</v>
      </c>
      <c r="H41" s="25" t="s">
        <v>1163</v>
      </c>
      <c r="I41" s="25" t="s">
        <v>244</v>
      </c>
      <c r="J41" s="26"/>
    </row>
    <row r="42" spans="3:10" s="13" customFormat="1" ht="30.95" customHeight="1">
      <c r="C42" s="22">
        <f t="shared" si="0"/>
        <v>35</v>
      </c>
      <c r="D42" s="181" t="s">
        <v>1186</v>
      </c>
      <c r="E42" s="23" t="s">
        <v>1136</v>
      </c>
      <c r="F42" s="23" t="s">
        <v>1137</v>
      </c>
      <c r="G42" s="24">
        <v>1521</v>
      </c>
      <c r="H42" s="25" t="s">
        <v>1163</v>
      </c>
      <c r="I42" s="25" t="s">
        <v>244</v>
      </c>
      <c r="J42" s="26"/>
    </row>
    <row r="43" spans="3:10" s="13" customFormat="1" ht="30.95" customHeight="1">
      <c r="C43" s="22">
        <f t="shared" si="0"/>
        <v>36</v>
      </c>
      <c r="D43" s="181" t="s">
        <v>1187</v>
      </c>
      <c r="E43" s="23" t="s">
        <v>1136</v>
      </c>
      <c r="F43" s="23" t="s">
        <v>1137</v>
      </c>
      <c r="G43" s="24">
        <v>1460</v>
      </c>
      <c r="H43" s="25" t="s">
        <v>1170</v>
      </c>
      <c r="I43" s="25" t="s">
        <v>244</v>
      </c>
      <c r="J43" s="26"/>
    </row>
    <row r="44" spans="3:10" s="13" customFormat="1" ht="30.95" customHeight="1">
      <c r="C44" s="22">
        <f t="shared" si="0"/>
        <v>37</v>
      </c>
      <c r="D44" s="181" t="s">
        <v>1188</v>
      </c>
      <c r="E44" s="23" t="s">
        <v>1136</v>
      </c>
      <c r="F44" s="23" t="s">
        <v>1137</v>
      </c>
      <c r="G44" s="24">
        <v>650</v>
      </c>
      <c r="H44" s="25" t="s">
        <v>1170</v>
      </c>
      <c r="I44" s="25" t="s">
        <v>244</v>
      </c>
      <c r="J44" s="26"/>
    </row>
    <row r="45" spans="3:10" s="13" customFormat="1" ht="30.95" customHeight="1">
      <c r="C45" s="22">
        <f t="shared" si="0"/>
        <v>38</v>
      </c>
      <c r="D45" s="181" t="s">
        <v>1189</v>
      </c>
      <c r="E45" s="23" t="s">
        <v>1136</v>
      </c>
      <c r="F45" s="23" t="s">
        <v>1137</v>
      </c>
      <c r="G45" s="24">
        <v>680</v>
      </c>
      <c r="H45" s="25" t="s">
        <v>1170</v>
      </c>
      <c r="I45" s="25" t="s">
        <v>244</v>
      </c>
      <c r="J45" s="26"/>
    </row>
    <row r="46" spans="3:10" s="13" customFormat="1" ht="30.95" customHeight="1">
      <c r="C46" s="22">
        <f t="shared" si="0"/>
        <v>39</v>
      </c>
      <c r="D46" s="181" t="s">
        <v>1190</v>
      </c>
      <c r="E46" s="23" t="s">
        <v>1136</v>
      </c>
      <c r="F46" s="23" t="s">
        <v>1137</v>
      </c>
      <c r="G46" s="24">
        <v>710</v>
      </c>
      <c r="H46" s="25" t="s">
        <v>1170</v>
      </c>
      <c r="I46" s="25" t="s">
        <v>244</v>
      </c>
      <c r="J46" s="26"/>
    </row>
    <row r="47" spans="3:10" s="13" customFormat="1" ht="30.95" customHeight="1">
      <c r="C47" s="22">
        <f t="shared" si="0"/>
        <v>40</v>
      </c>
      <c r="D47" s="181" t="s">
        <v>1191</v>
      </c>
      <c r="E47" s="23" t="s">
        <v>1136</v>
      </c>
      <c r="F47" s="23" t="s">
        <v>1137</v>
      </c>
      <c r="G47" s="24">
        <v>740</v>
      </c>
      <c r="H47" s="25" t="s">
        <v>1170</v>
      </c>
      <c r="I47" s="25" t="s">
        <v>244</v>
      </c>
      <c r="J47" s="26"/>
    </row>
    <row r="48" spans="3:10" s="13" customFormat="1" ht="30.95" customHeight="1">
      <c r="C48" s="22">
        <f t="shared" si="0"/>
        <v>41</v>
      </c>
      <c r="D48" s="181" t="s">
        <v>1192</v>
      </c>
      <c r="E48" s="23" t="s">
        <v>1136</v>
      </c>
      <c r="F48" s="23" t="s">
        <v>1137</v>
      </c>
      <c r="G48" s="24">
        <v>1250</v>
      </c>
      <c r="H48" s="25" t="s">
        <v>1193</v>
      </c>
      <c r="I48" s="25" t="s">
        <v>244</v>
      </c>
      <c r="J48" s="26"/>
    </row>
    <row r="49" spans="3:10" s="13" customFormat="1" ht="30.95" customHeight="1">
      <c r="C49" s="22">
        <f t="shared" si="0"/>
        <v>42</v>
      </c>
      <c r="D49" s="181" t="s">
        <v>1194</v>
      </c>
      <c r="E49" s="23" t="s">
        <v>1136</v>
      </c>
      <c r="F49" s="23" t="s">
        <v>1137</v>
      </c>
      <c r="G49" s="24">
        <v>1700</v>
      </c>
      <c r="H49" s="25" t="s">
        <v>1193</v>
      </c>
      <c r="I49" s="25" t="s">
        <v>244</v>
      </c>
      <c r="J49" s="26"/>
    </row>
    <row r="50" spans="3:10" s="13" customFormat="1" ht="30.95" customHeight="1">
      <c r="C50" s="22">
        <f t="shared" si="0"/>
        <v>43</v>
      </c>
      <c r="D50" s="181" t="s">
        <v>1195</v>
      </c>
      <c r="E50" s="23" t="s">
        <v>1136</v>
      </c>
      <c r="F50" s="23" t="s">
        <v>1137</v>
      </c>
      <c r="G50" s="24">
        <v>1250</v>
      </c>
      <c r="H50" s="25" t="s">
        <v>1193</v>
      </c>
      <c r="I50" s="25" t="s">
        <v>244</v>
      </c>
      <c r="J50" s="26"/>
    </row>
    <row r="51" spans="3:10" s="13" customFormat="1" ht="30.95" customHeight="1">
      <c r="C51" s="22">
        <f t="shared" si="0"/>
        <v>44</v>
      </c>
      <c r="D51" s="181" t="s">
        <v>1196</v>
      </c>
      <c r="E51" s="23" t="s">
        <v>1136</v>
      </c>
      <c r="F51" s="23" t="s">
        <v>1137</v>
      </c>
      <c r="G51" s="24">
        <v>1200</v>
      </c>
      <c r="H51" s="25" t="s">
        <v>1193</v>
      </c>
      <c r="I51" s="25" t="s">
        <v>244</v>
      </c>
      <c r="J51" s="26"/>
    </row>
    <row r="52" spans="3:10" s="13" customFormat="1" ht="30.95" customHeight="1">
      <c r="C52" s="22">
        <f t="shared" si="0"/>
        <v>45</v>
      </c>
      <c r="D52" s="184" t="s">
        <v>1197</v>
      </c>
      <c r="E52" s="23" t="s">
        <v>1136</v>
      </c>
      <c r="F52" s="23" t="s">
        <v>1137</v>
      </c>
      <c r="G52" s="29">
        <v>6034</v>
      </c>
      <c r="H52" s="25" t="s">
        <v>1193</v>
      </c>
      <c r="I52" s="25" t="s">
        <v>1198</v>
      </c>
      <c r="J52" s="26"/>
    </row>
    <row r="53" spans="3:10" s="13" customFormat="1" ht="30.95" customHeight="1">
      <c r="C53" s="22">
        <f t="shared" si="0"/>
        <v>46</v>
      </c>
      <c r="D53" s="181" t="s">
        <v>1199</v>
      </c>
      <c r="E53" s="23" t="s">
        <v>1136</v>
      </c>
      <c r="F53" s="23" t="s">
        <v>1137</v>
      </c>
      <c r="G53" s="24">
        <v>1650</v>
      </c>
      <c r="H53" s="25" t="s">
        <v>1197</v>
      </c>
      <c r="I53" s="25" t="s">
        <v>244</v>
      </c>
      <c r="J53" s="26"/>
    </row>
    <row r="54" spans="3:10" s="13" customFormat="1" ht="30.95" customHeight="1">
      <c r="C54" s="22">
        <f t="shared" si="0"/>
        <v>47</v>
      </c>
      <c r="D54" s="181" t="s">
        <v>1200</v>
      </c>
      <c r="E54" s="23" t="s">
        <v>1136</v>
      </c>
      <c r="F54" s="23" t="s">
        <v>1137</v>
      </c>
      <c r="G54" s="24">
        <v>2150</v>
      </c>
      <c r="H54" s="25" t="s">
        <v>1197</v>
      </c>
      <c r="I54" s="25" t="s">
        <v>244</v>
      </c>
      <c r="J54" s="26"/>
    </row>
    <row r="55" spans="3:10" s="13" customFormat="1" ht="30.95" customHeight="1">
      <c r="C55" s="22">
        <f t="shared" si="0"/>
        <v>48</v>
      </c>
      <c r="D55" s="181" t="s">
        <v>1201</v>
      </c>
      <c r="E55" s="23" t="s">
        <v>1136</v>
      </c>
      <c r="F55" s="23" t="s">
        <v>1137</v>
      </c>
      <c r="G55" s="24">
        <v>2075</v>
      </c>
      <c r="H55" s="25" t="s">
        <v>1197</v>
      </c>
      <c r="I55" s="25" t="s">
        <v>244</v>
      </c>
      <c r="J55" s="26"/>
    </row>
    <row r="56" spans="3:10" s="13" customFormat="1" ht="30.95" customHeight="1">
      <c r="C56" s="22">
        <f t="shared" si="0"/>
        <v>49</v>
      </c>
      <c r="D56" s="181" t="s">
        <v>1202</v>
      </c>
      <c r="E56" s="23" t="s">
        <v>1136</v>
      </c>
      <c r="F56" s="23" t="s">
        <v>1137</v>
      </c>
      <c r="G56" s="24">
        <v>1900</v>
      </c>
      <c r="H56" s="25" t="s">
        <v>1197</v>
      </c>
      <c r="I56" s="25" t="s">
        <v>244</v>
      </c>
      <c r="J56" s="26"/>
    </row>
    <row r="57" spans="3:10" s="13" customFormat="1" ht="30.95" customHeight="1">
      <c r="C57" s="22">
        <f t="shared" si="0"/>
        <v>50</v>
      </c>
      <c r="D57" s="181" t="s">
        <v>1203</v>
      </c>
      <c r="E57" s="23" t="s">
        <v>1136</v>
      </c>
      <c r="F57" s="23" t="s">
        <v>1137</v>
      </c>
      <c r="G57" s="24">
        <v>1850</v>
      </c>
      <c r="H57" s="25" t="s">
        <v>1197</v>
      </c>
      <c r="I57" s="25" t="s">
        <v>244</v>
      </c>
      <c r="J57" s="26"/>
    </row>
    <row r="58" spans="3:10" s="13" customFormat="1" ht="30.95" customHeight="1">
      <c r="C58" s="22">
        <f t="shared" si="0"/>
        <v>51</v>
      </c>
      <c r="D58" s="181" t="s">
        <v>1204</v>
      </c>
      <c r="E58" s="23" t="s">
        <v>1136</v>
      </c>
      <c r="F58" s="23" t="s">
        <v>1137</v>
      </c>
      <c r="G58" s="24">
        <v>2145</v>
      </c>
      <c r="H58" s="25" t="s">
        <v>1197</v>
      </c>
      <c r="I58" s="25" t="s">
        <v>244</v>
      </c>
      <c r="J58" s="26"/>
    </row>
    <row r="59" spans="3:10" s="13" customFormat="1" ht="30.95" customHeight="1">
      <c r="C59" s="22">
        <f t="shared" si="0"/>
        <v>52</v>
      </c>
      <c r="D59" s="181" t="s">
        <v>1205</v>
      </c>
      <c r="E59" s="23" t="s">
        <v>1136</v>
      </c>
      <c r="F59" s="23" t="s">
        <v>1137</v>
      </c>
      <c r="G59" s="24">
        <v>2460</v>
      </c>
      <c r="H59" s="25" t="s">
        <v>1197</v>
      </c>
      <c r="I59" s="25" t="s">
        <v>244</v>
      </c>
      <c r="J59" s="26"/>
    </row>
    <row r="60" spans="3:10" s="13" customFormat="1" ht="30.95" customHeight="1">
      <c r="C60" s="22">
        <f t="shared" si="0"/>
        <v>53</v>
      </c>
      <c r="D60" s="181" t="s">
        <v>1206</v>
      </c>
      <c r="E60" s="23" t="s">
        <v>1136</v>
      </c>
      <c r="F60" s="23" t="s">
        <v>1137</v>
      </c>
      <c r="G60" s="24">
        <v>2767</v>
      </c>
      <c r="H60" s="25" t="s">
        <v>1197</v>
      </c>
      <c r="I60" s="25" t="s">
        <v>244</v>
      </c>
      <c r="J60" s="26"/>
    </row>
    <row r="61" spans="3:10" s="13" customFormat="1" ht="30.95" customHeight="1">
      <c r="C61" s="22">
        <f t="shared" si="0"/>
        <v>54</v>
      </c>
      <c r="D61" s="181" t="s">
        <v>1207</v>
      </c>
      <c r="E61" s="23" t="s">
        <v>1136</v>
      </c>
      <c r="F61" s="23" t="s">
        <v>1137</v>
      </c>
      <c r="G61" s="24">
        <v>3101</v>
      </c>
      <c r="H61" s="25" t="s">
        <v>1197</v>
      </c>
      <c r="I61" s="25" t="s">
        <v>244</v>
      </c>
      <c r="J61" s="26"/>
    </row>
    <row r="62" spans="3:10" s="13" customFormat="1" ht="30.95" customHeight="1">
      <c r="C62" s="22">
        <f t="shared" si="0"/>
        <v>55</v>
      </c>
      <c r="D62" s="181" t="s">
        <v>1208</v>
      </c>
      <c r="E62" s="23" t="s">
        <v>1136</v>
      </c>
      <c r="F62" s="23" t="s">
        <v>1137</v>
      </c>
      <c r="G62" s="24">
        <v>3274</v>
      </c>
      <c r="H62" s="25" t="s">
        <v>1197</v>
      </c>
      <c r="I62" s="25" t="s">
        <v>244</v>
      </c>
      <c r="J62" s="26"/>
    </row>
    <row r="63" spans="3:10" s="13" customFormat="1" ht="30.95" customHeight="1">
      <c r="C63" s="22">
        <f t="shared" si="0"/>
        <v>56</v>
      </c>
      <c r="D63" s="181" t="s">
        <v>1209</v>
      </c>
      <c r="E63" s="23" t="s">
        <v>1136</v>
      </c>
      <c r="F63" s="23" t="s">
        <v>1137</v>
      </c>
      <c r="G63" s="24">
        <v>3400</v>
      </c>
      <c r="H63" s="25" t="s">
        <v>1197</v>
      </c>
      <c r="I63" s="25" t="s">
        <v>244</v>
      </c>
      <c r="J63" s="26"/>
    </row>
    <row r="64" spans="3:10" s="13" customFormat="1" ht="30.95" customHeight="1">
      <c r="C64" s="22">
        <f t="shared" si="0"/>
        <v>57</v>
      </c>
      <c r="D64" s="184" t="s">
        <v>1210</v>
      </c>
      <c r="E64" s="23" t="s">
        <v>1136</v>
      </c>
      <c r="F64" s="23" t="s">
        <v>1137</v>
      </c>
      <c r="G64" s="29">
        <v>7500</v>
      </c>
      <c r="H64" s="25" t="s">
        <v>1211</v>
      </c>
      <c r="I64" s="25" t="s">
        <v>1198</v>
      </c>
      <c r="J64" s="26"/>
    </row>
    <row r="65" spans="3:10" s="13" customFormat="1" ht="30.95" customHeight="1">
      <c r="C65" s="22">
        <f t="shared" si="0"/>
        <v>58</v>
      </c>
      <c r="D65" s="181" t="s">
        <v>1212</v>
      </c>
      <c r="E65" s="23" t="s">
        <v>1136</v>
      </c>
      <c r="F65" s="23" t="s">
        <v>1137</v>
      </c>
      <c r="G65" s="24">
        <v>2300</v>
      </c>
      <c r="H65" s="25" t="s">
        <v>1210</v>
      </c>
      <c r="I65" s="25" t="s">
        <v>244</v>
      </c>
      <c r="J65" s="26"/>
    </row>
    <row r="66" spans="3:10" s="13" customFormat="1" ht="30.95" customHeight="1">
      <c r="C66" s="22">
        <f t="shared" si="0"/>
        <v>59</v>
      </c>
      <c r="D66" s="181" t="s">
        <v>1213</v>
      </c>
      <c r="E66" s="23" t="s">
        <v>1136</v>
      </c>
      <c r="F66" s="23" t="s">
        <v>1137</v>
      </c>
      <c r="G66" s="24">
        <v>2336</v>
      </c>
      <c r="H66" s="25" t="s">
        <v>1210</v>
      </c>
      <c r="I66" s="25" t="s">
        <v>244</v>
      </c>
      <c r="J66" s="26"/>
    </row>
    <row r="67" spans="3:10" s="13" customFormat="1" ht="30.95" customHeight="1">
      <c r="C67" s="22">
        <f t="shared" si="0"/>
        <v>60</v>
      </c>
      <c r="D67" s="181" t="s">
        <v>1214</v>
      </c>
      <c r="E67" s="23" t="s">
        <v>1136</v>
      </c>
      <c r="F67" s="23" t="s">
        <v>1137</v>
      </c>
      <c r="G67" s="24">
        <v>2304</v>
      </c>
      <c r="H67" s="25" t="s">
        <v>1210</v>
      </c>
      <c r="I67" s="25" t="s">
        <v>244</v>
      </c>
      <c r="J67" s="26"/>
    </row>
    <row r="68" spans="3:10" s="13" customFormat="1" ht="30.95" customHeight="1">
      <c r="C68" s="22">
        <f t="shared" si="0"/>
        <v>61</v>
      </c>
      <c r="D68" s="181" t="s">
        <v>1215</v>
      </c>
      <c r="E68" s="23" t="s">
        <v>1136</v>
      </c>
      <c r="F68" s="23" t="s">
        <v>1137</v>
      </c>
      <c r="G68" s="24">
        <v>2296</v>
      </c>
      <c r="H68" s="25" t="s">
        <v>1210</v>
      </c>
      <c r="I68" s="25" t="s">
        <v>244</v>
      </c>
      <c r="J68" s="26"/>
    </row>
    <row r="69" spans="3:10" s="13" customFormat="1" ht="30.95" customHeight="1">
      <c r="C69" s="22">
        <f t="shared" si="0"/>
        <v>62</v>
      </c>
      <c r="D69" s="181" t="s">
        <v>1216</v>
      </c>
      <c r="E69" s="23" t="s">
        <v>1136</v>
      </c>
      <c r="F69" s="23" t="s">
        <v>1137</v>
      </c>
      <c r="G69" s="24">
        <v>2315</v>
      </c>
      <c r="H69" s="25" t="s">
        <v>1210</v>
      </c>
      <c r="I69" s="25" t="s">
        <v>244</v>
      </c>
      <c r="J69" s="26"/>
    </row>
    <row r="70" spans="3:10" s="13" customFormat="1" ht="30.95" customHeight="1">
      <c r="C70" s="22">
        <f t="shared" si="0"/>
        <v>63</v>
      </c>
      <c r="D70" s="181" t="s">
        <v>1217</v>
      </c>
      <c r="E70" s="23" t="s">
        <v>1136</v>
      </c>
      <c r="F70" s="23" t="s">
        <v>1137</v>
      </c>
      <c r="G70" s="24">
        <v>2344</v>
      </c>
      <c r="H70" s="25" t="s">
        <v>1210</v>
      </c>
      <c r="I70" s="25" t="s">
        <v>244</v>
      </c>
      <c r="J70" s="26"/>
    </row>
    <row r="71" spans="3:10" s="13" customFormat="1" ht="30.95" customHeight="1">
      <c r="C71" s="22">
        <f t="shared" si="0"/>
        <v>64</v>
      </c>
      <c r="D71" s="181" t="s">
        <v>1218</v>
      </c>
      <c r="E71" s="23" t="s">
        <v>1136</v>
      </c>
      <c r="F71" s="23" t="s">
        <v>1137</v>
      </c>
      <c r="G71" s="24">
        <v>2340</v>
      </c>
      <c r="H71" s="25" t="s">
        <v>1210</v>
      </c>
      <c r="I71" s="25" t="s">
        <v>244</v>
      </c>
      <c r="J71" s="26"/>
    </row>
    <row r="72" spans="3:10" s="13" customFormat="1" ht="30.95" customHeight="1">
      <c r="C72" s="22">
        <f t="shared" si="0"/>
        <v>65</v>
      </c>
      <c r="D72" s="181" t="s">
        <v>1219</v>
      </c>
      <c r="E72" s="23" t="s">
        <v>1136</v>
      </c>
      <c r="F72" s="23" t="s">
        <v>1137</v>
      </c>
      <c r="G72" s="24">
        <v>2400</v>
      </c>
      <c r="H72" s="25" t="s">
        <v>1210</v>
      </c>
      <c r="I72" s="25" t="s">
        <v>244</v>
      </c>
      <c r="J72" s="26"/>
    </row>
    <row r="73" spans="3:10" s="13" customFormat="1" ht="30.95" customHeight="1">
      <c r="C73" s="22">
        <f t="shared" si="0"/>
        <v>66</v>
      </c>
      <c r="D73" s="181" t="s">
        <v>1220</v>
      </c>
      <c r="E73" s="23" t="s">
        <v>1136</v>
      </c>
      <c r="F73" s="23" t="s">
        <v>1137</v>
      </c>
      <c r="G73" s="24">
        <v>2451</v>
      </c>
      <c r="H73" s="25" t="s">
        <v>1210</v>
      </c>
      <c r="I73" s="25" t="s">
        <v>244</v>
      </c>
      <c r="J73" s="26"/>
    </row>
    <row r="74" spans="3:10" s="13" customFormat="1" ht="30.95" customHeight="1">
      <c r="C74" s="22">
        <f t="shared" ref="C74:C137" si="1">C73+1</f>
        <v>67</v>
      </c>
      <c r="D74" s="181" t="s">
        <v>1221</v>
      </c>
      <c r="E74" s="23" t="s">
        <v>1136</v>
      </c>
      <c r="F74" s="23" t="s">
        <v>1137</v>
      </c>
      <c r="G74" s="24">
        <v>2713</v>
      </c>
      <c r="H74" s="25" t="s">
        <v>1210</v>
      </c>
      <c r="I74" s="25" t="s">
        <v>244</v>
      </c>
      <c r="J74" s="26"/>
    </row>
    <row r="75" spans="3:10" s="13" customFormat="1" ht="30.95" customHeight="1">
      <c r="C75" s="22">
        <f t="shared" si="1"/>
        <v>68</v>
      </c>
      <c r="D75" s="181" t="s">
        <v>1222</v>
      </c>
      <c r="E75" s="23" t="s">
        <v>1136</v>
      </c>
      <c r="F75" s="23" t="s">
        <v>1137</v>
      </c>
      <c r="G75" s="24">
        <v>2956</v>
      </c>
      <c r="H75" s="25" t="s">
        <v>1210</v>
      </c>
      <c r="I75" s="25" t="s">
        <v>244</v>
      </c>
      <c r="J75" s="26"/>
    </row>
    <row r="76" spans="3:10" s="13" customFormat="1" ht="30.95" customHeight="1">
      <c r="C76" s="22">
        <f t="shared" si="1"/>
        <v>69</v>
      </c>
      <c r="D76" s="181" t="s">
        <v>1223</v>
      </c>
      <c r="E76" s="23" t="s">
        <v>1136</v>
      </c>
      <c r="F76" s="23" t="s">
        <v>1137</v>
      </c>
      <c r="G76" s="24">
        <v>3200</v>
      </c>
      <c r="H76" s="25" t="s">
        <v>1210</v>
      </c>
      <c r="I76" s="25" t="s">
        <v>244</v>
      </c>
      <c r="J76" s="26"/>
    </row>
    <row r="77" spans="3:10" s="13" customFormat="1" ht="30.95" customHeight="1">
      <c r="C77" s="22">
        <f t="shared" si="1"/>
        <v>70</v>
      </c>
      <c r="D77" s="181" t="s">
        <v>1049</v>
      </c>
      <c r="E77" s="23" t="s">
        <v>1136</v>
      </c>
      <c r="F77" s="23" t="s">
        <v>1137</v>
      </c>
      <c r="G77" s="24">
        <v>7817</v>
      </c>
      <c r="H77" s="25" t="s">
        <v>1193</v>
      </c>
      <c r="I77" s="25" t="s">
        <v>1198</v>
      </c>
      <c r="J77" s="26"/>
    </row>
    <row r="78" spans="3:10" s="13" customFormat="1" ht="30.95" customHeight="1">
      <c r="C78" s="22">
        <f t="shared" si="1"/>
        <v>71</v>
      </c>
      <c r="D78" s="181" t="s">
        <v>1224</v>
      </c>
      <c r="E78" s="23" t="s">
        <v>1136</v>
      </c>
      <c r="F78" s="23" t="s">
        <v>1137</v>
      </c>
      <c r="G78" s="24">
        <v>1752</v>
      </c>
      <c r="H78" s="25" t="s">
        <v>1049</v>
      </c>
      <c r="I78" s="25" t="s">
        <v>244</v>
      </c>
      <c r="J78" s="26"/>
    </row>
    <row r="79" spans="3:10" s="13" customFormat="1" ht="30.95" customHeight="1">
      <c r="C79" s="22">
        <f t="shared" si="1"/>
        <v>72</v>
      </c>
      <c r="D79" s="181" t="s">
        <v>1225</v>
      </c>
      <c r="E79" s="23" t="s">
        <v>1136</v>
      </c>
      <c r="F79" s="23" t="s">
        <v>1137</v>
      </c>
      <c r="G79" s="24">
        <v>2500</v>
      </c>
      <c r="H79" s="25" t="s">
        <v>1049</v>
      </c>
      <c r="I79" s="25" t="s">
        <v>244</v>
      </c>
      <c r="J79" s="26"/>
    </row>
    <row r="80" spans="3:10" s="13" customFormat="1" ht="30.95" customHeight="1">
      <c r="C80" s="22">
        <f t="shared" si="1"/>
        <v>73</v>
      </c>
      <c r="D80" s="181" t="s">
        <v>1226</v>
      </c>
      <c r="E80" s="23" t="s">
        <v>1136</v>
      </c>
      <c r="F80" s="23" t="s">
        <v>1137</v>
      </c>
      <c r="G80" s="24">
        <v>2380</v>
      </c>
      <c r="H80" s="25" t="s">
        <v>1049</v>
      </c>
      <c r="I80" s="25" t="s">
        <v>244</v>
      </c>
      <c r="J80" s="26"/>
    </row>
    <row r="81" spans="3:10" s="13" customFormat="1" ht="30.95" customHeight="1">
      <c r="C81" s="22">
        <f t="shared" si="1"/>
        <v>74</v>
      </c>
      <c r="D81" s="181" t="s">
        <v>1227</v>
      </c>
      <c r="E81" s="23" t="s">
        <v>1136</v>
      </c>
      <c r="F81" s="23" t="s">
        <v>1137</v>
      </c>
      <c r="G81" s="24">
        <v>2108</v>
      </c>
      <c r="H81" s="25" t="s">
        <v>1049</v>
      </c>
      <c r="I81" s="25" t="s">
        <v>244</v>
      </c>
      <c r="J81" s="26"/>
    </row>
    <row r="82" spans="3:10" s="13" customFormat="1" ht="30.95" customHeight="1">
      <c r="C82" s="22">
        <f t="shared" si="1"/>
        <v>75</v>
      </c>
      <c r="D82" s="181" t="s">
        <v>1228</v>
      </c>
      <c r="E82" s="23" t="s">
        <v>1136</v>
      </c>
      <c r="F82" s="23" t="s">
        <v>1137</v>
      </c>
      <c r="G82" s="24">
        <v>1889</v>
      </c>
      <c r="H82" s="25" t="s">
        <v>1049</v>
      </c>
      <c r="I82" s="25" t="s">
        <v>244</v>
      </c>
      <c r="J82" s="26"/>
    </row>
    <row r="83" spans="3:10" s="13" customFormat="1" ht="30.95" customHeight="1">
      <c r="C83" s="22">
        <f t="shared" si="1"/>
        <v>76</v>
      </c>
      <c r="D83" s="181" t="s">
        <v>1229</v>
      </c>
      <c r="E83" s="23" t="s">
        <v>1136</v>
      </c>
      <c r="F83" s="23" t="s">
        <v>1137</v>
      </c>
      <c r="G83" s="24">
        <v>2580</v>
      </c>
      <c r="H83" s="25" t="s">
        <v>1049</v>
      </c>
      <c r="I83" s="25" t="s">
        <v>244</v>
      </c>
      <c r="J83" s="26"/>
    </row>
    <row r="84" spans="3:10" s="13" customFormat="1" ht="30.95" customHeight="1">
      <c r="C84" s="22">
        <f t="shared" si="1"/>
        <v>77</v>
      </c>
      <c r="D84" s="181" t="s">
        <v>1230</v>
      </c>
      <c r="E84" s="23" t="s">
        <v>1136</v>
      </c>
      <c r="F84" s="23" t="s">
        <v>1137</v>
      </c>
      <c r="G84" s="24">
        <v>1985</v>
      </c>
      <c r="H84" s="25" t="s">
        <v>1049</v>
      </c>
      <c r="I84" s="25" t="s">
        <v>244</v>
      </c>
      <c r="J84" s="26"/>
    </row>
    <row r="85" spans="3:10" s="13" customFormat="1" ht="30.95" customHeight="1">
      <c r="C85" s="22">
        <f t="shared" si="1"/>
        <v>78</v>
      </c>
      <c r="D85" s="181" t="s">
        <v>1231</v>
      </c>
      <c r="E85" s="23" t="s">
        <v>1136</v>
      </c>
      <c r="F85" s="23" t="s">
        <v>1137</v>
      </c>
      <c r="G85" s="24">
        <v>2488</v>
      </c>
      <c r="H85" s="25" t="s">
        <v>1049</v>
      </c>
      <c r="I85" s="25" t="s">
        <v>244</v>
      </c>
      <c r="J85" s="26"/>
    </row>
    <row r="86" spans="3:10" s="13" customFormat="1" ht="30.95" customHeight="1">
      <c r="C86" s="22">
        <f t="shared" si="1"/>
        <v>79</v>
      </c>
      <c r="D86" s="181" t="s">
        <v>1232</v>
      </c>
      <c r="E86" s="23" t="s">
        <v>1136</v>
      </c>
      <c r="F86" s="23" t="s">
        <v>1137</v>
      </c>
      <c r="G86" s="24">
        <v>2166</v>
      </c>
      <c r="H86" s="25" t="s">
        <v>1049</v>
      </c>
      <c r="I86" s="25" t="s">
        <v>244</v>
      </c>
      <c r="J86" s="26"/>
    </row>
    <row r="87" spans="3:10" s="13" customFormat="1" ht="30.95" customHeight="1">
      <c r="C87" s="22">
        <f t="shared" si="1"/>
        <v>80</v>
      </c>
      <c r="D87" s="181" t="s">
        <v>1233</v>
      </c>
      <c r="E87" s="23" t="s">
        <v>1136</v>
      </c>
      <c r="F87" s="23" t="s">
        <v>1137</v>
      </c>
      <c r="G87" s="24">
        <v>2505</v>
      </c>
      <c r="H87" s="25" t="s">
        <v>1049</v>
      </c>
      <c r="I87" s="25" t="s">
        <v>244</v>
      </c>
      <c r="J87" s="26"/>
    </row>
    <row r="88" spans="3:10" s="13" customFormat="1" ht="30.95" customHeight="1">
      <c r="C88" s="22">
        <f t="shared" si="1"/>
        <v>81</v>
      </c>
      <c r="D88" s="181" t="s">
        <v>1234</v>
      </c>
      <c r="E88" s="23" t="s">
        <v>1136</v>
      </c>
      <c r="F88" s="23" t="s">
        <v>1137</v>
      </c>
      <c r="G88" s="24">
        <v>2360</v>
      </c>
      <c r="H88" s="25" t="s">
        <v>1049</v>
      </c>
      <c r="I88" s="25" t="s">
        <v>244</v>
      </c>
      <c r="J88" s="26"/>
    </row>
    <row r="89" spans="3:10" s="13" customFormat="1" ht="30.95" customHeight="1">
      <c r="C89" s="22">
        <f t="shared" si="1"/>
        <v>82</v>
      </c>
      <c r="D89" s="181" t="s">
        <v>1235</v>
      </c>
      <c r="E89" s="23" t="s">
        <v>1136</v>
      </c>
      <c r="F89" s="23" t="s">
        <v>1137</v>
      </c>
      <c r="G89" s="24">
        <v>2636</v>
      </c>
      <c r="H89" s="25" t="s">
        <v>1049</v>
      </c>
      <c r="I89" s="25" t="s">
        <v>244</v>
      </c>
      <c r="J89" s="26"/>
    </row>
    <row r="90" spans="3:10" s="13" customFormat="1" ht="30.95" customHeight="1">
      <c r="C90" s="22">
        <f t="shared" si="1"/>
        <v>83</v>
      </c>
      <c r="D90" s="181" t="s">
        <v>1236</v>
      </c>
      <c r="E90" s="23" t="s">
        <v>1136</v>
      </c>
      <c r="F90" s="23" t="s">
        <v>1137</v>
      </c>
      <c r="G90" s="24">
        <v>2425</v>
      </c>
      <c r="H90" s="25" t="s">
        <v>1049</v>
      </c>
      <c r="I90" s="25" t="s">
        <v>244</v>
      </c>
      <c r="J90" s="26"/>
    </row>
    <row r="91" spans="3:10" s="13" customFormat="1" ht="30.95" customHeight="1">
      <c r="C91" s="22">
        <f t="shared" si="1"/>
        <v>84</v>
      </c>
      <c r="D91" s="181" t="s">
        <v>1237</v>
      </c>
      <c r="E91" s="23" t="s">
        <v>1136</v>
      </c>
      <c r="F91" s="23" t="s">
        <v>1137</v>
      </c>
      <c r="G91" s="24">
        <v>2850</v>
      </c>
      <c r="H91" s="25" t="s">
        <v>1049</v>
      </c>
      <c r="I91" s="25" t="s">
        <v>244</v>
      </c>
      <c r="J91" s="26"/>
    </row>
    <row r="92" spans="3:10" s="13" customFormat="1" ht="30.95" customHeight="1">
      <c r="C92" s="22">
        <f t="shared" si="1"/>
        <v>85</v>
      </c>
      <c r="D92" s="181" t="s">
        <v>1238</v>
      </c>
      <c r="E92" s="23" t="s">
        <v>1136</v>
      </c>
      <c r="F92" s="23" t="s">
        <v>1137</v>
      </c>
      <c r="G92" s="24">
        <v>2360</v>
      </c>
      <c r="H92" s="25" t="s">
        <v>1049</v>
      </c>
      <c r="I92" s="25" t="s">
        <v>244</v>
      </c>
      <c r="J92" s="26"/>
    </row>
    <row r="93" spans="3:10" s="13" customFormat="1" ht="30.95" customHeight="1">
      <c r="C93" s="22">
        <f t="shared" si="1"/>
        <v>86</v>
      </c>
      <c r="D93" s="181" t="s">
        <v>1239</v>
      </c>
      <c r="E93" s="23" t="s">
        <v>1136</v>
      </c>
      <c r="F93" s="23" t="s">
        <v>1137</v>
      </c>
      <c r="G93" s="24">
        <v>2750</v>
      </c>
      <c r="H93" s="25" t="s">
        <v>1049</v>
      </c>
      <c r="I93" s="25" t="s">
        <v>244</v>
      </c>
      <c r="J93" s="26"/>
    </row>
    <row r="94" spans="3:10" s="13" customFormat="1" ht="30.95" customHeight="1">
      <c r="C94" s="22">
        <f t="shared" si="1"/>
        <v>87</v>
      </c>
      <c r="D94" s="181" t="s">
        <v>1240</v>
      </c>
      <c r="E94" s="23" t="s">
        <v>1136</v>
      </c>
      <c r="F94" s="23" t="s">
        <v>1137</v>
      </c>
      <c r="G94" s="24">
        <v>2759</v>
      </c>
      <c r="H94" s="25" t="s">
        <v>1049</v>
      </c>
      <c r="I94" s="25" t="s">
        <v>244</v>
      </c>
      <c r="J94" s="26"/>
    </row>
    <row r="95" spans="3:10" s="13" customFormat="1" ht="30.95" customHeight="1">
      <c r="C95" s="22">
        <f t="shared" si="1"/>
        <v>88</v>
      </c>
      <c r="D95" s="181" t="s">
        <v>1241</v>
      </c>
      <c r="E95" s="23" t="s">
        <v>1136</v>
      </c>
      <c r="F95" s="23" t="s">
        <v>1137</v>
      </c>
      <c r="G95" s="24">
        <v>3300</v>
      </c>
      <c r="H95" s="25" t="s">
        <v>1049</v>
      </c>
      <c r="I95" s="25" t="s">
        <v>244</v>
      </c>
      <c r="J95" s="26"/>
    </row>
    <row r="96" spans="3:10" s="13" customFormat="1" ht="30.95" customHeight="1">
      <c r="C96" s="22">
        <f t="shared" si="1"/>
        <v>89</v>
      </c>
      <c r="D96" s="181" t="s">
        <v>1242</v>
      </c>
      <c r="E96" s="23" t="s">
        <v>1136</v>
      </c>
      <c r="F96" s="23" t="s">
        <v>1137</v>
      </c>
      <c r="G96" s="24">
        <v>1787</v>
      </c>
      <c r="H96" s="25" t="s">
        <v>1049</v>
      </c>
      <c r="I96" s="25" t="s">
        <v>244</v>
      </c>
      <c r="J96" s="26"/>
    </row>
    <row r="97" spans="3:10" s="13" customFormat="1" ht="30.95" customHeight="1">
      <c r="C97" s="22">
        <f t="shared" si="1"/>
        <v>90</v>
      </c>
      <c r="D97" s="181" t="s">
        <v>1243</v>
      </c>
      <c r="E97" s="23" t="s">
        <v>1136</v>
      </c>
      <c r="F97" s="23" t="s">
        <v>1137</v>
      </c>
      <c r="G97" s="24">
        <v>3600</v>
      </c>
      <c r="H97" s="25" t="s">
        <v>1049</v>
      </c>
      <c r="I97" s="25" t="s">
        <v>244</v>
      </c>
      <c r="J97" s="26"/>
    </row>
    <row r="98" spans="3:10" s="13" customFormat="1" ht="30.95" customHeight="1">
      <c r="C98" s="22">
        <f t="shared" si="1"/>
        <v>91</v>
      </c>
      <c r="D98" s="181" t="s">
        <v>1244</v>
      </c>
      <c r="E98" s="23" t="s">
        <v>1136</v>
      </c>
      <c r="F98" s="23" t="s">
        <v>1137</v>
      </c>
      <c r="G98" s="24">
        <v>1278</v>
      </c>
      <c r="H98" s="25" t="s">
        <v>1049</v>
      </c>
      <c r="I98" s="25" t="s">
        <v>244</v>
      </c>
      <c r="J98" s="26"/>
    </row>
    <row r="99" spans="3:10" s="13" customFormat="1" ht="30.95" customHeight="1">
      <c r="C99" s="22">
        <f t="shared" si="1"/>
        <v>92</v>
      </c>
      <c r="D99" s="185" t="s">
        <v>1245</v>
      </c>
      <c r="E99" s="23" t="s">
        <v>1136</v>
      </c>
      <c r="F99" s="23" t="s">
        <v>1137</v>
      </c>
      <c r="G99" s="29">
        <v>500</v>
      </c>
      <c r="H99" s="25" t="s">
        <v>1246</v>
      </c>
      <c r="I99" s="25" t="s">
        <v>244</v>
      </c>
      <c r="J99" s="26"/>
    </row>
    <row r="100" spans="3:10" s="13" customFormat="1" ht="30.95" customHeight="1">
      <c r="C100" s="22">
        <f t="shared" si="1"/>
        <v>93</v>
      </c>
      <c r="D100" s="185" t="s">
        <v>1247</v>
      </c>
      <c r="E100" s="23" t="s">
        <v>1136</v>
      </c>
      <c r="F100" s="23" t="s">
        <v>1137</v>
      </c>
      <c r="G100" s="29">
        <v>500</v>
      </c>
      <c r="H100" s="25" t="s">
        <v>1246</v>
      </c>
      <c r="I100" s="25" t="s">
        <v>244</v>
      </c>
      <c r="J100" s="26"/>
    </row>
    <row r="101" spans="3:10" s="13" customFormat="1" ht="30.95" customHeight="1">
      <c r="C101" s="22">
        <f t="shared" si="1"/>
        <v>94</v>
      </c>
      <c r="D101" s="185" t="s">
        <v>1248</v>
      </c>
      <c r="E101" s="23" t="s">
        <v>1136</v>
      </c>
      <c r="F101" s="23" t="s">
        <v>1137</v>
      </c>
      <c r="G101" s="29">
        <v>500</v>
      </c>
      <c r="H101" s="25" t="s">
        <v>1246</v>
      </c>
      <c r="I101" s="25" t="s">
        <v>244</v>
      </c>
      <c r="J101" s="26"/>
    </row>
    <row r="102" spans="3:10" s="13" customFormat="1" ht="30.95" customHeight="1">
      <c r="C102" s="22">
        <f t="shared" si="1"/>
        <v>95</v>
      </c>
      <c r="D102" s="185" t="s">
        <v>1249</v>
      </c>
      <c r="E102" s="23" t="s">
        <v>1136</v>
      </c>
      <c r="F102" s="23" t="s">
        <v>1137</v>
      </c>
      <c r="G102" s="29">
        <v>500</v>
      </c>
      <c r="H102" s="25" t="s">
        <v>1246</v>
      </c>
      <c r="I102" s="25" t="s">
        <v>244</v>
      </c>
      <c r="J102" s="26"/>
    </row>
    <row r="103" spans="3:10" s="13" customFormat="1" ht="30.95" customHeight="1">
      <c r="C103" s="22">
        <f t="shared" si="1"/>
        <v>96</v>
      </c>
      <c r="D103" s="185" t="s">
        <v>1250</v>
      </c>
      <c r="E103" s="23" t="s">
        <v>1136</v>
      </c>
      <c r="F103" s="23" t="s">
        <v>1137</v>
      </c>
      <c r="G103" s="29">
        <v>500</v>
      </c>
      <c r="H103" s="25" t="s">
        <v>1246</v>
      </c>
      <c r="I103" s="25" t="s">
        <v>244</v>
      </c>
      <c r="J103" s="26"/>
    </row>
    <row r="104" spans="3:10" s="13" customFormat="1" ht="30.95" customHeight="1">
      <c r="C104" s="22">
        <f t="shared" si="1"/>
        <v>97</v>
      </c>
      <c r="D104" s="185" t="s">
        <v>1251</v>
      </c>
      <c r="E104" s="23" t="s">
        <v>1136</v>
      </c>
      <c r="F104" s="23" t="s">
        <v>1137</v>
      </c>
      <c r="G104" s="29">
        <v>500</v>
      </c>
      <c r="H104" s="25" t="s">
        <v>1246</v>
      </c>
      <c r="I104" s="25" t="s">
        <v>244</v>
      </c>
      <c r="J104" s="26"/>
    </row>
    <row r="105" spans="3:10" s="13" customFormat="1" ht="30.95" customHeight="1">
      <c r="C105" s="22">
        <f t="shared" si="1"/>
        <v>98</v>
      </c>
      <c r="D105" s="185" t="s">
        <v>1252</v>
      </c>
      <c r="E105" s="23" t="s">
        <v>1136</v>
      </c>
      <c r="F105" s="23" t="s">
        <v>1137</v>
      </c>
      <c r="G105" s="29">
        <v>500</v>
      </c>
      <c r="H105" s="25" t="s">
        <v>1246</v>
      </c>
      <c r="I105" s="25" t="s">
        <v>244</v>
      </c>
      <c r="J105" s="26"/>
    </row>
    <row r="106" spans="3:10" s="13" customFormat="1" ht="30.95" customHeight="1">
      <c r="C106" s="22">
        <f t="shared" si="1"/>
        <v>99</v>
      </c>
      <c r="D106" s="185" t="s">
        <v>1253</v>
      </c>
      <c r="E106" s="23" t="s">
        <v>1136</v>
      </c>
      <c r="F106" s="23" t="s">
        <v>1137</v>
      </c>
      <c r="G106" s="29">
        <v>500</v>
      </c>
      <c r="H106" s="25" t="s">
        <v>1246</v>
      </c>
      <c r="I106" s="25" t="s">
        <v>244</v>
      </c>
      <c r="J106" s="26"/>
    </row>
    <row r="107" spans="3:10" s="13" customFormat="1" ht="30.95" customHeight="1">
      <c r="C107" s="22">
        <f t="shared" si="1"/>
        <v>100</v>
      </c>
      <c r="D107" s="185" t="s">
        <v>1254</v>
      </c>
      <c r="E107" s="23" t="s">
        <v>1136</v>
      </c>
      <c r="F107" s="23" t="s">
        <v>1137</v>
      </c>
      <c r="G107" s="29">
        <v>500</v>
      </c>
      <c r="H107" s="25" t="s">
        <v>1255</v>
      </c>
      <c r="I107" s="25" t="s">
        <v>244</v>
      </c>
      <c r="J107" s="26"/>
    </row>
    <row r="108" spans="3:10" s="13" customFormat="1" ht="30.95" customHeight="1">
      <c r="C108" s="22">
        <f t="shared" si="1"/>
        <v>101</v>
      </c>
      <c r="D108" s="185" t="s">
        <v>1256</v>
      </c>
      <c r="E108" s="23" t="s">
        <v>1136</v>
      </c>
      <c r="F108" s="23" t="s">
        <v>1137</v>
      </c>
      <c r="G108" s="29">
        <v>500</v>
      </c>
      <c r="H108" s="25" t="s">
        <v>1255</v>
      </c>
      <c r="I108" s="25" t="s">
        <v>244</v>
      </c>
      <c r="J108" s="26"/>
    </row>
    <row r="109" spans="3:10" s="13" customFormat="1" ht="30.95" customHeight="1">
      <c r="C109" s="22">
        <f t="shared" si="1"/>
        <v>102</v>
      </c>
      <c r="D109" s="185" t="s">
        <v>1257</v>
      </c>
      <c r="E109" s="23" t="s">
        <v>1136</v>
      </c>
      <c r="F109" s="23" t="s">
        <v>1137</v>
      </c>
      <c r="G109" s="29">
        <v>500</v>
      </c>
      <c r="H109" s="25" t="s">
        <v>1255</v>
      </c>
      <c r="I109" s="25" t="s">
        <v>244</v>
      </c>
      <c r="J109" s="26"/>
    </row>
    <row r="110" spans="3:10" s="13" customFormat="1" ht="30.95" customHeight="1">
      <c r="C110" s="22">
        <f t="shared" si="1"/>
        <v>103</v>
      </c>
      <c r="D110" s="185" t="s">
        <v>1258</v>
      </c>
      <c r="E110" s="23" t="s">
        <v>1136</v>
      </c>
      <c r="F110" s="23" t="s">
        <v>1137</v>
      </c>
      <c r="G110" s="29">
        <v>500</v>
      </c>
      <c r="H110" s="25" t="s">
        <v>1255</v>
      </c>
      <c r="I110" s="25" t="s">
        <v>244</v>
      </c>
      <c r="J110" s="26"/>
    </row>
    <row r="111" spans="3:10" s="13" customFormat="1" ht="30.95" customHeight="1">
      <c r="C111" s="22">
        <f t="shared" si="1"/>
        <v>104</v>
      </c>
      <c r="D111" s="185" t="s">
        <v>1259</v>
      </c>
      <c r="E111" s="23" t="s">
        <v>1136</v>
      </c>
      <c r="F111" s="23" t="s">
        <v>1137</v>
      </c>
      <c r="G111" s="29">
        <v>500</v>
      </c>
      <c r="H111" s="25" t="s">
        <v>1255</v>
      </c>
      <c r="I111" s="25" t="s">
        <v>244</v>
      </c>
      <c r="J111" s="26"/>
    </row>
    <row r="112" spans="3:10" s="13" customFormat="1" ht="30.95" customHeight="1">
      <c r="C112" s="22">
        <f t="shared" si="1"/>
        <v>105</v>
      </c>
      <c r="D112" s="185" t="s">
        <v>1260</v>
      </c>
      <c r="E112" s="23" t="s">
        <v>1136</v>
      </c>
      <c r="F112" s="23" t="s">
        <v>1137</v>
      </c>
      <c r="G112" s="29">
        <v>500</v>
      </c>
      <c r="H112" s="25" t="s">
        <v>1255</v>
      </c>
      <c r="I112" s="25" t="s">
        <v>244</v>
      </c>
      <c r="J112" s="26"/>
    </row>
    <row r="113" spans="3:10" s="13" customFormat="1" ht="30.95" customHeight="1">
      <c r="C113" s="22">
        <f t="shared" si="1"/>
        <v>106</v>
      </c>
      <c r="D113" s="185" t="s">
        <v>1261</v>
      </c>
      <c r="E113" s="23" t="s">
        <v>1136</v>
      </c>
      <c r="F113" s="23" t="s">
        <v>1137</v>
      </c>
      <c r="G113" s="29">
        <v>500</v>
      </c>
      <c r="H113" s="25" t="s">
        <v>1255</v>
      </c>
      <c r="I113" s="25" t="s">
        <v>244</v>
      </c>
      <c r="J113" s="26"/>
    </row>
    <row r="114" spans="3:10" s="13" customFormat="1" ht="30.95" customHeight="1">
      <c r="C114" s="22">
        <f t="shared" si="1"/>
        <v>107</v>
      </c>
      <c r="D114" s="185" t="s">
        <v>1262</v>
      </c>
      <c r="E114" s="23" t="s">
        <v>1136</v>
      </c>
      <c r="F114" s="23" t="s">
        <v>1137</v>
      </c>
      <c r="G114" s="29">
        <v>500</v>
      </c>
      <c r="H114" s="25" t="s">
        <v>1255</v>
      </c>
      <c r="I114" s="25" t="s">
        <v>244</v>
      </c>
      <c r="J114" s="26"/>
    </row>
    <row r="115" spans="3:10" s="13" customFormat="1" ht="30.95" customHeight="1">
      <c r="C115" s="22">
        <f t="shared" si="1"/>
        <v>108</v>
      </c>
      <c r="D115" s="185" t="s">
        <v>1263</v>
      </c>
      <c r="E115" s="23" t="s">
        <v>1136</v>
      </c>
      <c r="F115" s="23" t="s">
        <v>1137</v>
      </c>
      <c r="G115" s="29">
        <v>500</v>
      </c>
      <c r="H115" s="25" t="s">
        <v>1255</v>
      </c>
      <c r="I115" s="25" t="s">
        <v>244</v>
      </c>
      <c r="J115" s="26"/>
    </row>
    <row r="116" spans="3:10" s="13" customFormat="1" ht="30.95" customHeight="1">
      <c r="C116" s="22">
        <f t="shared" si="1"/>
        <v>109</v>
      </c>
      <c r="D116" s="185" t="s">
        <v>1264</v>
      </c>
      <c r="E116" s="23" t="s">
        <v>1136</v>
      </c>
      <c r="F116" s="23" t="s">
        <v>1137</v>
      </c>
      <c r="G116" s="29">
        <v>500</v>
      </c>
      <c r="H116" s="25" t="s">
        <v>1255</v>
      </c>
      <c r="I116" s="25" t="s">
        <v>244</v>
      </c>
      <c r="J116" s="26"/>
    </row>
    <row r="117" spans="3:10" s="13" customFormat="1" ht="30.95" customHeight="1">
      <c r="C117" s="22">
        <f t="shared" si="1"/>
        <v>110</v>
      </c>
      <c r="D117" s="185" t="s">
        <v>1265</v>
      </c>
      <c r="E117" s="23" t="s">
        <v>1136</v>
      </c>
      <c r="F117" s="23" t="s">
        <v>1137</v>
      </c>
      <c r="G117" s="29">
        <v>500</v>
      </c>
      <c r="H117" s="25" t="s">
        <v>1255</v>
      </c>
      <c r="I117" s="25" t="s">
        <v>244</v>
      </c>
      <c r="J117" s="26"/>
    </row>
    <row r="118" spans="3:10" s="13" customFormat="1" ht="30.95" customHeight="1">
      <c r="C118" s="22">
        <f t="shared" si="1"/>
        <v>111</v>
      </c>
      <c r="D118" s="185" t="s">
        <v>1266</v>
      </c>
      <c r="E118" s="23" t="s">
        <v>1136</v>
      </c>
      <c r="F118" s="23" t="s">
        <v>1137</v>
      </c>
      <c r="G118" s="29">
        <v>500</v>
      </c>
      <c r="H118" s="25" t="s">
        <v>1255</v>
      </c>
      <c r="I118" s="25" t="s">
        <v>244</v>
      </c>
      <c r="J118" s="26"/>
    </row>
    <row r="119" spans="3:10" s="13" customFormat="1" ht="30.95" customHeight="1">
      <c r="C119" s="22">
        <f t="shared" si="1"/>
        <v>112</v>
      </c>
      <c r="D119" s="185" t="s">
        <v>1267</v>
      </c>
      <c r="E119" s="23" t="s">
        <v>1136</v>
      </c>
      <c r="F119" s="23" t="s">
        <v>1137</v>
      </c>
      <c r="G119" s="29">
        <v>500</v>
      </c>
      <c r="H119" s="25" t="s">
        <v>1255</v>
      </c>
      <c r="I119" s="25" t="s">
        <v>244</v>
      </c>
      <c r="J119" s="26"/>
    </row>
    <row r="120" spans="3:10" s="13" customFormat="1" ht="30.95" customHeight="1">
      <c r="C120" s="22">
        <f t="shared" si="1"/>
        <v>113</v>
      </c>
      <c r="D120" s="185" t="s">
        <v>1268</v>
      </c>
      <c r="E120" s="23" t="s">
        <v>1136</v>
      </c>
      <c r="F120" s="23" t="s">
        <v>1137</v>
      </c>
      <c r="G120" s="29">
        <v>500</v>
      </c>
      <c r="H120" s="25" t="s">
        <v>1255</v>
      </c>
      <c r="I120" s="25" t="s">
        <v>244</v>
      </c>
      <c r="J120" s="26"/>
    </row>
    <row r="121" spans="3:10" s="13" customFormat="1" ht="30.95" customHeight="1">
      <c r="C121" s="22">
        <f t="shared" si="1"/>
        <v>114</v>
      </c>
      <c r="D121" s="185" t="s">
        <v>1269</v>
      </c>
      <c r="E121" s="23" t="s">
        <v>1136</v>
      </c>
      <c r="F121" s="23" t="s">
        <v>1137</v>
      </c>
      <c r="G121" s="29">
        <v>500</v>
      </c>
      <c r="H121" s="25" t="s">
        <v>1255</v>
      </c>
      <c r="I121" s="25" t="s">
        <v>244</v>
      </c>
      <c r="J121" s="26"/>
    </row>
    <row r="122" spans="3:10" s="13" customFormat="1" ht="30.95" customHeight="1">
      <c r="C122" s="22">
        <f t="shared" si="1"/>
        <v>115</v>
      </c>
      <c r="D122" s="185" t="s">
        <v>1270</v>
      </c>
      <c r="E122" s="23" t="s">
        <v>1136</v>
      </c>
      <c r="F122" s="23" t="s">
        <v>1137</v>
      </c>
      <c r="G122" s="29">
        <v>500</v>
      </c>
      <c r="H122" s="25" t="s">
        <v>1255</v>
      </c>
      <c r="I122" s="25" t="s">
        <v>244</v>
      </c>
      <c r="J122" s="26"/>
    </row>
    <row r="123" spans="3:10" s="13" customFormat="1" ht="30.95" customHeight="1">
      <c r="C123" s="22">
        <f t="shared" si="1"/>
        <v>116</v>
      </c>
      <c r="D123" s="185" t="s">
        <v>1271</v>
      </c>
      <c r="E123" s="23" t="s">
        <v>1136</v>
      </c>
      <c r="F123" s="23" t="s">
        <v>1137</v>
      </c>
      <c r="G123" s="29">
        <v>500</v>
      </c>
      <c r="H123" s="25" t="s">
        <v>1272</v>
      </c>
      <c r="I123" s="25" t="s">
        <v>244</v>
      </c>
      <c r="J123" s="26"/>
    </row>
    <row r="124" spans="3:10" s="13" customFormat="1" ht="30.95" customHeight="1">
      <c r="C124" s="22">
        <f t="shared" si="1"/>
        <v>117</v>
      </c>
      <c r="D124" s="185" t="s">
        <v>1273</v>
      </c>
      <c r="E124" s="23" t="s">
        <v>1136</v>
      </c>
      <c r="F124" s="23" t="s">
        <v>1137</v>
      </c>
      <c r="G124" s="29">
        <v>500</v>
      </c>
      <c r="H124" s="25" t="s">
        <v>1272</v>
      </c>
      <c r="I124" s="25" t="s">
        <v>244</v>
      </c>
      <c r="J124" s="26"/>
    </row>
    <row r="125" spans="3:10" s="13" customFormat="1" ht="30.95" customHeight="1">
      <c r="C125" s="22">
        <f t="shared" si="1"/>
        <v>118</v>
      </c>
      <c r="D125" s="185" t="s">
        <v>1274</v>
      </c>
      <c r="E125" s="23" t="s">
        <v>1136</v>
      </c>
      <c r="F125" s="23" t="s">
        <v>1137</v>
      </c>
      <c r="G125" s="29">
        <v>500</v>
      </c>
      <c r="H125" s="25" t="s">
        <v>1272</v>
      </c>
      <c r="I125" s="25" t="s">
        <v>244</v>
      </c>
      <c r="J125" s="26"/>
    </row>
    <row r="126" spans="3:10" s="13" customFormat="1" ht="30.95" customHeight="1">
      <c r="C126" s="22">
        <f t="shared" si="1"/>
        <v>119</v>
      </c>
      <c r="D126" s="185" t="s">
        <v>1275</v>
      </c>
      <c r="E126" s="23" t="s">
        <v>1136</v>
      </c>
      <c r="F126" s="23" t="s">
        <v>1137</v>
      </c>
      <c r="G126" s="29">
        <v>500</v>
      </c>
      <c r="H126" s="25" t="s">
        <v>1272</v>
      </c>
      <c r="I126" s="25" t="s">
        <v>244</v>
      </c>
      <c r="J126" s="26"/>
    </row>
    <row r="127" spans="3:10" s="13" customFormat="1" ht="30.95" customHeight="1">
      <c r="C127" s="22">
        <f t="shared" si="1"/>
        <v>120</v>
      </c>
      <c r="D127" s="185" t="s">
        <v>1276</v>
      </c>
      <c r="E127" s="23" t="s">
        <v>1136</v>
      </c>
      <c r="F127" s="23" t="s">
        <v>1137</v>
      </c>
      <c r="G127" s="29">
        <v>500</v>
      </c>
      <c r="H127" s="25" t="s">
        <v>1272</v>
      </c>
      <c r="I127" s="25" t="s">
        <v>244</v>
      </c>
      <c r="J127" s="26"/>
    </row>
    <row r="128" spans="3:10" s="13" customFormat="1" ht="30.95" customHeight="1">
      <c r="C128" s="22">
        <f t="shared" si="1"/>
        <v>121</v>
      </c>
      <c r="D128" s="185" t="s">
        <v>1277</v>
      </c>
      <c r="E128" s="23" t="s">
        <v>1136</v>
      </c>
      <c r="F128" s="23" t="s">
        <v>1137</v>
      </c>
      <c r="G128" s="29">
        <v>500</v>
      </c>
      <c r="H128" s="25" t="s">
        <v>1272</v>
      </c>
      <c r="I128" s="25" t="s">
        <v>244</v>
      </c>
      <c r="J128" s="26"/>
    </row>
    <row r="129" spans="3:10" s="13" customFormat="1" ht="30.95" customHeight="1">
      <c r="C129" s="22">
        <f t="shared" si="1"/>
        <v>122</v>
      </c>
      <c r="D129" s="185" t="s">
        <v>1278</v>
      </c>
      <c r="E129" s="23" t="s">
        <v>1136</v>
      </c>
      <c r="F129" s="23" t="s">
        <v>1137</v>
      </c>
      <c r="G129" s="29">
        <v>500</v>
      </c>
      <c r="H129" s="25" t="s">
        <v>1272</v>
      </c>
      <c r="I129" s="25" t="s">
        <v>244</v>
      </c>
      <c r="J129" s="26"/>
    </row>
    <row r="130" spans="3:10" s="13" customFormat="1" ht="30.95" customHeight="1">
      <c r="C130" s="22">
        <f t="shared" si="1"/>
        <v>123</v>
      </c>
      <c r="D130" s="185" t="s">
        <v>1279</v>
      </c>
      <c r="E130" s="23" t="s">
        <v>1136</v>
      </c>
      <c r="F130" s="23" t="s">
        <v>1137</v>
      </c>
      <c r="G130" s="29">
        <v>500</v>
      </c>
      <c r="H130" s="25" t="s">
        <v>1272</v>
      </c>
      <c r="I130" s="25" t="s">
        <v>244</v>
      </c>
      <c r="J130" s="26"/>
    </row>
    <row r="131" spans="3:10" s="13" customFormat="1" ht="30.95" customHeight="1">
      <c r="C131" s="22">
        <f t="shared" si="1"/>
        <v>124</v>
      </c>
      <c r="D131" s="185" t="s">
        <v>1280</v>
      </c>
      <c r="E131" s="23" t="s">
        <v>1136</v>
      </c>
      <c r="F131" s="23" t="s">
        <v>1137</v>
      </c>
      <c r="G131" s="29">
        <v>500</v>
      </c>
      <c r="H131" s="25" t="s">
        <v>1272</v>
      </c>
      <c r="I131" s="25" t="s">
        <v>244</v>
      </c>
      <c r="J131" s="26"/>
    </row>
    <row r="132" spans="3:10" s="13" customFormat="1" ht="30.95" customHeight="1">
      <c r="C132" s="22">
        <f t="shared" si="1"/>
        <v>125</v>
      </c>
      <c r="D132" s="185" t="s">
        <v>1281</v>
      </c>
      <c r="E132" s="23" t="s">
        <v>1136</v>
      </c>
      <c r="F132" s="23" t="s">
        <v>1137</v>
      </c>
      <c r="G132" s="29">
        <v>500</v>
      </c>
      <c r="H132" s="25" t="s">
        <v>1272</v>
      </c>
      <c r="I132" s="25" t="s">
        <v>244</v>
      </c>
      <c r="J132" s="26"/>
    </row>
    <row r="133" spans="3:10" s="13" customFormat="1" ht="30.95" customHeight="1">
      <c r="C133" s="22">
        <f t="shared" si="1"/>
        <v>126</v>
      </c>
      <c r="D133" s="185" t="s">
        <v>1282</v>
      </c>
      <c r="E133" s="23" t="s">
        <v>1136</v>
      </c>
      <c r="F133" s="23" t="s">
        <v>1137</v>
      </c>
      <c r="G133" s="29">
        <v>500</v>
      </c>
      <c r="H133" s="25" t="s">
        <v>1272</v>
      </c>
      <c r="I133" s="25" t="s">
        <v>244</v>
      </c>
      <c r="J133" s="26"/>
    </row>
    <row r="134" spans="3:10" s="13" customFormat="1" ht="30.95" customHeight="1">
      <c r="C134" s="22">
        <f t="shared" si="1"/>
        <v>127</v>
      </c>
      <c r="D134" s="185" t="s">
        <v>1283</v>
      </c>
      <c r="E134" s="23" t="s">
        <v>1136</v>
      </c>
      <c r="F134" s="23" t="s">
        <v>1137</v>
      </c>
      <c r="G134" s="29">
        <v>500</v>
      </c>
      <c r="H134" s="25" t="s">
        <v>1272</v>
      </c>
      <c r="I134" s="25" t="s">
        <v>244</v>
      </c>
      <c r="J134" s="26"/>
    </row>
    <row r="135" spans="3:10" s="13" customFormat="1" ht="30.95" customHeight="1">
      <c r="C135" s="22">
        <f t="shared" si="1"/>
        <v>128</v>
      </c>
      <c r="D135" s="185" t="s">
        <v>1284</v>
      </c>
      <c r="E135" s="23" t="s">
        <v>1136</v>
      </c>
      <c r="F135" s="23" t="s">
        <v>1137</v>
      </c>
      <c r="G135" s="29">
        <v>500</v>
      </c>
      <c r="H135" s="25" t="s">
        <v>1272</v>
      </c>
      <c r="I135" s="25" t="s">
        <v>244</v>
      </c>
      <c r="J135" s="26"/>
    </row>
    <row r="136" spans="3:10" s="13" customFormat="1" ht="30.95" customHeight="1">
      <c r="C136" s="22">
        <f t="shared" si="1"/>
        <v>129</v>
      </c>
      <c r="D136" s="185" t="s">
        <v>1285</v>
      </c>
      <c r="E136" s="23" t="s">
        <v>1136</v>
      </c>
      <c r="F136" s="23" t="s">
        <v>1137</v>
      </c>
      <c r="G136" s="29">
        <v>500</v>
      </c>
      <c r="H136" s="25" t="s">
        <v>1272</v>
      </c>
      <c r="I136" s="25" t="s">
        <v>244</v>
      </c>
      <c r="J136" s="26"/>
    </row>
    <row r="137" spans="3:10" s="13" customFormat="1" ht="30.95" customHeight="1">
      <c r="C137" s="22">
        <f t="shared" si="1"/>
        <v>130</v>
      </c>
      <c r="D137" s="185" t="s">
        <v>1286</v>
      </c>
      <c r="E137" s="23" t="s">
        <v>1136</v>
      </c>
      <c r="F137" s="23" t="s">
        <v>1137</v>
      </c>
      <c r="G137" s="29">
        <v>500</v>
      </c>
      <c r="H137" s="25" t="s">
        <v>1272</v>
      </c>
      <c r="I137" s="25" t="s">
        <v>244</v>
      </c>
      <c r="J137" s="26"/>
    </row>
    <row r="138" spans="3:10" s="13" customFormat="1" ht="30.95" customHeight="1">
      <c r="C138" s="22">
        <f t="shared" ref="C138:C201" si="2">C137+1</f>
        <v>131</v>
      </c>
      <c r="D138" s="185" t="s">
        <v>1287</v>
      </c>
      <c r="E138" s="23" t="s">
        <v>1136</v>
      </c>
      <c r="F138" s="23" t="s">
        <v>1137</v>
      </c>
      <c r="G138" s="29">
        <v>500</v>
      </c>
      <c r="H138" s="25" t="s">
        <v>1272</v>
      </c>
      <c r="I138" s="25" t="s">
        <v>244</v>
      </c>
      <c r="J138" s="26"/>
    </row>
    <row r="139" spans="3:10" s="13" customFormat="1" ht="30.95" customHeight="1">
      <c r="C139" s="22">
        <f t="shared" si="2"/>
        <v>132</v>
      </c>
      <c r="D139" s="185" t="s">
        <v>1288</v>
      </c>
      <c r="E139" s="23" t="s">
        <v>1136</v>
      </c>
      <c r="F139" s="23" t="s">
        <v>1137</v>
      </c>
      <c r="G139" s="29">
        <v>500</v>
      </c>
      <c r="H139" s="25" t="s">
        <v>1289</v>
      </c>
      <c r="I139" s="25" t="s">
        <v>244</v>
      </c>
      <c r="J139" s="26"/>
    </row>
    <row r="140" spans="3:10" s="13" customFormat="1" ht="30.95" customHeight="1">
      <c r="C140" s="22">
        <f t="shared" si="2"/>
        <v>133</v>
      </c>
      <c r="D140" s="185" t="s">
        <v>1290</v>
      </c>
      <c r="E140" s="23" t="s">
        <v>1136</v>
      </c>
      <c r="F140" s="23" t="s">
        <v>1137</v>
      </c>
      <c r="G140" s="29">
        <v>500</v>
      </c>
      <c r="H140" s="25" t="s">
        <v>1289</v>
      </c>
      <c r="I140" s="25" t="s">
        <v>244</v>
      </c>
      <c r="J140" s="26"/>
    </row>
    <row r="141" spans="3:10" s="13" customFormat="1" ht="30.95" customHeight="1">
      <c r="C141" s="22">
        <f t="shared" si="2"/>
        <v>134</v>
      </c>
      <c r="D141" s="185" t="s">
        <v>1291</v>
      </c>
      <c r="E141" s="23" t="s">
        <v>1136</v>
      </c>
      <c r="F141" s="23" t="s">
        <v>1137</v>
      </c>
      <c r="G141" s="29">
        <v>500</v>
      </c>
      <c r="H141" s="25" t="s">
        <v>1289</v>
      </c>
      <c r="I141" s="25" t="s">
        <v>244</v>
      </c>
      <c r="J141" s="26"/>
    </row>
    <row r="142" spans="3:10" s="13" customFormat="1" ht="30.95" customHeight="1">
      <c r="C142" s="22">
        <f t="shared" si="2"/>
        <v>135</v>
      </c>
      <c r="D142" s="185" t="s">
        <v>1292</v>
      </c>
      <c r="E142" s="23" t="s">
        <v>1136</v>
      </c>
      <c r="F142" s="23" t="s">
        <v>1137</v>
      </c>
      <c r="G142" s="29">
        <v>500</v>
      </c>
      <c r="H142" s="25" t="s">
        <v>1289</v>
      </c>
      <c r="I142" s="25" t="s">
        <v>244</v>
      </c>
      <c r="J142" s="26"/>
    </row>
    <row r="143" spans="3:10" s="13" customFormat="1" ht="30.95" customHeight="1">
      <c r="C143" s="22">
        <f t="shared" si="2"/>
        <v>136</v>
      </c>
      <c r="D143" s="185" t="s">
        <v>1293</v>
      </c>
      <c r="E143" s="23" t="s">
        <v>1136</v>
      </c>
      <c r="F143" s="23" t="s">
        <v>1137</v>
      </c>
      <c r="G143" s="29">
        <v>500</v>
      </c>
      <c r="H143" s="25" t="s">
        <v>1289</v>
      </c>
      <c r="I143" s="25" t="s">
        <v>244</v>
      </c>
      <c r="J143" s="26"/>
    </row>
    <row r="144" spans="3:10" s="13" customFormat="1" ht="30.95" customHeight="1">
      <c r="C144" s="22">
        <f t="shared" si="2"/>
        <v>137</v>
      </c>
      <c r="D144" s="185" t="s">
        <v>1294</v>
      </c>
      <c r="E144" s="23" t="s">
        <v>1136</v>
      </c>
      <c r="F144" s="23" t="s">
        <v>1137</v>
      </c>
      <c r="G144" s="29">
        <v>500</v>
      </c>
      <c r="H144" s="25" t="s">
        <v>1289</v>
      </c>
      <c r="I144" s="25" t="s">
        <v>244</v>
      </c>
      <c r="J144" s="26"/>
    </row>
    <row r="145" spans="3:10" s="13" customFormat="1" ht="30.95" customHeight="1">
      <c r="C145" s="22">
        <f t="shared" si="2"/>
        <v>138</v>
      </c>
      <c r="D145" s="185" t="s">
        <v>1295</v>
      </c>
      <c r="E145" s="23" t="s">
        <v>1136</v>
      </c>
      <c r="F145" s="23" t="s">
        <v>1137</v>
      </c>
      <c r="G145" s="29">
        <v>500</v>
      </c>
      <c r="H145" s="25" t="s">
        <v>1289</v>
      </c>
      <c r="I145" s="25" t="s">
        <v>244</v>
      </c>
      <c r="J145" s="26"/>
    </row>
    <row r="146" spans="3:10" s="13" customFormat="1" ht="30.95" customHeight="1">
      <c r="C146" s="22">
        <f t="shared" si="2"/>
        <v>139</v>
      </c>
      <c r="D146" s="185" t="s">
        <v>1296</v>
      </c>
      <c r="E146" s="23" t="s">
        <v>1136</v>
      </c>
      <c r="F146" s="23" t="s">
        <v>1137</v>
      </c>
      <c r="G146" s="29">
        <v>500</v>
      </c>
      <c r="H146" s="25" t="s">
        <v>1289</v>
      </c>
      <c r="I146" s="25" t="s">
        <v>244</v>
      </c>
      <c r="J146" s="26"/>
    </row>
    <row r="147" spans="3:10" s="13" customFormat="1" ht="30.95" customHeight="1">
      <c r="C147" s="22">
        <f t="shared" si="2"/>
        <v>140</v>
      </c>
      <c r="D147" s="185" t="s">
        <v>1297</v>
      </c>
      <c r="E147" s="23" t="s">
        <v>1136</v>
      </c>
      <c r="F147" s="23" t="s">
        <v>1137</v>
      </c>
      <c r="G147" s="29">
        <v>500</v>
      </c>
      <c r="H147" s="25" t="s">
        <v>1289</v>
      </c>
      <c r="I147" s="25" t="s">
        <v>244</v>
      </c>
      <c r="J147" s="26"/>
    </row>
    <row r="148" spans="3:10" s="13" customFormat="1" ht="30.95" customHeight="1">
      <c r="C148" s="22">
        <f t="shared" si="2"/>
        <v>141</v>
      </c>
      <c r="D148" s="185" t="s">
        <v>1298</v>
      </c>
      <c r="E148" s="23" t="s">
        <v>1136</v>
      </c>
      <c r="F148" s="23" t="s">
        <v>1137</v>
      </c>
      <c r="G148" s="29">
        <v>500</v>
      </c>
      <c r="H148" s="25" t="s">
        <v>1289</v>
      </c>
      <c r="I148" s="25" t="s">
        <v>244</v>
      </c>
      <c r="J148" s="26"/>
    </row>
    <row r="149" spans="3:10" s="13" customFormat="1" ht="30.95" customHeight="1">
      <c r="C149" s="22">
        <f t="shared" si="2"/>
        <v>142</v>
      </c>
      <c r="D149" s="185" t="s">
        <v>1299</v>
      </c>
      <c r="E149" s="23" t="s">
        <v>1136</v>
      </c>
      <c r="F149" s="23" t="s">
        <v>1137</v>
      </c>
      <c r="G149" s="29">
        <v>500</v>
      </c>
      <c r="H149" s="25" t="s">
        <v>1289</v>
      </c>
      <c r="I149" s="25" t="s">
        <v>244</v>
      </c>
      <c r="J149" s="26"/>
    </row>
    <row r="150" spans="3:10" s="13" customFormat="1" ht="30.95" customHeight="1">
      <c r="C150" s="22">
        <f t="shared" si="2"/>
        <v>143</v>
      </c>
      <c r="D150" s="185" t="s">
        <v>1300</v>
      </c>
      <c r="E150" s="23" t="s">
        <v>1136</v>
      </c>
      <c r="F150" s="23" t="s">
        <v>1137</v>
      </c>
      <c r="G150" s="29">
        <v>500</v>
      </c>
      <c r="H150" s="25" t="s">
        <v>1289</v>
      </c>
      <c r="I150" s="25" t="s">
        <v>244</v>
      </c>
      <c r="J150" s="26"/>
    </row>
    <row r="151" spans="3:10" s="13" customFormat="1" ht="30.95" customHeight="1">
      <c r="C151" s="22">
        <f t="shared" si="2"/>
        <v>144</v>
      </c>
      <c r="D151" s="185" t="s">
        <v>1301</v>
      </c>
      <c r="E151" s="23" t="s">
        <v>1136</v>
      </c>
      <c r="F151" s="23" t="s">
        <v>1137</v>
      </c>
      <c r="G151" s="29">
        <v>500</v>
      </c>
      <c r="H151" s="25" t="s">
        <v>1289</v>
      </c>
      <c r="I151" s="25" t="s">
        <v>244</v>
      </c>
      <c r="J151" s="26"/>
    </row>
    <row r="152" spans="3:10" s="13" customFormat="1" ht="30.95" customHeight="1">
      <c r="C152" s="22">
        <f t="shared" si="2"/>
        <v>145</v>
      </c>
      <c r="D152" s="185" t="s">
        <v>1302</v>
      </c>
      <c r="E152" s="23" t="s">
        <v>1136</v>
      </c>
      <c r="F152" s="23" t="s">
        <v>1137</v>
      </c>
      <c r="G152" s="29">
        <v>500</v>
      </c>
      <c r="H152" s="25" t="s">
        <v>1289</v>
      </c>
      <c r="I152" s="25" t="s">
        <v>244</v>
      </c>
      <c r="J152" s="26"/>
    </row>
    <row r="153" spans="3:10" s="13" customFormat="1" ht="30.95" customHeight="1">
      <c r="C153" s="22">
        <f t="shared" si="2"/>
        <v>146</v>
      </c>
      <c r="D153" s="185" t="s">
        <v>1303</v>
      </c>
      <c r="E153" s="23" t="s">
        <v>1136</v>
      </c>
      <c r="F153" s="23" t="s">
        <v>1137</v>
      </c>
      <c r="G153" s="29">
        <v>500</v>
      </c>
      <c r="H153" s="25" t="s">
        <v>1289</v>
      </c>
      <c r="I153" s="25" t="s">
        <v>244</v>
      </c>
      <c r="J153" s="26"/>
    </row>
    <row r="154" spans="3:10" s="13" customFormat="1" ht="30.95" customHeight="1">
      <c r="C154" s="22">
        <f t="shared" si="2"/>
        <v>147</v>
      </c>
      <c r="D154" s="185" t="s">
        <v>1304</v>
      </c>
      <c r="E154" s="23" t="s">
        <v>1136</v>
      </c>
      <c r="F154" s="23" t="s">
        <v>1137</v>
      </c>
      <c r="G154" s="29">
        <v>500</v>
      </c>
      <c r="H154" s="25" t="s">
        <v>1289</v>
      </c>
      <c r="I154" s="25" t="s">
        <v>244</v>
      </c>
      <c r="J154" s="26"/>
    </row>
    <row r="155" spans="3:10" s="13" customFormat="1" ht="30.95" customHeight="1">
      <c r="C155" s="22">
        <f t="shared" si="2"/>
        <v>148</v>
      </c>
      <c r="D155" s="185" t="s">
        <v>1305</v>
      </c>
      <c r="E155" s="23" t="s">
        <v>1136</v>
      </c>
      <c r="F155" s="23" t="s">
        <v>1137</v>
      </c>
      <c r="G155" s="29">
        <v>500</v>
      </c>
      <c r="H155" s="25" t="s">
        <v>1306</v>
      </c>
      <c r="I155" s="25" t="s">
        <v>244</v>
      </c>
      <c r="J155" s="26"/>
    </row>
    <row r="156" spans="3:10" s="13" customFormat="1" ht="30.95" customHeight="1">
      <c r="C156" s="22">
        <f t="shared" si="2"/>
        <v>149</v>
      </c>
      <c r="D156" s="185" t="s">
        <v>1307</v>
      </c>
      <c r="E156" s="23" t="s">
        <v>1136</v>
      </c>
      <c r="F156" s="23" t="s">
        <v>1137</v>
      </c>
      <c r="G156" s="29">
        <v>500</v>
      </c>
      <c r="H156" s="25" t="s">
        <v>1306</v>
      </c>
      <c r="I156" s="25" t="s">
        <v>244</v>
      </c>
      <c r="J156" s="26"/>
    </row>
    <row r="157" spans="3:10" s="13" customFormat="1" ht="30.95" customHeight="1">
      <c r="C157" s="22">
        <f t="shared" si="2"/>
        <v>150</v>
      </c>
      <c r="D157" s="185" t="s">
        <v>1308</v>
      </c>
      <c r="E157" s="23" t="s">
        <v>1136</v>
      </c>
      <c r="F157" s="23" t="s">
        <v>1137</v>
      </c>
      <c r="G157" s="29">
        <v>500</v>
      </c>
      <c r="H157" s="25" t="s">
        <v>1306</v>
      </c>
      <c r="I157" s="25" t="s">
        <v>244</v>
      </c>
      <c r="J157" s="26"/>
    </row>
    <row r="158" spans="3:10" s="13" customFormat="1" ht="30.95" customHeight="1">
      <c r="C158" s="22">
        <f t="shared" si="2"/>
        <v>151</v>
      </c>
      <c r="D158" s="185" t="s">
        <v>1309</v>
      </c>
      <c r="E158" s="23" t="s">
        <v>1136</v>
      </c>
      <c r="F158" s="23" t="s">
        <v>1137</v>
      </c>
      <c r="G158" s="29">
        <v>500</v>
      </c>
      <c r="H158" s="25" t="s">
        <v>1306</v>
      </c>
      <c r="I158" s="25" t="s">
        <v>244</v>
      </c>
      <c r="J158" s="26"/>
    </row>
    <row r="159" spans="3:10" s="13" customFormat="1" ht="30.95" customHeight="1">
      <c r="C159" s="22">
        <f t="shared" si="2"/>
        <v>152</v>
      </c>
      <c r="D159" s="185" t="s">
        <v>1310</v>
      </c>
      <c r="E159" s="23" t="s">
        <v>1136</v>
      </c>
      <c r="F159" s="23" t="s">
        <v>1137</v>
      </c>
      <c r="G159" s="29">
        <v>500</v>
      </c>
      <c r="H159" s="25" t="s">
        <v>1306</v>
      </c>
      <c r="I159" s="25" t="s">
        <v>244</v>
      </c>
      <c r="J159" s="26"/>
    </row>
    <row r="160" spans="3:10" s="13" customFormat="1" ht="30.95" customHeight="1">
      <c r="C160" s="22">
        <f t="shared" si="2"/>
        <v>153</v>
      </c>
      <c r="D160" s="185" t="s">
        <v>1311</v>
      </c>
      <c r="E160" s="23" t="s">
        <v>1136</v>
      </c>
      <c r="F160" s="23" t="s">
        <v>1137</v>
      </c>
      <c r="G160" s="29">
        <v>500</v>
      </c>
      <c r="H160" s="25" t="s">
        <v>1306</v>
      </c>
      <c r="I160" s="25" t="s">
        <v>244</v>
      </c>
      <c r="J160" s="26"/>
    </row>
    <row r="161" spans="3:10" s="13" customFormat="1" ht="30.95" customHeight="1">
      <c r="C161" s="22">
        <f t="shared" si="2"/>
        <v>154</v>
      </c>
      <c r="D161" s="185" t="s">
        <v>1312</v>
      </c>
      <c r="E161" s="23" t="s">
        <v>1136</v>
      </c>
      <c r="F161" s="23" t="s">
        <v>1137</v>
      </c>
      <c r="G161" s="29">
        <v>500</v>
      </c>
      <c r="H161" s="25" t="s">
        <v>1306</v>
      </c>
      <c r="I161" s="25" t="s">
        <v>244</v>
      </c>
      <c r="J161" s="26"/>
    </row>
    <row r="162" spans="3:10" s="13" customFormat="1" ht="30.95" customHeight="1">
      <c r="C162" s="22">
        <f t="shared" si="2"/>
        <v>155</v>
      </c>
      <c r="D162" s="185" t="s">
        <v>1313</v>
      </c>
      <c r="E162" s="23" t="s">
        <v>1136</v>
      </c>
      <c r="F162" s="23" t="s">
        <v>1137</v>
      </c>
      <c r="G162" s="29">
        <v>500</v>
      </c>
      <c r="H162" s="25" t="s">
        <v>1306</v>
      </c>
      <c r="I162" s="25" t="s">
        <v>244</v>
      </c>
      <c r="J162" s="26"/>
    </row>
    <row r="163" spans="3:10" s="13" customFormat="1" ht="30.95" customHeight="1">
      <c r="C163" s="22">
        <f t="shared" si="2"/>
        <v>156</v>
      </c>
      <c r="D163" s="185" t="s">
        <v>1314</v>
      </c>
      <c r="E163" s="23" t="s">
        <v>1136</v>
      </c>
      <c r="F163" s="23" t="s">
        <v>1137</v>
      </c>
      <c r="G163" s="29">
        <v>500</v>
      </c>
      <c r="H163" s="25" t="s">
        <v>1306</v>
      </c>
      <c r="I163" s="25" t="s">
        <v>244</v>
      </c>
      <c r="J163" s="26"/>
    </row>
    <row r="164" spans="3:10" s="13" customFormat="1" ht="30.95" customHeight="1">
      <c r="C164" s="22">
        <f t="shared" si="2"/>
        <v>157</v>
      </c>
      <c r="D164" s="185" t="s">
        <v>1315</v>
      </c>
      <c r="E164" s="23" t="s">
        <v>1136</v>
      </c>
      <c r="F164" s="23" t="s">
        <v>1137</v>
      </c>
      <c r="G164" s="29">
        <v>500</v>
      </c>
      <c r="H164" s="25" t="s">
        <v>1306</v>
      </c>
      <c r="I164" s="25" t="s">
        <v>244</v>
      </c>
      <c r="J164" s="26"/>
    </row>
    <row r="165" spans="3:10" s="13" customFormat="1" ht="30.95" customHeight="1">
      <c r="C165" s="22">
        <f t="shared" si="2"/>
        <v>158</v>
      </c>
      <c r="D165" s="185" t="s">
        <v>1316</v>
      </c>
      <c r="E165" s="23" t="s">
        <v>1136</v>
      </c>
      <c r="F165" s="23" t="s">
        <v>1137</v>
      </c>
      <c r="G165" s="29">
        <v>500</v>
      </c>
      <c r="H165" s="25" t="s">
        <v>1306</v>
      </c>
      <c r="I165" s="25" t="s">
        <v>244</v>
      </c>
      <c r="J165" s="26"/>
    </row>
    <row r="166" spans="3:10" s="13" customFormat="1" ht="30.95" customHeight="1">
      <c r="C166" s="22">
        <f t="shared" si="2"/>
        <v>159</v>
      </c>
      <c r="D166" s="185" t="s">
        <v>1317</v>
      </c>
      <c r="E166" s="23" t="s">
        <v>1136</v>
      </c>
      <c r="F166" s="23" t="s">
        <v>1137</v>
      </c>
      <c r="G166" s="29">
        <v>500</v>
      </c>
      <c r="H166" s="25" t="s">
        <v>1306</v>
      </c>
      <c r="I166" s="25" t="s">
        <v>244</v>
      </c>
      <c r="J166" s="26"/>
    </row>
    <row r="167" spans="3:10" s="13" customFormat="1" ht="30.95" customHeight="1">
      <c r="C167" s="22">
        <f t="shared" si="2"/>
        <v>160</v>
      </c>
      <c r="D167" s="185" t="s">
        <v>1318</v>
      </c>
      <c r="E167" s="23" t="s">
        <v>1136</v>
      </c>
      <c r="F167" s="23" t="s">
        <v>1137</v>
      </c>
      <c r="G167" s="29">
        <v>500</v>
      </c>
      <c r="H167" s="25" t="s">
        <v>1306</v>
      </c>
      <c r="I167" s="25" t="s">
        <v>244</v>
      </c>
      <c r="J167" s="26"/>
    </row>
    <row r="168" spans="3:10" s="13" customFormat="1" ht="30.95" customHeight="1">
      <c r="C168" s="22">
        <f t="shared" si="2"/>
        <v>161</v>
      </c>
      <c r="D168" s="185" t="s">
        <v>1319</v>
      </c>
      <c r="E168" s="23" t="s">
        <v>1136</v>
      </c>
      <c r="F168" s="23" t="s">
        <v>1137</v>
      </c>
      <c r="G168" s="29">
        <v>500</v>
      </c>
      <c r="H168" s="25" t="s">
        <v>1306</v>
      </c>
      <c r="I168" s="25" t="s">
        <v>244</v>
      </c>
      <c r="J168" s="26"/>
    </row>
    <row r="169" spans="3:10" s="13" customFormat="1" ht="30.95" customHeight="1">
      <c r="C169" s="22">
        <f t="shared" si="2"/>
        <v>162</v>
      </c>
      <c r="D169" s="185" t="s">
        <v>1320</v>
      </c>
      <c r="E169" s="23" t="s">
        <v>1136</v>
      </c>
      <c r="F169" s="23" t="s">
        <v>1137</v>
      </c>
      <c r="G169" s="29">
        <v>500</v>
      </c>
      <c r="H169" s="25" t="s">
        <v>1306</v>
      </c>
      <c r="I169" s="25" t="s">
        <v>244</v>
      </c>
      <c r="J169" s="26"/>
    </row>
    <row r="170" spans="3:10" s="13" customFormat="1" ht="30.95" customHeight="1">
      <c r="C170" s="22">
        <f t="shared" si="2"/>
        <v>163</v>
      </c>
      <c r="D170" s="185" t="s">
        <v>1321</v>
      </c>
      <c r="E170" s="23" t="s">
        <v>1136</v>
      </c>
      <c r="F170" s="23" t="s">
        <v>1137</v>
      </c>
      <c r="G170" s="29">
        <v>500</v>
      </c>
      <c r="H170" s="25" t="s">
        <v>1306</v>
      </c>
      <c r="I170" s="25" t="s">
        <v>244</v>
      </c>
      <c r="J170" s="26"/>
    </row>
    <row r="171" spans="3:10" s="13" customFormat="1" ht="30.95" customHeight="1">
      <c r="C171" s="22">
        <f t="shared" si="2"/>
        <v>164</v>
      </c>
      <c r="D171" s="185" t="s">
        <v>1322</v>
      </c>
      <c r="E171" s="23" t="s">
        <v>1136</v>
      </c>
      <c r="F171" s="23" t="s">
        <v>1137</v>
      </c>
      <c r="G171" s="29">
        <v>500</v>
      </c>
      <c r="H171" s="25" t="s">
        <v>1323</v>
      </c>
      <c r="I171" s="25" t="s">
        <v>244</v>
      </c>
      <c r="J171" s="26"/>
    </row>
    <row r="172" spans="3:10" s="13" customFormat="1" ht="30.95" customHeight="1">
      <c r="C172" s="22">
        <f t="shared" si="2"/>
        <v>165</v>
      </c>
      <c r="D172" s="185" t="s">
        <v>1324</v>
      </c>
      <c r="E172" s="23" t="s">
        <v>1136</v>
      </c>
      <c r="F172" s="23" t="s">
        <v>1137</v>
      </c>
      <c r="G172" s="29">
        <v>500</v>
      </c>
      <c r="H172" s="25" t="s">
        <v>1323</v>
      </c>
      <c r="I172" s="25" t="s">
        <v>244</v>
      </c>
      <c r="J172" s="26"/>
    </row>
    <row r="173" spans="3:10" s="13" customFormat="1" ht="30.95" customHeight="1">
      <c r="C173" s="22">
        <f t="shared" si="2"/>
        <v>166</v>
      </c>
      <c r="D173" s="185" t="s">
        <v>1325</v>
      </c>
      <c r="E173" s="23" t="s">
        <v>1136</v>
      </c>
      <c r="F173" s="23" t="s">
        <v>1137</v>
      </c>
      <c r="G173" s="29">
        <v>500</v>
      </c>
      <c r="H173" s="25" t="s">
        <v>1323</v>
      </c>
      <c r="I173" s="25" t="s">
        <v>244</v>
      </c>
      <c r="J173" s="26"/>
    </row>
    <row r="174" spans="3:10" s="13" customFormat="1" ht="30.95" customHeight="1">
      <c r="C174" s="22">
        <f t="shared" si="2"/>
        <v>167</v>
      </c>
      <c r="D174" s="185" t="s">
        <v>1326</v>
      </c>
      <c r="E174" s="23" t="s">
        <v>1136</v>
      </c>
      <c r="F174" s="23" t="s">
        <v>1137</v>
      </c>
      <c r="G174" s="29">
        <v>500</v>
      </c>
      <c r="H174" s="25" t="s">
        <v>1323</v>
      </c>
      <c r="I174" s="25" t="s">
        <v>244</v>
      </c>
      <c r="J174" s="26"/>
    </row>
    <row r="175" spans="3:10" s="13" customFormat="1" ht="30.95" customHeight="1">
      <c r="C175" s="22">
        <f t="shared" si="2"/>
        <v>168</v>
      </c>
      <c r="D175" s="185" t="s">
        <v>1327</v>
      </c>
      <c r="E175" s="23" t="s">
        <v>1136</v>
      </c>
      <c r="F175" s="23" t="s">
        <v>1137</v>
      </c>
      <c r="G175" s="29">
        <v>500</v>
      </c>
      <c r="H175" s="25" t="s">
        <v>1323</v>
      </c>
      <c r="I175" s="25" t="s">
        <v>244</v>
      </c>
      <c r="J175" s="26"/>
    </row>
    <row r="176" spans="3:10" s="13" customFormat="1" ht="30.95" customHeight="1">
      <c r="C176" s="22">
        <f t="shared" si="2"/>
        <v>169</v>
      </c>
      <c r="D176" s="185" t="s">
        <v>1328</v>
      </c>
      <c r="E176" s="23" t="s">
        <v>1136</v>
      </c>
      <c r="F176" s="23" t="s">
        <v>1137</v>
      </c>
      <c r="G176" s="29">
        <v>500</v>
      </c>
      <c r="H176" s="25" t="s">
        <v>1323</v>
      </c>
      <c r="I176" s="25" t="s">
        <v>244</v>
      </c>
      <c r="J176" s="26"/>
    </row>
    <row r="177" spans="3:10" s="13" customFormat="1" ht="30.95" customHeight="1">
      <c r="C177" s="22">
        <f t="shared" si="2"/>
        <v>170</v>
      </c>
      <c r="D177" s="185" t="s">
        <v>1329</v>
      </c>
      <c r="E177" s="23" t="s">
        <v>1136</v>
      </c>
      <c r="F177" s="23" t="s">
        <v>1137</v>
      </c>
      <c r="G177" s="29">
        <v>500</v>
      </c>
      <c r="H177" s="25" t="s">
        <v>1323</v>
      </c>
      <c r="I177" s="25" t="s">
        <v>244</v>
      </c>
      <c r="J177" s="26"/>
    </row>
    <row r="178" spans="3:10" s="13" customFormat="1" ht="30.95" customHeight="1">
      <c r="C178" s="22">
        <f t="shared" si="2"/>
        <v>171</v>
      </c>
      <c r="D178" s="185" t="s">
        <v>1330</v>
      </c>
      <c r="E178" s="23" t="s">
        <v>1136</v>
      </c>
      <c r="F178" s="23" t="s">
        <v>1137</v>
      </c>
      <c r="G178" s="29">
        <v>500</v>
      </c>
      <c r="H178" s="25" t="s">
        <v>1323</v>
      </c>
      <c r="I178" s="25" t="s">
        <v>244</v>
      </c>
      <c r="J178" s="26"/>
    </row>
    <row r="179" spans="3:10" s="13" customFormat="1" ht="30.95" customHeight="1">
      <c r="C179" s="22">
        <f t="shared" si="2"/>
        <v>172</v>
      </c>
      <c r="D179" s="185" t="s">
        <v>1331</v>
      </c>
      <c r="E179" s="23" t="s">
        <v>1136</v>
      </c>
      <c r="F179" s="23" t="s">
        <v>1137</v>
      </c>
      <c r="G179" s="29">
        <v>500</v>
      </c>
      <c r="H179" s="25" t="s">
        <v>1323</v>
      </c>
      <c r="I179" s="25" t="s">
        <v>244</v>
      </c>
      <c r="J179" s="26"/>
    </row>
    <row r="180" spans="3:10" s="13" customFormat="1" ht="30.95" customHeight="1">
      <c r="C180" s="22">
        <f t="shared" si="2"/>
        <v>173</v>
      </c>
      <c r="D180" s="185" t="s">
        <v>1332</v>
      </c>
      <c r="E180" s="23" t="s">
        <v>1136</v>
      </c>
      <c r="F180" s="23" t="s">
        <v>1137</v>
      </c>
      <c r="G180" s="29">
        <v>500</v>
      </c>
      <c r="H180" s="25" t="s">
        <v>1323</v>
      </c>
      <c r="I180" s="25" t="s">
        <v>244</v>
      </c>
      <c r="J180" s="26"/>
    </row>
    <row r="181" spans="3:10" s="13" customFormat="1" ht="30.95" customHeight="1">
      <c r="C181" s="22">
        <f t="shared" si="2"/>
        <v>174</v>
      </c>
      <c r="D181" s="185" t="s">
        <v>1333</v>
      </c>
      <c r="E181" s="23" t="s">
        <v>1136</v>
      </c>
      <c r="F181" s="23" t="s">
        <v>1137</v>
      </c>
      <c r="G181" s="29">
        <v>500</v>
      </c>
      <c r="H181" s="25" t="s">
        <v>1323</v>
      </c>
      <c r="I181" s="25" t="s">
        <v>244</v>
      </c>
      <c r="J181" s="26"/>
    </row>
    <row r="182" spans="3:10" s="13" customFormat="1" ht="30.95" customHeight="1">
      <c r="C182" s="22">
        <f t="shared" si="2"/>
        <v>175</v>
      </c>
      <c r="D182" s="185" t="s">
        <v>1334</v>
      </c>
      <c r="E182" s="23" t="s">
        <v>1136</v>
      </c>
      <c r="F182" s="23" t="s">
        <v>1137</v>
      </c>
      <c r="G182" s="29">
        <v>500</v>
      </c>
      <c r="H182" s="25" t="s">
        <v>1323</v>
      </c>
      <c r="I182" s="25" t="s">
        <v>244</v>
      </c>
      <c r="J182" s="26"/>
    </row>
    <row r="183" spans="3:10" s="13" customFormat="1" ht="30.95" customHeight="1">
      <c r="C183" s="22">
        <f t="shared" si="2"/>
        <v>176</v>
      </c>
      <c r="D183" s="185" t="s">
        <v>1335</v>
      </c>
      <c r="E183" s="23" t="s">
        <v>1136</v>
      </c>
      <c r="F183" s="23" t="s">
        <v>1137</v>
      </c>
      <c r="G183" s="29">
        <v>500</v>
      </c>
      <c r="H183" s="25" t="s">
        <v>1323</v>
      </c>
      <c r="I183" s="25" t="s">
        <v>244</v>
      </c>
      <c r="J183" s="26"/>
    </row>
    <row r="184" spans="3:10" s="13" customFormat="1" ht="30.95" customHeight="1">
      <c r="C184" s="22">
        <f t="shared" si="2"/>
        <v>177</v>
      </c>
      <c r="D184" s="185" t="s">
        <v>1336</v>
      </c>
      <c r="E184" s="23" t="s">
        <v>1136</v>
      </c>
      <c r="F184" s="23" t="s">
        <v>1137</v>
      </c>
      <c r="G184" s="29">
        <v>500</v>
      </c>
      <c r="H184" s="25" t="s">
        <v>1323</v>
      </c>
      <c r="I184" s="25" t="s">
        <v>244</v>
      </c>
      <c r="J184" s="26"/>
    </row>
    <row r="185" spans="3:10" s="13" customFormat="1" ht="30.95" customHeight="1">
      <c r="C185" s="22">
        <f t="shared" si="2"/>
        <v>178</v>
      </c>
      <c r="D185" s="185" t="s">
        <v>1337</v>
      </c>
      <c r="E185" s="23" t="s">
        <v>1136</v>
      </c>
      <c r="F185" s="23" t="s">
        <v>1137</v>
      </c>
      <c r="G185" s="29">
        <v>500</v>
      </c>
      <c r="H185" s="25" t="s">
        <v>1323</v>
      </c>
      <c r="I185" s="25" t="s">
        <v>244</v>
      </c>
      <c r="J185" s="26"/>
    </row>
    <row r="186" spans="3:10" s="13" customFormat="1" ht="30.95" customHeight="1">
      <c r="C186" s="22">
        <f t="shared" si="2"/>
        <v>179</v>
      </c>
      <c r="D186" s="185" t="s">
        <v>1338</v>
      </c>
      <c r="E186" s="23" t="s">
        <v>1136</v>
      </c>
      <c r="F186" s="23" t="s">
        <v>1137</v>
      </c>
      <c r="G186" s="29">
        <v>500</v>
      </c>
      <c r="H186" s="25" t="s">
        <v>1323</v>
      </c>
      <c r="I186" s="25" t="s">
        <v>244</v>
      </c>
      <c r="J186" s="26"/>
    </row>
    <row r="187" spans="3:10" s="13" customFormat="1" ht="30.95" customHeight="1">
      <c r="C187" s="22">
        <f t="shared" si="2"/>
        <v>180</v>
      </c>
      <c r="D187" s="185" t="s">
        <v>1339</v>
      </c>
      <c r="E187" s="23" t="s">
        <v>1136</v>
      </c>
      <c r="F187" s="23" t="s">
        <v>1137</v>
      </c>
      <c r="G187" s="29">
        <v>500</v>
      </c>
      <c r="H187" s="25" t="s">
        <v>1340</v>
      </c>
      <c r="I187" s="25" t="s">
        <v>244</v>
      </c>
      <c r="J187" s="26"/>
    </row>
    <row r="188" spans="3:10" s="13" customFormat="1" ht="30.95" customHeight="1">
      <c r="C188" s="22">
        <f t="shared" si="2"/>
        <v>181</v>
      </c>
      <c r="D188" s="185" t="s">
        <v>1341</v>
      </c>
      <c r="E188" s="23" t="s">
        <v>1136</v>
      </c>
      <c r="F188" s="23" t="s">
        <v>1137</v>
      </c>
      <c r="G188" s="29">
        <v>500</v>
      </c>
      <c r="H188" s="25" t="s">
        <v>1340</v>
      </c>
      <c r="I188" s="25" t="s">
        <v>244</v>
      </c>
      <c r="J188" s="26"/>
    </row>
    <row r="189" spans="3:10" s="13" customFormat="1" ht="30.95" customHeight="1">
      <c r="C189" s="22">
        <f t="shared" si="2"/>
        <v>182</v>
      </c>
      <c r="D189" s="185" t="s">
        <v>1342</v>
      </c>
      <c r="E189" s="23" t="s">
        <v>1136</v>
      </c>
      <c r="F189" s="23" t="s">
        <v>1137</v>
      </c>
      <c r="G189" s="29">
        <v>500</v>
      </c>
      <c r="H189" s="25" t="s">
        <v>1340</v>
      </c>
      <c r="I189" s="25" t="s">
        <v>244</v>
      </c>
      <c r="J189" s="26"/>
    </row>
    <row r="190" spans="3:10" s="13" customFormat="1" ht="30.95" customHeight="1">
      <c r="C190" s="22">
        <f t="shared" si="2"/>
        <v>183</v>
      </c>
      <c r="D190" s="185" t="s">
        <v>1343</v>
      </c>
      <c r="E190" s="23" t="s">
        <v>1136</v>
      </c>
      <c r="F190" s="23" t="s">
        <v>1137</v>
      </c>
      <c r="G190" s="29">
        <v>500</v>
      </c>
      <c r="H190" s="25" t="s">
        <v>1340</v>
      </c>
      <c r="I190" s="25" t="s">
        <v>244</v>
      </c>
      <c r="J190" s="26"/>
    </row>
    <row r="191" spans="3:10" s="13" customFormat="1" ht="30.95" customHeight="1">
      <c r="C191" s="22">
        <f t="shared" si="2"/>
        <v>184</v>
      </c>
      <c r="D191" s="185" t="s">
        <v>1344</v>
      </c>
      <c r="E191" s="23" t="s">
        <v>1136</v>
      </c>
      <c r="F191" s="23" t="s">
        <v>1137</v>
      </c>
      <c r="G191" s="29">
        <v>500</v>
      </c>
      <c r="H191" s="25" t="s">
        <v>1340</v>
      </c>
      <c r="I191" s="25" t="s">
        <v>244</v>
      </c>
      <c r="J191" s="26"/>
    </row>
    <row r="192" spans="3:10" s="13" customFormat="1" ht="30.95" customHeight="1">
      <c r="C192" s="22">
        <f t="shared" si="2"/>
        <v>185</v>
      </c>
      <c r="D192" s="185" t="s">
        <v>1345</v>
      </c>
      <c r="E192" s="23" t="s">
        <v>1136</v>
      </c>
      <c r="F192" s="23" t="s">
        <v>1137</v>
      </c>
      <c r="G192" s="29">
        <v>500</v>
      </c>
      <c r="H192" s="25" t="s">
        <v>1340</v>
      </c>
      <c r="I192" s="25" t="s">
        <v>244</v>
      </c>
      <c r="J192" s="26"/>
    </row>
    <row r="193" spans="3:10" s="13" customFormat="1" ht="30.95" customHeight="1">
      <c r="C193" s="22">
        <f t="shared" si="2"/>
        <v>186</v>
      </c>
      <c r="D193" s="185" t="s">
        <v>1346</v>
      </c>
      <c r="E193" s="23" t="s">
        <v>1136</v>
      </c>
      <c r="F193" s="23" t="s">
        <v>1137</v>
      </c>
      <c r="G193" s="29">
        <v>500</v>
      </c>
      <c r="H193" s="25" t="s">
        <v>1340</v>
      </c>
      <c r="I193" s="25" t="s">
        <v>244</v>
      </c>
      <c r="J193" s="26"/>
    </row>
    <row r="194" spans="3:10" s="13" customFormat="1" ht="30.95" customHeight="1">
      <c r="C194" s="22">
        <f t="shared" si="2"/>
        <v>187</v>
      </c>
      <c r="D194" s="185" t="s">
        <v>1347</v>
      </c>
      <c r="E194" s="23" t="s">
        <v>1136</v>
      </c>
      <c r="F194" s="23" t="s">
        <v>1137</v>
      </c>
      <c r="G194" s="29">
        <v>500</v>
      </c>
      <c r="H194" s="25" t="s">
        <v>1340</v>
      </c>
      <c r="I194" s="25" t="s">
        <v>244</v>
      </c>
      <c r="J194" s="26"/>
    </row>
    <row r="195" spans="3:10" s="13" customFormat="1" ht="30.95" customHeight="1">
      <c r="C195" s="22">
        <f t="shared" si="2"/>
        <v>188</v>
      </c>
      <c r="D195" s="185" t="s">
        <v>1348</v>
      </c>
      <c r="E195" s="23" t="s">
        <v>1136</v>
      </c>
      <c r="F195" s="23" t="s">
        <v>1137</v>
      </c>
      <c r="G195" s="29">
        <v>500</v>
      </c>
      <c r="H195" s="25" t="s">
        <v>1340</v>
      </c>
      <c r="I195" s="25" t="s">
        <v>244</v>
      </c>
      <c r="J195" s="26"/>
    </row>
    <row r="196" spans="3:10" s="13" customFormat="1" ht="30.95" customHeight="1">
      <c r="C196" s="22">
        <f t="shared" si="2"/>
        <v>189</v>
      </c>
      <c r="D196" s="185" t="s">
        <v>1349</v>
      </c>
      <c r="E196" s="23" t="s">
        <v>1136</v>
      </c>
      <c r="F196" s="23" t="s">
        <v>1137</v>
      </c>
      <c r="G196" s="29">
        <v>500</v>
      </c>
      <c r="H196" s="25" t="s">
        <v>1340</v>
      </c>
      <c r="I196" s="25" t="s">
        <v>244</v>
      </c>
      <c r="J196" s="26"/>
    </row>
    <row r="197" spans="3:10" s="13" customFormat="1" ht="30.95" customHeight="1">
      <c r="C197" s="22">
        <f t="shared" si="2"/>
        <v>190</v>
      </c>
      <c r="D197" s="185" t="s">
        <v>1350</v>
      </c>
      <c r="E197" s="23" t="s">
        <v>1136</v>
      </c>
      <c r="F197" s="23" t="s">
        <v>1137</v>
      </c>
      <c r="G197" s="29">
        <v>500</v>
      </c>
      <c r="H197" s="25" t="s">
        <v>1340</v>
      </c>
      <c r="I197" s="25" t="s">
        <v>244</v>
      </c>
      <c r="J197" s="26"/>
    </row>
    <row r="198" spans="3:10" s="13" customFormat="1" ht="30.95" customHeight="1">
      <c r="C198" s="22">
        <f t="shared" si="2"/>
        <v>191</v>
      </c>
      <c r="D198" s="185" t="s">
        <v>1351</v>
      </c>
      <c r="E198" s="23" t="s">
        <v>1136</v>
      </c>
      <c r="F198" s="23" t="s">
        <v>1137</v>
      </c>
      <c r="G198" s="29">
        <v>500</v>
      </c>
      <c r="H198" s="25" t="s">
        <v>1340</v>
      </c>
      <c r="I198" s="25" t="s">
        <v>244</v>
      </c>
      <c r="J198" s="26"/>
    </row>
    <row r="199" spans="3:10" s="13" customFormat="1" ht="30.95" customHeight="1">
      <c r="C199" s="22">
        <f t="shared" si="2"/>
        <v>192</v>
      </c>
      <c r="D199" s="185" t="s">
        <v>1352</v>
      </c>
      <c r="E199" s="23" t="s">
        <v>1136</v>
      </c>
      <c r="F199" s="23" t="s">
        <v>1137</v>
      </c>
      <c r="G199" s="29">
        <v>500</v>
      </c>
      <c r="H199" s="25" t="s">
        <v>1340</v>
      </c>
      <c r="I199" s="25" t="s">
        <v>244</v>
      </c>
      <c r="J199" s="26"/>
    </row>
    <row r="200" spans="3:10" s="13" customFormat="1" ht="30.95" customHeight="1">
      <c r="C200" s="22">
        <f t="shared" si="2"/>
        <v>193</v>
      </c>
      <c r="D200" s="185" t="s">
        <v>1353</v>
      </c>
      <c r="E200" s="23" t="s">
        <v>1136</v>
      </c>
      <c r="F200" s="23" t="s">
        <v>1137</v>
      </c>
      <c r="G200" s="29">
        <v>500</v>
      </c>
      <c r="H200" s="25" t="s">
        <v>1340</v>
      </c>
      <c r="I200" s="25" t="s">
        <v>244</v>
      </c>
      <c r="J200" s="26"/>
    </row>
    <row r="201" spans="3:10" s="13" customFormat="1" ht="30.95" customHeight="1">
      <c r="C201" s="22">
        <f t="shared" si="2"/>
        <v>194</v>
      </c>
      <c r="D201" s="185" t="s">
        <v>1354</v>
      </c>
      <c r="E201" s="23" t="s">
        <v>1136</v>
      </c>
      <c r="F201" s="23" t="s">
        <v>1137</v>
      </c>
      <c r="G201" s="29">
        <v>500</v>
      </c>
      <c r="H201" s="25" t="s">
        <v>1340</v>
      </c>
      <c r="I201" s="25" t="s">
        <v>244</v>
      </c>
      <c r="J201" s="26"/>
    </row>
    <row r="202" spans="3:10" s="13" customFormat="1" ht="30.95" customHeight="1">
      <c r="C202" s="22">
        <f t="shared" ref="C202:C265" si="3">C201+1</f>
        <v>195</v>
      </c>
      <c r="D202" s="185" t="s">
        <v>1355</v>
      </c>
      <c r="E202" s="23" t="s">
        <v>1136</v>
      </c>
      <c r="F202" s="23" t="s">
        <v>1137</v>
      </c>
      <c r="G202" s="29">
        <v>500</v>
      </c>
      <c r="H202" s="25" t="s">
        <v>1340</v>
      </c>
      <c r="I202" s="25" t="s">
        <v>244</v>
      </c>
      <c r="J202" s="26"/>
    </row>
    <row r="203" spans="3:10" s="13" customFormat="1" ht="30.95" customHeight="1">
      <c r="C203" s="22">
        <f t="shared" si="3"/>
        <v>196</v>
      </c>
      <c r="D203" s="185" t="s">
        <v>1356</v>
      </c>
      <c r="E203" s="23" t="s">
        <v>1136</v>
      </c>
      <c r="F203" s="23" t="s">
        <v>1137</v>
      </c>
      <c r="G203" s="30">
        <v>500</v>
      </c>
      <c r="H203" s="25" t="s">
        <v>1357</v>
      </c>
      <c r="I203" s="25" t="s">
        <v>244</v>
      </c>
      <c r="J203" s="26"/>
    </row>
    <row r="204" spans="3:10" s="13" customFormat="1" ht="30.95" customHeight="1">
      <c r="C204" s="22">
        <f t="shared" si="3"/>
        <v>197</v>
      </c>
      <c r="D204" s="185" t="s">
        <v>1358</v>
      </c>
      <c r="E204" s="23" t="s">
        <v>1136</v>
      </c>
      <c r="F204" s="23" t="s">
        <v>1137</v>
      </c>
      <c r="G204" s="30">
        <v>500</v>
      </c>
      <c r="H204" s="25" t="s">
        <v>1357</v>
      </c>
      <c r="I204" s="25" t="s">
        <v>244</v>
      </c>
      <c r="J204" s="26"/>
    </row>
    <row r="205" spans="3:10" s="13" customFormat="1" ht="30.95" customHeight="1">
      <c r="C205" s="22">
        <f t="shared" si="3"/>
        <v>198</v>
      </c>
      <c r="D205" s="185" t="s">
        <v>1359</v>
      </c>
      <c r="E205" s="23" t="s">
        <v>1136</v>
      </c>
      <c r="F205" s="23" t="s">
        <v>1137</v>
      </c>
      <c r="G205" s="30">
        <v>500</v>
      </c>
      <c r="H205" s="25" t="s">
        <v>1357</v>
      </c>
      <c r="I205" s="25" t="s">
        <v>244</v>
      </c>
      <c r="J205" s="26"/>
    </row>
    <row r="206" spans="3:10" s="13" customFormat="1" ht="30.95" customHeight="1">
      <c r="C206" s="22">
        <f t="shared" si="3"/>
        <v>199</v>
      </c>
      <c r="D206" s="185" t="s">
        <v>1360</v>
      </c>
      <c r="E206" s="23" t="s">
        <v>1136</v>
      </c>
      <c r="F206" s="23" t="s">
        <v>1137</v>
      </c>
      <c r="G206" s="30">
        <v>500</v>
      </c>
      <c r="H206" s="25" t="s">
        <v>1357</v>
      </c>
      <c r="I206" s="25" t="s">
        <v>244</v>
      </c>
      <c r="J206" s="26"/>
    </row>
    <row r="207" spans="3:10" s="13" customFormat="1" ht="30.95" customHeight="1">
      <c r="C207" s="22">
        <f t="shared" si="3"/>
        <v>200</v>
      </c>
      <c r="D207" s="185" t="s">
        <v>1361</v>
      </c>
      <c r="E207" s="23" t="s">
        <v>1136</v>
      </c>
      <c r="F207" s="23" t="s">
        <v>1137</v>
      </c>
      <c r="G207" s="30">
        <v>500</v>
      </c>
      <c r="H207" s="25" t="s">
        <v>1357</v>
      </c>
      <c r="I207" s="25" t="s">
        <v>244</v>
      </c>
      <c r="J207" s="26"/>
    </row>
    <row r="208" spans="3:10" s="13" customFormat="1" ht="30.95" customHeight="1">
      <c r="C208" s="22">
        <f t="shared" si="3"/>
        <v>201</v>
      </c>
      <c r="D208" s="185" t="s">
        <v>1362</v>
      </c>
      <c r="E208" s="23" t="s">
        <v>1136</v>
      </c>
      <c r="F208" s="23" t="s">
        <v>1137</v>
      </c>
      <c r="G208" s="30">
        <v>500</v>
      </c>
      <c r="H208" s="25" t="s">
        <v>1357</v>
      </c>
      <c r="I208" s="25" t="s">
        <v>244</v>
      </c>
      <c r="J208" s="26"/>
    </row>
    <row r="209" spans="3:10" s="13" customFormat="1" ht="30.95" customHeight="1">
      <c r="C209" s="22">
        <f t="shared" si="3"/>
        <v>202</v>
      </c>
      <c r="D209" s="185" t="s">
        <v>1363</v>
      </c>
      <c r="E209" s="23" t="s">
        <v>1136</v>
      </c>
      <c r="F209" s="23" t="s">
        <v>1137</v>
      </c>
      <c r="G209" s="30">
        <v>500</v>
      </c>
      <c r="H209" s="25" t="s">
        <v>1357</v>
      </c>
      <c r="I209" s="25" t="s">
        <v>244</v>
      </c>
      <c r="J209" s="26"/>
    </row>
    <row r="210" spans="3:10" s="13" customFormat="1" ht="30.95" customHeight="1">
      <c r="C210" s="22">
        <f t="shared" si="3"/>
        <v>203</v>
      </c>
      <c r="D210" s="185" t="s">
        <v>1364</v>
      </c>
      <c r="E210" s="23" t="s">
        <v>1136</v>
      </c>
      <c r="F210" s="23" t="s">
        <v>1137</v>
      </c>
      <c r="G210" s="30">
        <v>500</v>
      </c>
      <c r="H210" s="25" t="s">
        <v>1357</v>
      </c>
      <c r="I210" s="25" t="s">
        <v>244</v>
      </c>
      <c r="J210" s="26"/>
    </row>
    <row r="211" spans="3:10" s="13" customFormat="1" ht="30.95" customHeight="1">
      <c r="C211" s="22">
        <f t="shared" si="3"/>
        <v>204</v>
      </c>
      <c r="D211" s="185" t="s">
        <v>1365</v>
      </c>
      <c r="E211" s="23" t="s">
        <v>1136</v>
      </c>
      <c r="F211" s="23" t="s">
        <v>1137</v>
      </c>
      <c r="G211" s="30">
        <v>500</v>
      </c>
      <c r="H211" s="25" t="s">
        <v>1366</v>
      </c>
      <c r="I211" s="25" t="s">
        <v>244</v>
      </c>
      <c r="J211" s="26"/>
    </row>
    <row r="212" spans="3:10" s="13" customFormat="1" ht="30.95" customHeight="1">
      <c r="C212" s="22">
        <f t="shared" si="3"/>
        <v>205</v>
      </c>
      <c r="D212" s="185" t="s">
        <v>1367</v>
      </c>
      <c r="E212" s="23" t="s">
        <v>1136</v>
      </c>
      <c r="F212" s="23" t="s">
        <v>1137</v>
      </c>
      <c r="G212" s="30">
        <v>500</v>
      </c>
      <c r="H212" s="25" t="s">
        <v>1366</v>
      </c>
      <c r="I212" s="25" t="s">
        <v>244</v>
      </c>
      <c r="J212" s="26"/>
    </row>
    <row r="213" spans="3:10" s="13" customFormat="1" ht="30.95" customHeight="1">
      <c r="C213" s="22">
        <f t="shared" si="3"/>
        <v>206</v>
      </c>
      <c r="D213" s="185" t="s">
        <v>1368</v>
      </c>
      <c r="E213" s="23" t="s">
        <v>1136</v>
      </c>
      <c r="F213" s="23" t="s">
        <v>1137</v>
      </c>
      <c r="G213" s="30">
        <v>500</v>
      </c>
      <c r="H213" s="25" t="s">
        <v>1366</v>
      </c>
      <c r="I213" s="25" t="s">
        <v>244</v>
      </c>
      <c r="J213" s="26"/>
    </row>
    <row r="214" spans="3:10" s="13" customFormat="1" ht="30.95" customHeight="1">
      <c r="C214" s="22">
        <f t="shared" si="3"/>
        <v>207</v>
      </c>
      <c r="D214" s="185" t="s">
        <v>1369</v>
      </c>
      <c r="E214" s="23" t="s">
        <v>1136</v>
      </c>
      <c r="F214" s="23" t="s">
        <v>1137</v>
      </c>
      <c r="G214" s="30">
        <v>500</v>
      </c>
      <c r="H214" s="25" t="s">
        <v>1366</v>
      </c>
      <c r="I214" s="25" t="s">
        <v>244</v>
      </c>
      <c r="J214" s="26"/>
    </row>
    <row r="215" spans="3:10" s="13" customFormat="1" ht="30.95" customHeight="1">
      <c r="C215" s="22">
        <f t="shared" si="3"/>
        <v>208</v>
      </c>
      <c r="D215" s="185" t="s">
        <v>1370</v>
      </c>
      <c r="E215" s="23" t="s">
        <v>1136</v>
      </c>
      <c r="F215" s="23" t="s">
        <v>1137</v>
      </c>
      <c r="G215" s="30">
        <v>500</v>
      </c>
      <c r="H215" s="25" t="s">
        <v>1366</v>
      </c>
      <c r="I215" s="25" t="s">
        <v>244</v>
      </c>
      <c r="J215" s="26"/>
    </row>
    <row r="216" spans="3:10" s="13" customFormat="1" ht="30.95" customHeight="1">
      <c r="C216" s="22">
        <f t="shared" si="3"/>
        <v>209</v>
      </c>
      <c r="D216" s="185" t="s">
        <v>1371</v>
      </c>
      <c r="E216" s="23" t="s">
        <v>1136</v>
      </c>
      <c r="F216" s="23" t="s">
        <v>1137</v>
      </c>
      <c r="G216" s="30">
        <v>500</v>
      </c>
      <c r="H216" s="25" t="s">
        <v>1366</v>
      </c>
      <c r="I216" s="25" t="s">
        <v>244</v>
      </c>
      <c r="J216" s="26"/>
    </row>
    <row r="217" spans="3:10" s="13" customFormat="1" ht="30.95" customHeight="1">
      <c r="C217" s="22">
        <f t="shared" si="3"/>
        <v>210</v>
      </c>
      <c r="D217" s="185" t="s">
        <v>1372</v>
      </c>
      <c r="E217" s="23" t="s">
        <v>1136</v>
      </c>
      <c r="F217" s="23" t="s">
        <v>1137</v>
      </c>
      <c r="G217" s="30">
        <v>500</v>
      </c>
      <c r="H217" s="25" t="s">
        <v>1366</v>
      </c>
      <c r="I217" s="25" t="s">
        <v>244</v>
      </c>
      <c r="J217" s="26"/>
    </row>
    <row r="218" spans="3:10" s="13" customFormat="1" ht="30.95" customHeight="1">
      <c r="C218" s="22">
        <f t="shared" si="3"/>
        <v>211</v>
      </c>
      <c r="D218" s="185" t="s">
        <v>1373</v>
      </c>
      <c r="E218" s="23" t="s">
        <v>1136</v>
      </c>
      <c r="F218" s="23" t="s">
        <v>1137</v>
      </c>
      <c r="G218" s="30">
        <v>500</v>
      </c>
      <c r="H218" s="25" t="s">
        <v>1366</v>
      </c>
      <c r="I218" s="25" t="s">
        <v>244</v>
      </c>
      <c r="J218" s="26"/>
    </row>
    <row r="219" spans="3:10" s="13" customFormat="1" ht="30.95" customHeight="1">
      <c r="C219" s="22">
        <f t="shared" si="3"/>
        <v>212</v>
      </c>
      <c r="D219" s="185" t="s">
        <v>1374</v>
      </c>
      <c r="E219" s="23" t="s">
        <v>1136</v>
      </c>
      <c r="F219" s="23" t="s">
        <v>1137</v>
      </c>
      <c r="G219" s="30">
        <v>500</v>
      </c>
      <c r="H219" s="25" t="s">
        <v>1375</v>
      </c>
      <c r="I219" s="25" t="s">
        <v>244</v>
      </c>
      <c r="J219" s="26"/>
    </row>
    <row r="220" spans="3:10" s="13" customFormat="1" ht="30.95" customHeight="1">
      <c r="C220" s="22">
        <f t="shared" si="3"/>
        <v>213</v>
      </c>
      <c r="D220" s="185" t="s">
        <v>1376</v>
      </c>
      <c r="E220" s="23" t="s">
        <v>1136</v>
      </c>
      <c r="F220" s="23" t="s">
        <v>1137</v>
      </c>
      <c r="G220" s="30">
        <v>500</v>
      </c>
      <c r="H220" s="25" t="s">
        <v>1375</v>
      </c>
      <c r="I220" s="25" t="s">
        <v>244</v>
      </c>
      <c r="J220" s="26"/>
    </row>
    <row r="221" spans="3:10" s="13" customFormat="1" ht="30.95" customHeight="1">
      <c r="C221" s="22">
        <f t="shared" si="3"/>
        <v>214</v>
      </c>
      <c r="D221" s="185" t="s">
        <v>1377</v>
      </c>
      <c r="E221" s="23" t="s">
        <v>1136</v>
      </c>
      <c r="F221" s="23" t="s">
        <v>1137</v>
      </c>
      <c r="G221" s="30">
        <v>500</v>
      </c>
      <c r="H221" s="25" t="s">
        <v>1375</v>
      </c>
      <c r="I221" s="25" t="s">
        <v>244</v>
      </c>
      <c r="J221" s="26"/>
    </row>
    <row r="222" spans="3:10" s="13" customFormat="1" ht="30.95" customHeight="1">
      <c r="C222" s="22">
        <f t="shared" si="3"/>
        <v>215</v>
      </c>
      <c r="D222" s="185" t="s">
        <v>1378</v>
      </c>
      <c r="E222" s="23" t="s">
        <v>1136</v>
      </c>
      <c r="F222" s="23" t="s">
        <v>1137</v>
      </c>
      <c r="G222" s="30">
        <v>500</v>
      </c>
      <c r="H222" s="25" t="s">
        <v>1375</v>
      </c>
      <c r="I222" s="25" t="s">
        <v>244</v>
      </c>
      <c r="J222" s="26"/>
    </row>
    <row r="223" spans="3:10" s="13" customFormat="1" ht="30.95" customHeight="1">
      <c r="C223" s="22">
        <f t="shared" si="3"/>
        <v>216</v>
      </c>
      <c r="D223" s="185" t="s">
        <v>1379</v>
      </c>
      <c r="E223" s="23" t="s">
        <v>1136</v>
      </c>
      <c r="F223" s="23" t="s">
        <v>1137</v>
      </c>
      <c r="G223" s="30">
        <v>500</v>
      </c>
      <c r="H223" s="25" t="s">
        <v>1375</v>
      </c>
      <c r="I223" s="25" t="s">
        <v>244</v>
      </c>
      <c r="J223" s="26"/>
    </row>
    <row r="224" spans="3:10" s="13" customFormat="1" ht="30.95" customHeight="1">
      <c r="C224" s="22">
        <f t="shared" si="3"/>
        <v>217</v>
      </c>
      <c r="D224" s="185" t="s">
        <v>1380</v>
      </c>
      <c r="E224" s="23" t="s">
        <v>1136</v>
      </c>
      <c r="F224" s="23" t="s">
        <v>1137</v>
      </c>
      <c r="G224" s="30">
        <v>500</v>
      </c>
      <c r="H224" s="25" t="s">
        <v>1375</v>
      </c>
      <c r="I224" s="25" t="s">
        <v>244</v>
      </c>
      <c r="J224" s="26"/>
    </row>
    <row r="225" spans="3:10" s="13" customFormat="1" ht="30.95" customHeight="1">
      <c r="C225" s="22">
        <f t="shared" si="3"/>
        <v>218</v>
      </c>
      <c r="D225" s="185" t="s">
        <v>1381</v>
      </c>
      <c r="E225" s="23" t="s">
        <v>1136</v>
      </c>
      <c r="F225" s="23" t="s">
        <v>1137</v>
      </c>
      <c r="G225" s="30">
        <v>500</v>
      </c>
      <c r="H225" s="25" t="s">
        <v>1375</v>
      </c>
      <c r="I225" s="25" t="s">
        <v>244</v>
      </c>
      <c r="J225" s="26"/>
    </row>
    <row r="226" spans="3:10" s="13" customFormat="1" ht="30.95" customHeight="1">
      <c r="C226" s="22">
        <f t="shared" si="3"/>
        <v>219</v>
      </c>
      <c r="D226" s="185" t="s">
        <v>1382</v>
      </c>
      <c r="E226" s="23" t="s">
        <v>1136</v>
      </c>
      <c r="F226" s="23" t="s">
        <v>1137</v>
      </c>
      <c r="G226" s="30">
        <v>500</v>
      </c>
      <c r="H226" s="25" t="s">
        <v>1375</v>
      </c>
      <c r="I226" s="25" t="s">
        <v>244</v>
      </c>
      <c r="J226" s="26"/>
    </row>
    <row r="227" spans="3:10" s="13" customFormat="1" ht="30.95" customHeight="1">
      <c r="C227" s="22">
        <f t="shared" si="3"/>
        <v>220</v>
      </c>
      <c r="D227" s="185" t="s">
        <v>1383</v>
      </c>
      <c r="E227" s="23" t="s">
        <v>1136</v>
      </c>
      <c r="F227" s="23" t="s">
        <v>1137</v>
      </c>
      <c r="G227" s="30">
        <v>500</v>
      </c>
      <c r="H227" s="25" t="s">
        <v>1375</v>
      </c>
      <c r="I227" s="25" t="s">
        <v>244</v>
      </c>
      <c r="J227" s="26"/>
    </row>
    <row r="228" spans="3:10" s="13" customFormat="1" ht="30.95" customHeight="1">
      <c r="C228" s="22">
        <f t="shared" si="3"/>
        <v>221</v>
      </c>
      <c r="D228" s="185" t="s">
        <v>1384</v>
      </c>
      <c r="E228" s="23" t="s">
        <v>1136</v>
      </c>
      <c r="F228" s="23" t="s">
        <v>1137</v>
      </c>
      <c r="G228" s="30">
        <v>500</v>
      </c>
      <c r="H228" s="25" t="s">
        <v>1385</v>
      </c>
      <c r="I228" s="25" t="s">
        <v>244</v>
      </c>
      <c r="J228" s="26"/>
    </row>
    <row r="229" spans="3:10" s="13" customFormat="1" ht="30.95" customHeight="1">
      <c r="C229" s="22">
        <f t="shared" si="3"/>
        <v>222</v>
      </c>
      <c r="D229" s="185" t="s">
        <v>1386</v>
      </c>
      <c r="E229" s="23" t="s">
        <v>1136</v>
      </c>
      <c r="F229" s="23" t="s">
        <v>1137</v>
      </c>
      <c r="G229" s="30">
        <v>500</v>
      </c>
      <c r="H229" s="25" t="s">
        <v>1385</v>
      </c>
      <c r="I229" s="25" t="s">
        <v>244</v>
      </c>
      <c r="J229" s="26"/>
    </row>
    <row r="230" spans="3:10" s="13" customFormat="1" ht="30.95" customHeight="1">
      <c r="C230" s="22">
        <f t="shared" si="3"/>
        <v>223</v>
      </c>
      <c r="D230" s="185" t="s">
        <v>1387</v>
      </c>
      <c r="E230" s="23" t="s">
        <v>1136</v>
      </c>
      <c r="F230" s="23" t="s">
        <v>1137</v>
      </c>
      <c r="G230" s="30">
        <v>500</v>
      </c>
      <c r="H230" s="25" t="s">
        <v>1385</v>
      </c>
      <c r="I230" s="25" t="s">
        <v>244</v>
      </c>
      <c r="J230" s="26"/>
    </row>
    <row r="231" spans="3:10" s="13" customFormat="1" ht="30.95" customHeight="1">
      <c r="C231" s="22">
        <f t="shared" si="3"/>
        <v>224</v>
      </c>
      <c r="D231" s="185" t="s">
        <v>1388</v>
      </c>
      <c r="E231" s="23" t="s">
        <v>1136</v>
      </c>
      <c r="F231" s="23" t="s">
        <v>1137</v>
      </c>
      <c r="G231" s="30">
        <v>500</v>
      </c>
      <c r="H231" s="25" t="s">
        <v>1385</v>
      </c>
      <c r="I231" s="25" t="s">
        <v>244</v>
      </c>
      <c r="J231" s="26"/>
    </row>
    <row r="232" spans="3:10" s="13" customFormat="1" ht="30.95" customHeight="1">
      <c r="C232" s="22">
        <f t="shared" si="3"/>
        <v>225</v>
      </c>
      <c r="D232" s="185" t="s">
        <v>1389</v>
      </c>
      <c r="E232" s="23" t="s">
        <v>1136</v>
      </c>
      <c r="F232" s="23" t="s">
        <v>1137</v>
      </c>
      <c r="G232" s="30">
        <v>500</v>
      </c>
      <c r="H232" s="25" t="s">
        <v>1385</v>
      </c>
      <c r="I232" s="25" t="s">
        <v>244</v>
      </c>
      <c r="J232" s="26"/>
    </row>
    <row r="233" spans="3:10" s="13" customFormat="1" ht="30.95" customHeight="1">
      <c r="C233" s="22">
        <f t="shared" si="3"/>
        <v>226</v>
      </c>
      <c r="D233" s="185" t="s">
        <v>1390</v>
      </c>
      <c r="E233" s="23" t="s">
        <v>1136</v>
      </c>
      <c r="F233" s="23" t="s">
        <v>1137</v>
      </c>
      <c r="G233" s="30">
        <v>500</v>
      </c>
      <c r="H233" s="25" t="s">
        <v>1385</v>
      </c>
      <c r="I233" s="25" t="s">
        <v>244</v>
      </c>
      <c r="J233" s="26"/>
    </row>
    <row r="234" spans="3:10" s="13" customFormat="1" ht="30.95" customHeight="1">
      <c r="C234" s="22">
        <f t="shared" si="3"/>
        <v>227</v>
      </c>
      <c r="D234" s="185" t="s">
        <v>1391</v>
      </c>
      <c r="E234" s="23" t="s">
        <v>1136</v>
      </c>
      <c r="F234" s="23" t="s">
        <v>1137</v>
      </c>
      <c r="G234" s="30">
        <v>500</v>
      </c>
      <c r="H234" s="25" t="s">
        <v>1385</v>
      </c>
      <c r="I234" s="25" t="s">
        <v>244</v>
      </c>
      <c r="J234" s="26"/>
    </row>
    <row r="235" spans="3:10" s="13" customFormat="1" ht="30.95" customHeight="1">
      <c r="C235" s="22">
        <f t="shared" si="3"/>
        <v>228</v>
      </c>
      <c r="D235" s="185" t="s">
        <v>1392</v>
      </c>
      <c r="E235" s="23" t="s">
        <v>1136</v>
      </c>
      <c r="F235" s="23" t="s">
        <v>1137</v>
      </c>
      <c r="G235" s="30">
        <v>500</v>
      </c>
      <c r="H235" s="25" t="s">
        <v>1385</v>
      </c>
      <c r="I235" s="25" t="s">
        <v>244</v>
      </c>
      <c r="J235" s="26"/>
    </row>
    <row r="236" spans="3:10" s="13" customFormat="1" ht="30.95" customHeight="1">
      <c r="C236" s="22">
        <f t="shared" si="3"/>
        <v>229</v>
      </c>
      <c r="D236" s="185" t="s">
        <v>1393</v>
      </c>
      <c r="E236" s="23" t="s">
        <v>1136</v>
      </c>
      <c r="F236" s="23" t="s">
        <v>1137</v>
      </c>
      <c r="G236" s="30">
        <v>500</v>
      </c>
      <c r="H236" s="25" t="s">
        <v>1385</v>
      </c>
      <c r="I236" s="25" t="s">
        <v>244</v>
      </c>
      <c r="J236" s="26"/>
    </row>
    <row r="237" spans="3:10" s="13" customFormat="1" ht="30.95" customHeight="1">
      <c r="C237" s="22">
        <f t="shared" si="3"/>
        <v>230</v>
      </c>
      <c r="D237" s="185" t="s">
        <v>1394</v>
      </c>
      <c r="E237" s="23" t="s">
        <v>1136</v>
      </c>
      <c r="F237" s="23" t="s">
        <v>1137</v>
      </c>
      <c r="G237" s="30">
        <v>500</v>
      </c>
      <c r="H237" s="25" t="s">
        <v>1395</v>
      </c>
      <c r="I237" s="25" t="s">
        <v>244</v>
      </c>
      <c r="J237" s="26"/>
    </row>
    <row r="238" spans="3:10" s="13" customFormat="1" ht="30.95" customHeight="1">
      <c r="C238" s="22">
        <f t="shared" si="3"/>
        <v>231</v>
      </c>
      <c r="D238" s="185" t="s">
        <v>1396</v>
      </c>
      <c r="E238" s="23" t="s">
        <v>1136</v>
      </c>
      <c r="F238" s="23" t="s">
        <v>1137</v>
      </c>
      <c r="G238" s="30">
        <v>500</v>
      </c>
      <c r="H238" s="25" t="s">
        <v>1395</v>
      </c>
      <c r="I238" s="25" t="s">
        <v>244</v>
      </c>
      <c r="J238" s="26"/>
    </row>
    <row r="239" spans="3:10" s="13" customFormat="1" ht="30.95" customHeight="1">
      <c r="C239" s="22">
        <f t="shared" si="3"/>
        <v>232</v>
      </c>
      <c r="D239" s="185" t="s">
        <v>1397</v>
      </c>
      <c r="E239" s="23" t="s">
        <v>1136</v>
      </c>
      <c r="F239" s="23" t="s">
        <v>1137</v>
      </c>
      <c r="G239" s="30">
        <v>500</v>
      </c>
      <c r="H239" s="25" t="s">
        <v>1395</v>
      </c>
      <c r="I239" s="25" t="s">
        <v>244</v>
      </c>
      <c r="J239" s="26"/>
    </row>
    <row r="240" spans="3:10" s="13" customFormat="1" ht="30.95" customHeight="1">
      <c r="C240" s="22">
        <f t="shared" si="3"/>
        <v>233</v>
      </c>
      <c r="D240" s="185" t="s">
        <v>1398</v>
      </c>
      <c r="E240" s="23" t="s">
        <v>1136</v>
      </c>
      <c r="F240" s="23" t="s">
        <v>1137</v>
      </c>
      <c r="G240" s="30">
        <v>200</v>
      </c>
      <c r="H240" s="25" t="s">
        <v>1399</v>
      </c>
      <c r="I240" s="25" t="s">
        <v>244</v>
      </c>
      <c r="J240" s="26"/>
    </row>
    <row r="241" spans="3:10" s="13" customFormat="1" ht="30.95" customHeight="1">
      <c r="C241" s="22">
        <f t="shared" si="3"/>
        <v>234</v>
      </c>
      <c r="D241" s="185" t="s">
        <v>1400</v>
      </c>
      <c r="E241" s="23" t="s">
        <v>1136</v>
      </c>
      <c r="F241" s="23" t="s">
        <v>1137</v>
      </c>
      <c r="G241" s="30">
        <v>400</v>
      </c>
      <c r="H241" s="25" t="s">
        <v>1399</v>
      </c>
      <c r="I241" s="25" t="s">
        <v>244</v>
      </c>
      <c r="J241" s="26"/>
    </row>
    <row r="242" spans="3:10" s="13" customFormat="1" ht="30.95" customHeight="1">
      <c r="C242" s="22">
        <f t="shared" si="3"/>
        <v>235</v>
      </c>
      <c r="D242" s="185" t="s">
        <v>1401</v>
      </c>
      <c r="E242" s="23" t="s">
        <v>1136</v>
      </c>
      <c r="F242" s="23" t="s">
        <v>1137</v>
      </c>
      <c r="G242" s="30">
        <v>200</v>
      </c>
      <c r="H242" s="25" t="s">
        <v>1399</v>
      </c>
      <c r="I242" s="25" t="s">
        <v>244</v>
      </c>
      <c r="J242" s="26"/>
    </row>
    <row r="243" spans="3:10" s="13" customFormat="1" ht="30.95" customHeight="1">
      <c r="C243" s="22">
        <f t="shared" si="3"/>
        <v>236</v>
      </c>
      <c r="D243" s="185" t="s">
        <v>1402</v>
      </c>
      <c r="E243" s="23" t="s">
        <v>1136</v>
      </c>
      <c r="F243" s="23" t="s">
        <v>1137</v>
      </c>
      <c r="G243" s="30">
        <v>400</v>
      </c>
      <c r="H243" s="25" t="s">
        <v>1399</v>
      </c>
      <c r="I243" s="25" t="s">
        <v>244</v>
      </c>
      <c r="J243" s="26"/>
    </row>
    <row r="244" spans="3:10" s="13" customFormat="1" ht="30.95" customHeight="1">
      <c r="C244" s="22">
        <f t="shared" si="3"/>
        <v>237</v>
      </c>
      <c r="D244" s="185" t="s">
        <v>1403</v>
      </c>
      <c r="E244" s="23" t="s">
        <v>1136</v>
      </c>
      <c r="F244" s="23" t="s">
        <v>1137</v>
      </c>
      <c r="G244" s="30">
        <v>200</v>
      </c>
      <c r="H244" s="25" t="s">
        <v>1399</v>
      </c>
      <c r="I244" s="25" t="s">
        <v>244</v>
      </c>
      <c r="J244" s="26"/>
    </row>
    <row r="245" spans="3:10" s="13" customFormat="1" ht="30.95" customHeight="1">
      <c r="C245" s="22">
        <f t="shared" si="3"/>
        <v>238</v>
      </c>
      <c r="D245" s="185" t="s">
        <v>1404</v>
      </c>
      <c r="E245" s="23" t="s">
        <v>1136</v>
      </c>
      <c r="F245" s="23" t="s">
        <v>1137</v>
      </c>
      <c r="G245" s="30">
        <v>230</v>
      </c>
      <c r="H245" s="25" t="s">
        <v>240</v>
      </c>
      <c r="I245" s="25" t="s">
        <v>244</v>
      </c>
      <c r="J245" s="26"/>
    </row>
    <row r="246" spans="3:10" s="13" customFormat="1" ht="30.95" customHeight="1">
      <c r="C246" s="22">
        <f t="shared" si="3"/>
        <v>239</v>
      </c>
      <c r="D246" s="185" t="s">
        <v>1405</v>
      </c>
      <c r="E246" s="23" t="s">
        <v>1136</v>
      </c>
      <c r="F246" s="23" t="s">
        <v>1137</v>
      </c>
      <c r="G246" s="30">
        <v>200</v>
      </c>
      <c r="H246" s="25" t="s">
        <v>240</v>
      </c>
      <c r="I246" s="25" t="s">
        <v>244</v>
      </c>
      <c r="J246" s="26"/>
    </row>
    <row r="247" spans="3:10" s="13" customFormat="1" ht="30.95" customHeight="1">
      <c r="C247" s="22">
        <f t="shared" si="3"/>
        <v>240</v>
      </c>
      <c r="D247" s="185" t="s">
        <v>1406</v>
      </c>
      <c r="E247" s="23" t="s">
        <v>1136</v>
      </c>
      <c r="F247" s="23" t="s">
        <v>1137</v>
      </c>
      <c r="G247" s="30">
        <v>250</v>
      </c>
      <c r="H247" s="25" t="s">
        <v>240</v>
      </c>
      <c r="I247" s="25" t="s">
        <v>244</v>
      </c>
      <c r="J247" s="26"/>
    </row>
    <row r="248" spans="3:10" s="13" customFormat="1" ht="30.95" customHeight="1">
      <c r="C248" s="22">
        <f t="shared" si="3"/>
        <v>241</v>
      </c>
      <c r="D248" s="185" t="s">
        <v>1407</v>
      </c>
      <c r="E248" s="23" t="s">
        <v>1136</v>
      </c>
      <c r="F248" s="23" t="s">
        <v>1137</v>
      </c>
      <c r="G248" s="30">
        <v>200</v>
      </c>
      <c r="H248" s="25" t="s">
        <v>240</v>
      </c>
      <c r="I248" s="25" t="s">
        <v>244</v>
      </c>
      <c r="J248" s="26"/>
    </row>
    <row r="249" spans="3:10" s="13" customFormat="1" ht="30.95" customHeight="1">
      <c r="C249" s="22">
        <f t="shared" si="3"/>
        <v>242</v>
      </c>
      <c r="D249" s="185" t="s">
        <v>1408</v>
      </c>
      <c r="E249" s="23" t="s">
        <v>1136</v>
      </c>
      <c r="F249" s="23" t="s">
        <v>1137</v>
      </c>
      <c r="G249" s="30">
        <v>300</v>
      </c>
      <c r="H249" s="25" t="s">
        <v>240</v>
      </c>
      <c r="I249" s="25" t="s">
        <v>244</v>
      </c>
      <c r="J249" s="26"/>
    </row>
    <row r="250" spans="3:10" s="13" customFormat="1" ht="30.75" customHeight="1">
      <c r="C250" s="22">
        <f t="shared" si="3"/>
        <v>243</v>
      </c>
      <c r="D250" s="185" t="s">
        <v>1409</v>
      </c>
      <c r="E250" s="23" t="s">
        <v>1136</v>
      </c>
      <c r="F250" s="23" t="s">
        <v>1137</v>
      </c>
      <c r="G250" s="30">
        <v>200</v>
      </c>
      <c r="H250" s="25" t="s">
        <v>240</v>
      </c>
      <c r="I250" s="25" t="s">
        <v>244</v>
      </c>
      <c r="J250" s="26"/>
    </row>
    <row r="251" spans="3:10" s="13" customFormat="1" ht="30.95" customHeight="1">
      <c r="C251" s="22">
        <f t="shared" si="3"/>
        <v>244</v>
      </c>
      <c r="D251" s="185" t="s">
        <v>1410</v>
      </c>
      <c r="E251" s="23" t="s">
        <v>1136</v>
      </c>
      <c r="F251" s="23" t="s">
        <v>1137</v>
      </c>
      <c r="G251" s="30">
        <v>150</v>
      </c>
      <c r="H251" s="25" t="s">
        <v>1411</v>
      </c>
      <c r="I251" s="25" t="s">
        <v>244</v>
      </c>
      <c r="J251" s="26"/>
    </row>
    <row r="252" spans="3:10" s="13" customFormat="1" ht="30.75" customHeight="1">
      <c r="C252" s="22">
        <f t="shared" si="3"/>
        <v>245</v>
      </c>
      <c r="D252" s="185" t="s">
        <v>1412</v>
      </c>
      <c r="E252" s="23" t="s">
        <v>1136</v>
      </c>
      <c r="F252" s="23" t="s">
        <v>1137</v>
      </c>
      <c r="G252" s="30">
        <v>250</v>
      </c>
      <c r="H252" s="25" t="s">
        <v>1411</v>
      </c>
      <c r="I252" s="25" t="s">
        <v>244</v>
      </c>
      <c r="J252" s="26"/>
    </row>
    <row r="253" spans="3:10" s="13" customFormat="1" ht="30.95" customHeight="1">
      <c r="C253" s="22">
        <f t="shared" si="3"/>
        <v>246</v>
      </c>
      <c r="D253" s="185" t="s">
        <v>1413</v>
      </c>
      <c r="E253" s="23" t="s">
        <v>1136</v>
      </c>
      <c r="F253" s="23" t="s">
        <v>1137</v>
      </c>
      <c r="G253" s="30">
        <v>250</v>
      </c>
      <c r="H253" s="25" t="s">
        <v>1411</v>
      </c>
      <c r="I253" s="25" t="s">
        <v>244</v>
      </c>
      <c r="J253" s="26"/>
    </row>
    <row r="254" spans="3:10" s="13" customFormat="1" ht="30.95" customHeight="1">
      <c r="C254" s="22">
        <f t="shared" si="3"/>
        <v>247</v>
      </c>
      <c r="D254" s="185" t="s">
        <v>1414</v>
      </c>
      <c r="E254" s="23" t="s">
        <v>1136</v>
      </c>
      <c r="F254" s="23" t="s">
        <v>1137</v>
      </c>
      <c r="G254" s="30">
        <v>300</v>
      </c>
      <c r="H254" s="25" t="s">
        <v>1411</v>
      </c>
      <c r="I254" s="25" t="s">
        <v>244</v>
      </c>
      <c r="J254" s="26"/>
    </row>
    <row r="255" spans="3:10" s="13" customFormat="1" ht="39" customHeight="1">
      <c r="C255" s="22">
        <f t="shared" si="3"/>
        <v>248</v>
      </c>
      <c r="D255" s="185" t="s">
        <v>1415</v>
      </c>
      <c r="E255" s="23" t="s">
        <v>1136</v>
      </c>
      <c r="F255" s="23" t="s">
        <v>1137</v>
      </c>
      <c r="G255" s="30">
        <v>250</v>
      </c>
      <c r="H255" s="25" t="s">
        <v>1416</v>
      </c>
      <c r="I255" s="25" t="s">
        <v>244</v>
      </c>
      <c r="J255" s="26"/>
    </row>
    <row r="256" spans="3:10" s="13" customFormat="1" ht="30.95" customHeight="1">
      <c r="C256" s="22">
        <f t="shared" si="3"/>
        <v>249</v>
      </c>
      <c r="D256" s="185" t="s">
        <v>1417</v>
      </c>
      <c r="E256" s="23" t="s">
        <v>1136</v>
      </c>
      <c r="F256" s="23" t="s">
        <v>1137</v>
      </c>
      <c r="G256" s="30">
        <v>1250</v>
      </c>
      <c r="H256" s="25" t="s">
        <v>1417</v>
      </c>
      <c r="I256" s="25" t="s">
        <v>244</v>
      </c>
      <c r="J256" s="26"/>
    </row>
    <row r="257" spans="3:10" s="13" customFormat="1" ht="30.95" customHeight="1">
      <c r="C257" s="22">
        <f t="shared" si="3"/>
        <v>250</v>
      </c>
      <c r="D257" s="185" t="s">
        <v>1194</v>
      </c>
      <c r="E257" s="23" t="s">
        <v>1136</v>
      </c>
      <c r="F257" s="23" t="s">
        <v>1137</v>
      </c>
      <c r="G257" s="30">
        <v>1700</v>
      </c>
      <c r="H257" s="25" t="s">
        <v>1194</v>
      </c>
      <c r="I257" s="25" t="s">
        <v>244</v>
      </c>
      <c r="J257" s="26"/>
    </row>
    <row r="258" spans="3:10" s="13" customFormat="1" ht="30.95" customHeight="1">
      <c r="C258" s="22">
        <f t="shared" si="3"/>
        <v>251</v>
      </c>
      <c r="D258" s="185" t="s">
        <v>1418</v>
      </c>
      <c r="E258" s="23" t="s">
        <v>1136</v>
      </c>
      <c r="F258" s="23" t="s">
        <v>1137</v>
      </c>
      <c r="G258" s="30">
        <v>500</v>
      </c>
      <c r="H258" s="25" t="s">
        <v>1187</v>
      </c>
      <c r="I258" s="25" t="s">
        <v>244</v>
      </c>
      <c r="J258" s="26"/>
    </row>
    <row r="259" spans="3:10" s="13" customFormat="1" ht="30.95" customHeight="1">
      <c r="C259" s="22">
        <f t="shared" si="3"/>
        <v>252</v>
      </c>
      <c r="D259" s="185" t="s">
        <v>1419</v>
      </c>
      <c r="E259" s="23" t="s">
        <v>1136</v>
      </c>
      <c r="F259" s="23" t="s">
        <v>1137</v>
      </c>
      <c r="G259" s="30">
        <v>500</v>
      </c>
      <c r="H259" s="25" t="s">
        <v>1187</v>
      </c>
      <c r="I259" s="25" t="s">
        <v>244</v>
      </c>
      <c r="J259" s="26"/>
    </row>
    <row r="260" spans="3:10" s="13" customFormat="1" ht="30.95" customHeight="1">
      <c r="C260" s="22">
        <f t="shared" si="3"/>
        <v>253</v>
      </c>
      <c r="D260" s="185" t="s">
        <v>1420</v>
      </c>
      <c r="E260" s="23" t="s">
        <v>1136</v>
      </c>
      <c r="F260" s="23" t="s">
        <v>1137</v>
      </c>
      <c r="G260" s="30">
        <v>500</v>
      </c>
      <c r="H260" s="25" t="s">
        <v>1188</v>
      </c>
      <c r="I260" s="25" t="s">
        <v>244</v>
      </c>
      <c r="J260" s="26"/>
    </row>
    <row r="261" spans="3:10" s="13" customFormat="1" ht="30.95" customHeight="1">
      <c r="C261" s="22">
        <f t="shared" si="3"/>
        <v>254</v>
      </c>
      <c r="D261" s="185" t="s">
        <v>1421</v>
      </c>
      <c r="E261" s="23" t="s">
        <v>1136</v>
      </c>
      <c r="F261" s="23" t="s">
        <v>1137</v>
      </c>
      <c r="G261" s="30">
        <v>500</v>
      </c>
      <c r="H261" s="25" t="s">
        <v>1188</v>
      </c>
      <c r="I261" s="25" t="s">
        <v>244</v>
      </c>
      <c r="J261" s="26"/>
    </row>
    <row r="262" spans="3:10" s="13" customFormat="1" ht="30.95" customHeight="1">
      <c r="C262" s="22">
        <f t="shared" si="3"/>
        <v>255</v>
      </c>
      <c r="D262" s="185" t="s">
        <v>1422</v>
      </c>
      <c r="E262" s="23" t="s">
        <v>1136</v>
      </c>
      <c r="F262" s="23" t="s">
        <v>1137</v>
      </c>
      <c r="G262" s="30">
        <v>500</v>
      </c>
      <c r="H262" s="25" t="s">
        <v>1188</v>
      </c>
      <c r="I262" s="25" t="s">
        <v>244</v>
      </c>
      <c r="J262" s="26"/>
    </row>
    <row r="263" spans="3:10" s="13" customFormat="1" ht="30.95" customHeight="1">
      <c r="C263" s="22">
        <f t="shared" si="3"/>
        <v>256</v>
      </c>
      <c r="D263" s="185" t="s">
        <v>1423</v>
      </c>
      <c r="E263" s="23" t="s">
        <v>1136</v>
      </c>
      <c r="F263" s="23" t="s">
        <v>1137</v>
      </c>
      <c r="G263" s="30">
        <v>500</v>
      </c>
      <c r="H263" s="25" t="s">
        <v>1188</v>
      </c>
      <c r="I263" s="25" t="s">
        <v>244</v>
      </c>
      <c r="J263" s="26"/>
    </row>
    <row r="264" spans="3:10" s="13" customFormat="1" ht="30.95" customHeight="1">
      <c r="C264" s="22">
        <f t="shared" si="3"/>
        <v>257</v>
      </c>
      <c r="D264" s="185" t="s">
        <v>1424</v>
      </c>
      <c r="E264" s="23" t="s">
        <v>1136</v>
      </c>
      <c r="F264" s="23" t="s">
        <v>1137</v>
      </c>
      <c r="G264" s="30">
        <v>500</v>
      </c>
      <c r="H264" s="25" t="s">
        <v>1188</v>
      </c>
      <c r="I264" s="25" t="s">
        <v>244</v>
      </c>
      <c r="J264" s="26"/>
    </row>
    <row r="265" spans="3:10" s="13" customFormat="1" ht="30.95" customHeight="1">
      <c r="C265" s="22">
        <f t="shared" si="3"/>
        <v>258</v>
      </c>
      <c r="D265" s="185" t="s">
        <v>1425</v>
      </c>
      <c r="E265" s="23" t="s">
        <v>1136</v>
      </c>
      <c r="F265" s="23" t="s">
        <v>1137</v>
      </c>
      <c r="G265" s="30">
        <v>500</v>
      </c>
      <c r="H265" s="25" t="s">
        <v>1189</v>
      </c>
      <c r="I265" s="25" t="s">
        <v>244</v>
      </c>
      <c r="J265" s="26"/>
    </row>
    <row r="266" spans="3:10" s="13" customFormat="1" ht="30.95" customHeight="1">
      <c r="C266" s="22">
        <f t="shared" ref="C266:C329" si="4">C265+1</f>
        <v>259</v>
      </c>
      <c r="D266" s="185" t="s">
        <v>1426</v>
      </c>
      <c r="E266" s="23" t="s">
        <v>1136</v>
      </c>
      <c r="F266" s="23" t="s">
        <v>1137</v>
      </c>
      <c r="G266" s="30">
        <v>500</v>
      </c>
      <c r="H266" s="25" t="s">
        <v>1189</v>
      </c>
      <c r="I266" s="25" t="s">
        <v>244</v>
      </c>
      <c r="J266" s="26"/>
    </row>
    <row r="267" spans="3:10" s="13" customFormat="1" ht="30.95" customHeight="1">
      <c r="C267" s="22">
        <f t="shared" si="4"/>
        <v>260</v>
      </c>
      <c r="D267" s="185" t="s">
        <v>1427</v>
      </c>
      <c r="E267" s="23" t="s">
        <v>1136</v>
      </c>
      <c r="F267" s="23" t="s">
        <v>1137</v>
      </c>
      <c r="G267" s="30">
        <v>500</v>
      </c>
      <c r="H267" s="25" t="s">
        <v>1189</v>
      </c>
      <c r="I267" s="25" t="s">
        <v>244</v>
      </c>
      <c r="J267" s="26"/>
    </row>
    <row r="268" spans="3:10" s="13" customFormat="1" ht="30.95" customHeight="1">
      <c r="C268" s="22">
        <f t="shared" si="4"/>
        <v>261</v>
      </c>
      <c r="D268" s="185" t="s">
        <v>1428</v>
      </c>
      <c r="E268" s="23" t="s">
        <v>1136</v>
      </c>
      <c r="F268" s="23" t="s">
        <v>1137</v>
      </c>
      <c r="G268" s="30">
        <v>500</v>
      </c>
      <c r="H268" s="25" t="s">
        <v>1189</v>
      </c>
      <c r="I268" s="25" t="s">
        <v>244</v>
      </c>
      <c r="J268" s="26"/>
    </row>
    <row r="269" spans="3:10" s="13" customFormat="1" ht="30.95" customHeight="1">
      <c r="C269" s="22">
        <f t="shared" si="4"/>
        <v>262</v>
      </c>
      <c r="D269" s="185" t="s">
        <v>1429</v>
      </c>
      <c r="E269" s="23" t="s">
        <v>1136</v>
      </c>
      <c r="F269" s="23" t="s">
        <v>1137</v>
      </c>
      <c r="G269" s="30">
        <v>500</v>
      </c>
      <c r="H269" s="25" t="s">
        <v>1190</v>
      </c>
      <c r="I269" s="25" t="s">
        <v>244</v>
      </c>
      <c r="J269" s="26"/>
    </row>
    <row r="270" spans="3:10" s="13" customFormat="1" ht="30.95" customHeight="1">
      <c r="C270" s="22">
        <f t="shared" si="4"/>
        <v>263</v>
      </c>
      <c r="D270" s="185" t="s">
        <v>1430</v>
      </c>
      <c r="E270" s="23" t="s">
        <v>1136</v>
      </c>
      <c r="F270" s="23" t="s">
        <v>1137</v>
      </c>
      <c r="G270" s="30">
        <v>500</v>
      </c>
      <c r="H270" s="25" t="s">
        <v>1190</v>
      </c>
      <c r="I270" s="25" t="s">
        <v>244</v>
      </c>
      <c r="J270" s="26"/>
    </row>
    <row r="271" spans="3:10" s="13" customFormat="1" ht="30.95" customHeight="1">
      <c r="C271" s="22">
        <f t="shared" si="4"/>
        <v>264</v>
      </c>
      <c r="D271" s="185" t="s">
        <v>1431</v>
      </c>
      <c r="E271" s="23" t="s">
        <v>1136</v>
      </c>
      <c r="F271" s="23" t="s">
        <v>1137</v>
      </c>
      <c r="G271" s="30">
        <v>500</v>
      </c>
      <c r="H271" s="25" t="s">
        <v>1190</v>
      </c>
      <c r="I271" s="25" t="s">
        <v>244</v>
      </c>
      <c r="J271" s="26"/>
    </row>
    <row r="272" spans="3:10" s="13" customFormat="1" ht="30.95" customHeight="1">
      <c r="C272" s="22">
        <f t="shared" si="4"/>
        <v>265</v>
      </c>
      <c r="D272" s="185" t="s">
        <v>1432</v>
      </c>
      <c r="E272" s="23" t="s">
        <v>1136</v>
      </c>
      <c r="F272" s="23" t="s">
        <v>1137</v>
      </c>
      <c r="G272" s="30">
        <v>500</v>
      </c>
      <c r="H272" s="25" t="s">
        <v>1190</v>
      </c>
      <c r="I272" s="25" t="s">
        <v>244</v>
      </c>
      <c r="J272" s="26"/>
    </row>
    <row r="273" spans="3:10" s="13" customFormat="1" ht="30.95" customHeight="1">
      <c r="C273" s="22">
        <f t="shared" si="4"/>
        <v>266</v>
      </c>
      <c r="D273" s="185" t="s">
        <v>1433</v>
      </c>
      <c r="E273" s="23" t="s">
        <v>1136</v>
      </c>
      <c r="F273" s="23" t="s">
        <v>1137</v>
      </c>
      <c r="G273" s="30">
        <v>280</v>
      </c>
      <c r="H273" s="25" t="s">
        <v>1191</v>
      </c>
      <c r="I273" s="25" t="s">
        <v>244</v>
      </c>
      <c r="J273" s="26"/>
    </row>
    <row r="274" spans="3:10" s="13" customFormat="1" ht="30.95" customHeight="1">
      <c r="C274" s="22">
        <f t="shared" si="4"/>
        <v>267</v>
      </c>
      <c r="D274" s="185" t="s">
        <v>1434</v>
      </c>
      <c r="E274" s="23" t="s">
        <v>1136</v>
      </c>
      <c r="F274" s="23" t="s">
        <v>1137</v>
      </c>
      <c r="G274" s="30">
        <v>500</v>
      </c>
      <c r="H274" s="25" t="s">
        <v>1191</v>
      </c>
      <c r="I274" s="25" t="s">
        <v>244</v>
      </c>
      <c r="J274" s="26"/>
    </row>
    <row r="275" spans="3:10" s="13" customFormat="1" ht="30.95" customHeight="1">
      <c r="C275" s="22">
        <f t="shared" si="4"/>
        <v>268</v>
      </c>
      <c r="D275" s="185" t="s">
        <v>1435</v>
      </c>
      <c r="E275" s="23" t="s">
        <v>1136</v>
      </c>
      <c r="F275" s="23" t="s">
        <v>1137</v>
      </c>
      <c r="G275" s="30">
        <v>280</v>
      </c>
      <c r="H275" s="25" t="s">
        <v>1191</v>
      </c>
      <c r="I275" s="25" t="s">
        <v>244</v>
      </c>
      <c r="J275" s="26"/>
    </row>
    <row r="276" spans="3:10" s="13" customFormat="1" ht="30.95" customHeight="1">
      <c r="C276" s="22">
        <f t="shared" si="4"/>
        <v>269</v>
      </c>
      <c r="D276" s="185" t="s">
        <v>1436</v>
      </c>
      <c r="E276" s="23" t="s">
        <v>1136</v>
      </c>
      <c r="F276" s="23" t="s">
        <v>1137</v>
      </c>
      <c r="G276" s="30">
        <v>500</v>
      </c>
      <c r="H276" s="25" t="s">
        <v>1191</v>
      </c>
      <c r="I276" s="25" t="s">
        <v>244</v>
      </c>
      <c r="J276" s="26"/>
    </row>
    <row r="277" spans="3:10" s="13" customFormat="1" ht="30.95" customHeight="1">
      <c r="C277" s="22">
        <f t="shared" si="4"/>
        <v>270</v>
      </c>
      <c r="D277" s="185" t="s">
        <v>1437</v>
      </c>
      <c r="E277" s="23" t="s">
        <v>1136</v>
      </c>
      <c r="F277" s="23" t="s">
        <v>1137</v>
      </c>
      <c r="G277" s="30">
        <v>450</v>
      </c>
      <c r="H277" s="25" t="s">
        <v>1438</v>
      </c>
      <c r="I277" s="25" t="s">
        <v>244</v>
      </c>
      <c r="J277" s="26"/>
    </row>
    <row r="278" spans="3:10" s="13" customFormat="1" ht="30.95" customHeight="1">
      <c r="C278" s="22">
        <f t="shared" si="4"/>
        <v>271</v>
      </c>
      <c r="D278" s="185" t="s">
        <v>1439</v>
      </c>
      <c r="E278" s="23" t="s">
        <v>1136</v>
      </c>
      <c r="F278" s="23" t="s">
        <v>1137</v>
      </c>
      <c r="G278" s="30">
        <v>230</v>
      </c>
      <c r="H278" s="25" t="s">
        <v>1438</v>
      </c>
      <c r="I278" s="25" t="s">
        <v>244</v>
      </c>
      <c r="J278" s="26"/>
    </row>
    <row r="279" spans="3:10" s="13" customFormat="1" ht="30.95" customHeight="1">
      <c r="C279" s="22">
        <f t="shared" si="4"/>
        <v>272</v>
      </c>
      <c r="D279" s="185" t="s">
        <v>1440</v>
      </c>
      <c r="E279" s="23" t="s">
        <v>1136</v>
      </c>
      <c r="F279" s="23" t="s">
        <v>1137</v>
      </c>
      <c r="G279" s="30">
        <v>450</v>
      </c>
      <c r="H279" s="25" t="s">
        <v>1438</v>
      </c>
      <c r="I279" s="25" t="s">
        <v>244</v>
      </c>
      <c r="J279" s="26"/>
    </row>
    <row r="280" spans="3:10" s="13" customFormat="1" ht="30.95" customHeight="1">
      <c r="C280" s="22">
        <f t="shared" si="4"/>
        <v>273</v>
      </c>
      <c r="D280" s="185" t="s">
        <v>1441</v>
      </c>
      <c r="E280" s="23" t="s">
        <v>1136</v>
      </c>
      <c r="F280" s="23" t="s">
        <v>1137</v>
      </c>
      <c r="G280" s="30">
        <v>230</v>
      </c>
      <c r="H280" s="25" t="s">
        <v>1438</v>
      </c>
      <c r="I280" s="25" t="s">
        <v>244</v>
      </c>
      <c r="J280" s="26"/>
    </row>
    <row r="281" spans="3:10" s="13" customFormat="1" ht="30.95" customHeight="1">
      <c r="C281" s="22">
        <f t="shared" si="4"/>
        <v>274</v>
      </c>
      <c r="D281" s="185" t="s">
        <v>1442</v>
      </c>
      <c r="E281" s="23" t="s">
        <v>1136</v>
      </c>
      <c r="F281" s="23" t="s">
        <v>1137</v>
      </c>
      <c r="G281" s="30">
        <v>670</v>
      </c>
      <c r="H281" s="25" t="s">
        <v>1170</v>
      </c>
      <c r="I281" s="25" t="s">
        <v>244</v>
      </c>
      <c r="J281" s="26"/>
    </row>
    <row r="282" spans="3:10" s="13" customFormat="1" ht="30.95" customHeight="1">
      <c r="C282" s="22">
        <f t="shared" si="4"/>
        <v>275</v>
      </c>
      <c r="D282" s="185" t="s">
        <v>1443</v>
      </c>
      <c r="E282" s="23" t="s">
        <v>1136</v>
      </c>
      <c r="F282" s="23" t="s">
        <v>1137</v>
      </c>
      <c r="G282" s="30">
        <v>230</v>
      </c>
      <c r="H282" s="25" t="s">
        <v>1442</v>
      </c>
      <c r="I282" s="25" t="s">
        <v>244</v>
      </c>
      <c r="J282" s="26"/>
    </row>
    <row r="283" spans="3:10" s="13" customFormat="1" ht="30.95" customHeight="1">
      <c r="C283" s="22">
        <f t="shared" si="4"/>
        <v>276</v>
      </c>
      <c r="D283" s="185" t="s">
        <v>1444</v>
      </c>
      <c r="E283" s="23" t="s">
        <v>1136</v>
      </c>
      <c r="F283" s="23" t="s">
        <v>1137</v>
      </c>
      <c r="G283" s="30">
        <v>280</v>
      </c>
      <c r="H283" s="25" t="s">
        <v>1442</v>
      </c>
      <c r="I283" s="25" t="s">
        <v>244</v>
      </c>
      <c r="J283" s="26"/>
    </row>
    <row r="284" spans="3:10" s="13" customFormat="1" ht="30.95" customHeight="1">
      <c r="C284" s="22">
        <f t="shared" si="4"/>
        <v>277</v>
      </c>
      <c r="D284" s="185" t="s">
        <v>1445</v>
      </c>
      <c r="E284" s="23" t="s">
        <v>1136</v>
      </c>
      <c r="F284" s="23" t="s">
        <v>1137</v>
      </c>
      <c r="G284" s="30">
        <v>230</v>
      </c>
      <c r="H284" s="25" t="s">
        <v>1442</v>
      </c>
      <c r="I284" s="25" t="s">
        <v>244</v>
      </c>
      <c r="J284" s="26"/>
    </row>
    <row r="285" spans="3:10" s="13" customFormat="1" ht="30.95" customHeight="1">
      <c r="C285" s="22">
        <f t="shared" si="4"/>
        <v>278</v>
      </c>
      <c r="D285" s="185" t="s">
        <v>1446</v>
      </c>
      <c r="E285" s="23" t="s">
        <v>1136</v>
      </c>
      <c r="F285" s="23" t="s">
        <v>1137</v>
      </c>
      <c r="G285" s="30">
        <v>250</v>
      </c>
      <c r="H285" s="25" t="s">
        <v>1442</v>
      </c>
      <c r="I285" s="25" t="s">
        <v>244</v>
      </c>
      <c r="J285" s="26"/>
    </row>
    <row r="286" spans="3:10" s="13" customFormat="1" ht="30.95" customHeight="1">
      <c r="C286" s="22">
        <f t="shared" si="4"/>
        <v>279</v>
      </c>
      <c r="D286" s="185" t="s">
        <v>1447</v>
      </c>
      <c r="E286" s="23" t="s">
        <v>1136</v>
      </c>
      <c r="F286" s="23" t="s">
        <v>1137</v>
      </c>
      <c r="G286" s="30">
        <v>460</v>
      </c>
      <c r="H286" s="25" t="s">
        <v>1170</v>
      </c>
      <c r="I286" s="25" t="s">
        <v>244</v>
      </c>
      <c r="J286" s="26"/>
    </row>
    <row r="287" spans="3:10" s="13" customFormat="1" ht="30.95" customHeight="1">
      <c r="C287" s="22">
        <f t="shared" si="4"/>
        <v>280</v>
      </c>
      <c r="D287" s="185" t="s">
        <v>1448</v>
      </c>
      <c r="E287" s="23" t="s">
        <v>1136</v>
      </c>
      <c r="F287" s="23" t="s">
        <v>1137</v>
      </c>
      <c r="G287" s="30">
        <v>180</v>
      </c>
      <c r="H287" s="25" t="s">
        <v>1447</v>
      </c>
      <c r="I287" s="25" t="s">
        <v>244</v>
      </c>
      <c r="J287" s="26"/>
    </row>
    <row r="288" spans="3:10" s="13" customFormat="1" ht="30.95" customHeight="1">
      <c r="C288" s="22">
        <f t="shared" si="4"/>
        <v>281</v>
      </c>
      <c r="D288" s="185" t="s">
        <v>1449</v>
      </c>
      <c r="E288" s="23" t="s">
        <v>1136</v>
      </c>
      <c r="F288" s="23" t="s">
        <v>1137</v>
      </c>
      <c r="G288" s="30">
        <v>450</v>
      </c>
      <c r="H288" s="25" t="s">
        <v>1447</v>
      </c>
      <c r="I288" s="25" t="s">
        <v>244</v>
      </c>
      <c r="J288" s="26"/>
    </row>
    <row r="289" spans="3:10" s="13" customFormat="1" ht="30.95" customHeight="1">
      <c r="C289" s="22">
        <f t="shared" si="4"/>
        <v>282</v>
      </c>
      <c r="D289" s="185" t="s">
        <v>1450</v>
      </c>
      <c r="E289" s="23" t="s">
        <v>1136</v>
      </c>
      <c r="F289" s="23" t="s">
        <v>1137</v>
      </c>
      <c r="G289" s="30">
        <v>180</v>
      </c>
      <c r="H289" s="25" t="s">
        <v>1447</v>
      </c>
      <c r="I289" s="25" t="s">
        <v>244</v>
      </c>
      <c r="J289" s="26"/>
    </row>
    <row r="290" spans="3:10" s="13" customFormat="1" ht="30.95" customHeight="1">
      <c r="C290" s="22">
        <f t="shared" si="4"/>
        <v>283</v>
      </c>
      <c r="D290" s="185" t="s">
        <v>1451</v>
      </c>
      <c r="E290" s="23" t="s">
        <v>1136</v>
      </c>
      <c r="F290" s="23" t="s">
        <v>1137</v>
      </c>
      <c r="G290" s="30">
        <v>450</v>
      </c>
      <c r="H290" s="25" t="s">
        <v>1447</v>
      </c>
      <c r="I290" s="25" t="s">
        <v>244</v>
      </c>
      <c r="J290" s="26"/>
    </row>
    <row r="291" spans="3:10" s="13" customFormat="1" ht="30.95" customHeight="1">
      <c r="C291" s="22">
        <f t="shared" si="4"/>
        <v>284</v>
      </c>
      <c r="D291" s="185" t="s">
        <v>1452</v>
      </c>
      <c r="E291" s="23" t="s">
        <v>1136</v>
      </c>
      <c r="F291" s="23" t="s">
        <v>1137</v>
      </c>
      <c r="G291" s="30">
        <v>780</v>
      </c>
      <c r="H291" s="25" t="s">
        <v>1170</v>
      </c>
      <c r="I291" s="25" t="s">
        <v>244</v>
      </c>
      <c r="J291" s="26"/>
    </row>
    <row r="292" spans="3:10" s="13" customFormat="1" ht="30.95" customHeight="1">
      <c r="C292" s="22">
        <f t="shared" si="4"/>
        <v>285</v>
      </c>
      <c r="D292" s="185" t="s">
        <v>1453</v>
      </c>
      <c r="E292" s="23" t="s">
        <v>1136</v>
      </c>
      <c r="F292" s="23" t="s">
        <v>1137</v>
      </c>
      <c r="G292" s="30">
        <v>170</v>
      </c>
      <c r="H292" s="25" t="s">
        <v>1452</v>
      </c>
      <c r="I292" s="25" t="s">
        <v>244</v>
      </c>
      <c r="J292" s="26"/>
    </row>
    <row r="293" spans="3:10" s="13" customFormat="1" ht="30.95" customHeight="1">
      <c r="C293" s="22">
        <f t="shared" si="4"/>
        <v>286</v>
      </c>
      <c r="D293" s="185" t="s">
        <v>1454</v>
      </c>
      <c r="E293" s="23" t="s">
        <v>1136</v>
      </c>
      <c r="F293" s="23" t="s">
        <v>1137</v>
      </c>
      <c r="G293" s="30">
        <v>180</v>
      </c>
      <c r="H293" s="25" t="s">
        <v>1452</v>
      </c>
      <c r="I293" s="25" t="s">
        <v>244</v>
      </c>
      <c r="J293" s="26"/>
    </row>
    <row r="294" spans="3:10" s="13" customFormat="1" ht="30.95" customHeight="1">
      <c r="C294" s="22">
        <f t="shared" si="4"/>
        <v>287</v>
      </c>
      <c r="D294" s="185" t="s">
        <v>1455</v>
      </c>
      <c r="E294" s="23" t="s">
        <v>1136</v>
      </c>
      <c r="F294" s="23" t="s">
        <v>1137</v>
      </c>
      <c r="G294" s="30">
        <v>170</v>
      </c>
      <c r="H294" s="25" t="s">
        <v>1452</v>
      </c>
      <c r="I294" s="25" t="s">
        <v>244</v>
      </c>
      <c r="J294" s="26"/>
    </row>
    <row r="295" spans="3:10" s="13" customFormat="1" ht="30.95" customHeight="1">
      <c r="C295" s="22">
        <f t="shared" si="4"/>
        <v>288</v>
      </c>
      <c r="D295" s="185" t="s">
        <v>1456</v>
      </c>
      <c r="E295" s="23" t="s">
        <v>1136</v>
      </c>
      <c r="F295" s="23" t="s">
        <v>1137</v>
      </c>
      <c r="G295" s="30">
        <v>180</v>
      </c>
      <c r="H295" s="25" t="s">
        <v>1452</v>
      </c>
      <c r="I295" s="25" t="s">
        <v>244</v>
      </c>
      <c r="J295" s="26"/>
    </row>
    <row r="296" spans="3:10" s="13" customFormat="1" ht="30.95" customHeight="1">
      <c r="C296" s="22">
        <f t="shared" si="4"/>
        <v>289</v>
      </c>
      <c r="D296" s="185" t="s">
        <v>1457</v>
      </c>
      <c r="E296" s="23" t="s">
        <v>1136</v>
      </c>
      <c r="F296" s="23" t="s">
        <v>1137</v>
      </c>
      <c r="G296" s="30">
        <v>500</v>
      </c>
      <c r="H296" s="25" t="s">
        <v>1170</v>
      </c>
      <c r="I296" s="25" t="s">
        <v>244</v>
      </c>
      <c r="J296" s="26"/>
    </row>
    <row r="297" spans="3:10" s="13" customFormat="1" ht="30.95" customHeight="1">
      <c r="C297" s="22">
        <f t="shared" si="4"/>
        <v>290</v>
      </c>
      <c r="D297" s="185" t="s">
        <v>1458</v>
      </c>
      <c r="E297" s="23" t="s">
        <v>1136</v>
      </c>
      <c r="F297" s="23" t="s">
        <v>1137</v>
      </c>
      <c r="G297" s="30">
        <v>250</v>
      </c>
      <c r="H297" s="25" t="s">
        <v>1457</v>
      </c>
      <c r="I297" s="25" t="s">
        <v>244</v>
      </c>
      <c r="J297" s="26"/>
    </row>
    <row r="298" spans="3:10" s="13" customFormat="1" ht="30.95" customHeight="1">
      <c r="C298" s="22">
        <f t="shared" si="4"/>
        <v>291</v>
      </c>
      <c r="D298" s="185" t="s">
        <v>1459</v>
      </c>
      <c r="E298" s="23" t="s">
        <v>1136</v>
      </c>
      <c r="F298" s="23" t="s">
        <v>1137</v>
      </c>
      <c r="G298" s="30">
        <v>170</v>
      </c>
      <c r="H298" s="25" t="s">
        <v>1457</v>
      </c>
      <c r="I298" s="25" t="s">
        <v>244</v>
      </c>
      <c r="J298" s="26"/>
    </row>
    <row r="299" spans="3:10" s="13" customFormat="1" ht="30.95" customHeight="1">
      <c r="C299" s="22">
        <f t="shared" si="4"/>
        <v>292</v>
      </c>
      <c r="D299" s="185" t="s">
        <v>1460</v>
      </c>
      <c r="E299" s="23" t="s">
        <v>1136</v>
      </c>
      <c r="F299" s="23" t="s">
        <v>1137</v>
      </c>
      <c r="G299" s="30">
        <v>250</v>
      </c>
      <c r="H299" s="25" t="s">
        <v>1457</v>
      </c>
      <c r="I299" s="25" t="s">
        <v>244</v>
      </c>
      <c r="J299" s="26"/>
    </row>
    <row r="300" spans="3:10" s="13" customFormat="1" ht="30.95" customHeight="1">
      <c r="C300" s="22">
        <f t="shared" si="4"/>
        <v>293</v>
      </c>
      <c r="D300" s="186" t="s">
        <v>1461</v>
      </c>
      <c r="E300" s="23" t="s">
        <v>1136</v>
      </c>
      <c r="F300" s="23" t="s">
        <v>1137</v>
      </c>
      <c r="G300" s="24">
        <v>170</v>
      </c>
      <c r="H300" s="25" t="s">
        <v>1457</v>
      </c>
      <c r="I300" s="25" t="s">
        <v>244</v>
      </c>
      <c r="J300" s="26"/>
    </row>
    <row r="301" spans="3:10" s="13" customFormat="1" ht="30.95" customHeight="1">
      <c r="C301" s="22">
        <f t="shared" si="4"/>
        <v>294</v>
      </c>
      <c r="D301" s="187" t="s">
        <v>1170</v>
      </c>
      <c r="E301" s="23" t="s">
        <v>1136</v>
      </c>
      <c r="F301" s="23" t="s">
        <v>1137</v>
      </c>
      <c r="G301" s="29">
        <v>10979</v>
      </c>
      <c r="H301" s="25" t="s">
        <v>1462</v>
      </c>
      <c r="I301" s="25" t="s">
        <v>1463</v>
      </c>
      <c r="J301" s="26"/>
    </row>
    <row r="302" spans="3:10" s="13" customFormat="1" ht="30.95" customHeight="1">
      <c r="C302" s="22">
        <f t="shared" si="4"/>
        <v>295</v>
      </c>
      <c r="D302" s="186" t="s">
        <v>1464</v>
      </c>
      <c r="E302" s="23" t="s">
        <v>1136</v>
      </c>
      <c r="F302" s="23" t="s">
        <v>1137</v>
      </c>
      <c r="G302" s="24">
        <v>13350</v>
      </c>
      <c r="H302" s="25" t="s">
        <v>1111</v>
      </c>
      <c r="I302" s="25" t="s">
        <v>1465</v>
      </c>
      <c r="J302" s="26"/>
    </row>
    <row r="303" spans="3:10" s="13" customFormat="1" ht="30.95" customHeight="1">
      <c r="C303" s="22">
        <f t="shared" si="4"/>
        <v>296</v>
      </c>
      <c r="D303" s="166" t="s">
        <v>1466</v>
      </c>
      <c r="E303" s="23" t="s">
        <v>1136</v>
      </c>
      <c r="F303" s="23" t="s">
        <v>1137</v>
      </c>
      <c r="G303" s="31">
        <v>2018</v>
      </c>
      <c r="H303" s="25" t="s">
        <v>1467</v>
      </c>
      <c r="I303" s="25" t="s">
        <v>1468</v>
      </c>
      <c r="J303" s="26"/>
    </row>
    <row r="304" spans="3:10" s="13" customFormat="1" ht="30.95" customHeight="1">
      <c r="C304" s="22">
        <f t="shared" si="4"/>
        <v>297</v>
      </c>
      <c r="D304" s="183" t="s">
        <v>1469</v>
      </c>
      <c r="E304" s="23" t="s">
        <v>1136</v>
      </c>
      <c r="F304" s="23" t="s">
        <v>1137</v>
      </c>
      <c r="G304" s="24">
        <v>1805</v>
      </c>
      <c r="H304" s="25" t="s">
        <v>1470</v>
      </c>
      <c r="I304" s="25" t="s">
        <v>1471</v>
      </c>
      <c r="J304" s="32"/>
    </row>
    <row r="305" spans="3:10" s="13" customFormat="1" ht="30.95" customHeight="1">
      <c r="C305" s="22">
        <f t="shared" si="4"/>
        <v>298</v>
      </c>
      <c r="D305" s="183" t="s">
        <v>1472</v>
      </c>
      <c r="E305" s="23" t="s">
        <v>1136</v>
      </c>
      <c r="F305" s="23" t="s">
        <v>1137</v>
      </c>
      <c r="G305" s="24">
        <v>397</v>
      </c>
      <c r="H305" s="25" t="s">
        <v>1473</v>
      </c>
      <c r="I305" s="25" t="s">
        <v>1474</v>
      </c>
      <c r="J305" s="32"/>
    </row>
    <row r="306" spans="3:10" s="13" customFormat="1" ht="30.95" customHeight="1">
      <c r="C306" s="22">
        <f t="shared" si="4"/>
        <v>299</v>
      </c>
      <c r="D306" s="183" t="s">
        <v>1475</v>
      </c>
      <c r="E306" s="23" t="s">
        <v>1136</v>
      </c>
      <c r="F306" s="23" t="s">
        <v>1137</v>
      </c>
      <c r="G306" s="24">
        <v>556</v>
      </c>
      <c r="H306" s="25" t="s">
        <v>1476</v>
      </c>
      <c r="I306" s="25" t="s">
        <v>1477</v>
      </c>
      <c r="J306" s="32"/>
    </row>
    <row r="307" spans="3:10" s="13" customFormat="1" ht="30.95" customHeight="1">
      <c r="C307" s="22">
        <f t="shared" si="4"/>
        <v>300</v>
      </c>
      <c r="D307" s="183" t="s">
        <v>1478</v>
      </c>
      <c r="E307" s="23" t="s">
        <v>1136</v>
      </c>
      <c r="F307" s="23" t="s">
        <v>1137</v>
      </c>
      <c r="G307" s="24">
        <v>1008</v>
      </c>
      <c r="H307" s="25" t="s">
        <v>1117</v>
      </c>
      <c r="I307" s="25" t="s">
        <v>1111</v>
      </c>
      <c r="J307" s="32"/>
    </row>
    <row r="308" spans="3:10" s="13" customFormat="1" ht="30.95" customHeight="1">
      <c r="C308" s="22">
        <f t="shared" si="4"/>
        <v>301</v>
      </c>
      <c r="D308" s="183" t="s">
        <v>1479</v>
      </c>
      <c r="E308" s="23" t="s">
        <v>1136</v>
      </c>
      <c r="F308" s="23" t="s">
        <v>1137</v>
      </c>
      <c r="G308" s="24">
        <v>1806</v>
      </c>
      <c r="H308" s="25" t="s">
        <v>1473</v>
      </c>
      <c r="I308" s="25" t="s">
        <v>1471</v>
      </c>
      <c r="J308" s="32"/>
    </row>
    <row r="309" spans="3:10" s="13" customFormat="1" ht="30.95" customHeight="1">
      <c r="C309" s="22">
        <f t="shared" si="4"/>
        <v>302</v>
      </c>
      <c r="D309" s="183" t="s">
        <v>1480</v>
      </c>
      <c r="E309" s="23" t="s">
        <v>1136</v>
      </c>
      <c r="F309" s="23" t="s">
        <v>1137</v>
      </c>
      <c r="G309" s="24">
        <v>1868</v>
      </c>
      <c r="H309" s="25" t="s">
        <v>1473</v>
      </c>
      <c r="I309" s="25" t="s">
        <v>1471</v>
      </c>
      <c r="J309" s="32"/>
    </row>
    <row r="310" spans="3:10" s="13" customFormat="1" ht="30.95" customHeight="1">
      <c r="C310" s="22">
        <f t="shared" si="4"/>
        <v>303</v>
      </c>
      <c r="D310" s="183" t="s">
        <v>1481</v>
      </c>
      <c r="E310" s="23" t="s">
        <v>1136</v>
      </c>
      <c r="F310" s="23" t="s">
        <v>1137</v>
      </c>
      <c r="G310" s="24">
        <v>1548</v>
      </c>
      <c r="H310" s="25" t="s">
        <v>1482</v>
      </c>
      <c r="I310" s="25" t="s">
        <v>1483</v>
      </c>
      <c r="J310" s="32"/>
    </row>
    <row r="311" spans="3:10" s="13" customFormat="1" ht="30.95" customHeight="1">
      <c r="C311" s="22">
        <f t="shared" si="4"/>
        <v>304</v>
      </c>
      <c r="D311" s="183" t="s">
        <v>1484</v>
      </c>
      <c r="E311" s="23" t="s">
        <v>1136</v>
      </c>
      <c r="F311" s="23" t="s">
        <v>1137</v>
      </c>
      <c r="G311" s="24">
        <v>2022</v>
      </c>
      <c r="H311" s="25" t="s">
        <v>1485</v>
      </c>
      <c r="I311" s="25" t="s">
        <v>1471</v>
      </c>
      <c r="J311" s="32"/>
    </row>
    <row r="312" spans="3:10" s="13" customFormat="1" ht="30.95" customHeight="1">
      <c r="C312" s="22">
        <f t="shared" si="4"/>
        <v>305</v>
      </c>
      <c r="D312" s="183" t="s">
        <v>1486</v>
      </c>
      <c r="E312" s="23" t="s">
        <v>1136</v>
      </c>
      <c r="F312" s="23" t="s">
        <v>1137</v>
      </c>
      <c r="G312" s="24">
        <v>791</v>
      </c>
      <c r="H312" s="25" t="s">
        <v>1482</v>
      </c>
      <c r="I312" s="25" t="s">
        <v>1487</v>
      </c>
      <c r="J312" s="32"/>
    </row>
    <row r="313" spans="3:10" s="13" customFormat="1" ht="30.95" customHeight="1">
      <c r="C313" s="22">
        <f t="shared" si="4"/>
        <v>306</v>
      </c>
      <c r="D313" s="183" t="s">
        <v>1488</v>
      </c>
      <c r="E313" s="23" t="s">
        <v>1136</v>
      </c>
      <c r="F313" s="23" t="s">
        <v>1137</v>
      </c>
      <c r="G313" s="24">
        <v>1590</v>
      </c>
      <c r="H313" s="25" t="s">
        <v>1489</v>
      </c>
      <c r="I313" s="25" t="s">
        <v>1111</v>
      </c>
      <c r="J313" s="32"/>
    </row>
    <row r="314" spans="3:10" s="13" customFormat="1" ht="30.95" customHeight="1">
      <c r="C314" s="22">
        <f t="shared" si="4"/>
        <v>307</v>
      </c>
      <c r="D314" s="183" t="s">
        <v>1490</v>
      </c>
      <c r="E314" s="23" t="s">
        <v>1136</v>
      </c>
      <c r="F314" s="23" t="s">
        <v>1137</v>
      </c>
      <c r="G314" s="24">
        <v>1794</v>
      </c>
      <c r="H314" s="25" t="s">
        <v>1491</v>
      </c>
      <c r="I314" s="25" t="s">
        <v>1492</v>
      </c>
      <c r="J314" s="32"/>
    </row>
    <row r="315" spans="3:10" s="13" customFormat="1" ht="30.95" customHeight="1">
      <c r="C315" s="22">
        <f t="shared" si="4"/>
        <v>308</v>
      </c>
      <c r="D315" s="183" t="s">
        <v>1493</v>
      </c>
      <c r="E315" s="23" t="s">
        <v>1136</v>
      </c>
      <c r="F315" s="23" t="s">
        <v>1137</v>
      </c>
      <c r="G315" s="24">
        <v>1618</v>
      </c>
      <c r="H315" s="25" t="s">
        <v>1482</v>
      </c>
      <c r="I315" s="25" t="s">
        <v>1494</v>
      </c>
      <c r="J315" s="32"/>
    </row>
    <row r="316" spans="3:10" s="13" customFormat="1" ht="30.95" customHeight="1">
      <c r="C316" s="22">
        <f t="shared" si="4"/>
        <v>309</v>
      </c>
      <c r="D316" s="183" t="s">
        <v>1495</v>
      </c>
      <c r="E316" s="23" t="s">
        <v>1136</v>
      </c>
      <c r="F316" s="23" t="s">
        <v>1137</v>
      </c>
      <c r="G316" s="24">
        <v>992</v>
      </c>
      <c r="H316" s="25" t="s">
        <v>1496</v>
      </c>
      <c r="I316" s="25" t="s">
        <v>1494</v>
      </c>
      <c r="J316" s="32"/>
    </row>
    <row r="317" spans="3:10" s="13" customFormat="1" ht="30.95" customHeight="1">
      <c r="C317" s="22">
        <f t="shared" si="4"/>
        <v>310</v>
      </c>
      <c r="D317" s="183" t="s">
        <v>1497</v>
      </c>
      <c r="E317" s="23" t="s">
        <v>1136</v>
      </c>
      <c r="F317" s="23" t="s">
        <v>1137</v>
      </c>
      <c r="G317" s="24">
        <v>694</v>
      </c>
      <c r="H317" s="25" t="s">
        <v>1482</v>
      </c>
      <c r="I317" s="25" t="s">
        <v>1498</v>
      </c>
      <c r="J317" s="32"/>
    </row>
    <row r="318" spans="3:10" s="13" customFormat="1" ht="30.95" customHeight="1">
      <c r="C318" s="22">
        <f t="shared" si="4"/>
        <v>311</v>
      </c>
      <c r="D318" s="183" t="s">
        <v>1499</v>
      </c>
      <c r="E318" s="23" t="s">
        <v>1136</v>
      </c>
      <c r="F318" s="23" t="s">
        <v>1137</v>
      </c>
      <c r="G318" s="24">
        <v>326</v>
      </c>
      <c r="H318" s="25" t="s">
        <v>1111</v>
      </c>
      <c r="I318" s="25" t="s">
        <v>1494</v>
      </c>
      <c r="J318" s="32"/>
    </row>
    <row r="319" spans="3:10" s="13" customFormat="1" ht="30.95" customHeight="1">
      <c r="C319" s="22">
        <f t="shared" si="4"/>
        <v>312</v>
      </c>
      <c r="D319" s="183" t="s">
        <v>1500</v>
      </c>
      <c r="E319" s="23" t="s">
        <v>1136</v>
      </c>
      <c r="F319" s="23" t="s">
        <v>1137</v>
      </c>
      <c r="G319" s="24">
        <v>1953</v>
      </c>
      <c r="H319" s="25" t="s">
        <v>1501</v>
      </c>
      <c r="I319" s="25" t="s">
        <v>1502</v>
      </c>
      <c r="J319" s="32"/>
    </row>
    <row r="320" spans="3:10" s="13" customFormat="1" ht="30.95" customHeight="1">
      <c r="C320" s="22">
        <f t="shared" si="4"/>
        <v>313</v>
      </c>
      <c r="D320" s="183" t="s">
        <v>1503</v>
      </c>
      <c r="E320" s="23" t="s">
        <v>1136</v>
      </c>
      <c r="F320" s="23" t="s">
        <v>1137</v>
      </c>
      <c r="G320" s="24">
        <v>1600</v>
      </c>
      <c r="H320" s="25" t="s">
        <v>1501</v>
      </c>
      <c r="I320" s="25" t="s">
        <v>1504</v>
      </c>
      <c r="J320" s="32"/>
    </row>
    <row r="321" spans="3:10" s="13" customFormat="1" ht="30.95" customHeight="1">
      <c r="C321" s="22">
        <f t="shared" si="4"/>
        <v>314</v>
      </c>
      <c r="D321" s="183" t="s">
        <v>1505</v>
      </c>
      <c r="E321" s="23" t="s">
        <v>1136</v>
      </c>
      <c r="F321" s="23" t="s">
        <v>1137</v>
      </c>
      <c r="G321" s="24">
        <v>1700</v>
      </c>
      <c r="H321" s="25" t="s">
        <v>1501</v>
      </c>
      <c r="I321" s="25" t="s">
        <v>1506</v>
      </c>
      <c r="J321" s="32"/>
    </row>
    <row r="322" spans="3:10" s="13" customFormat="1" ht="30.95" customHeight="1">
      <c r="C322" s="22">
        <f t="shared" si="4"/>
        <v>315</v>
      </c>
      <c r="D322" s="183" t="s">
        <v>1507</v>
      </c>
      <c r="E322" s="23" t="s">
        <v>1136</v>
      </c>
      <c r="F322" s="23" t="s">
        <v>1137</v>
      </c>
      <c r="G322" s="24">
        <v>1800</v>
      </c>
      <c r="H322" s="25" t="s">
        <v>1117</v>
      </c>
      <c r="I322" s="25" t="s">
        <v>1464</v>
      </c>
      <c r="J322" s="32"/>
    </row>
    <row r="323" spans="3:10" s="13" customFormat="1" ht="30.95" customHeight="1">
      <c r="C323" s="22">
        <f t="shared" si="4"/>
        <v>316</v>
      </c>
      <c r="D323" s="183" t="s">
        <v>1508</v>
      </c>
      <c r="E323" s="23" t="s">
        <v>1136</v>
      </c>
      <c r="F323" s="23" t="s">
        <v>1137</v>
      </c>
      <c r="G323" s="24">
        <v>1650</v>
      </c>
      <c r="H323" s="25" t="s">
        <v>1509</v>
      </c>
      <c r="I323" s="25" t="s">
        <v>1464</v>
      </c>
      <c r="J323" s="32"/>
    </row>
    <row r="324" spans="3:10" s="13" customFormat="1" ht="30.95" customHeight="1">
      <c r="C324" s="22">
        <f t="shared" si="4"/>
        <v>317</v>
      </c>
      <c r="D324" s="183" t="s">
        <v>1510</v>
      </c>
      <c r="E324" s="23" t="s">
        <v>1136</v>
      </c>
      <c r="F324" s="23" t="s">
        <v>1137</v>
      </c>
      <c r="G324" s="24">
        <v>1683</v>
      </c>
      <c r="H324" s="25" t="s">
        <v>1509</v>
      </c>
      <c r="I324" s="25" t="s">
        <v>1464</v>
      </c>
      <c r="J324" s="32"/>
    </row>
    <row r="325" spans="3:10" s="13" customFormat="1" ht="30.95" customHeight="1">
      <c r="C325" s="22">
        <f t="shared" si="4"/>
        <v>318</v>
      </c>
      <c r="D325" s="183" t="s">
        <v>1511</v>
      </c>
      <c r="E325" s="23" t="s">
        <v>1136</v>
      </c>
      <c r="F325" s="23" t="s">
        <v>1137</v>
      </c>
      <c r="G325" s="24">
        <v>1350</v>
      </c>
      <c r="H325" s="25" t="s">
        <v>1496</v>
      </c>
      <c r="I325" s="25" t="s">
        <v>1494</v>
      </c>
      <c r="J325" s="32"/>
    </row>
    <row r="326" spans="3:10" s="13" customFormat="1" ht="30.95" customHeight="1">
      <c r="C326" s="22">
        <f t="shared" si="4"/>
        <v>319</v>
      </c>
      <c r="D326" s="185" t="s">
        <v>1512</v>
      </c>
      <c r="E326" s="23" t="s">
        <v>1136</v>
      </c>
      <c r="F326" s="23" t="s">
        <v>1137</v>
      </c>
      <c r="G326" s="24">
        <v>900</v>
      </c>
      <c r="H326" s="25" t="s">
        <v>1111</v>
      </c>
      <c r="I326" s="25" t="s">
        <v>1464</v>
      </c>
      <c r="J326" s="32"/>
    </row>
    <row r="327" spans="3:10" s="13" customFormat="1" ht="30.95" customHeight="1">
      <c r="C327" s="22">
        <f t="shared" si="4"/>
        <v>320</v>
      </c>
      <c r="D327" s="185" t="s">
        <v>1513</v>
      </c>
      <c r="E327" s="23" t="s">
        <v>1136</v>
      </c>
      <c r="F327" s="23" t="s">
        <v>1137</v>
      </c>
      <c r="G327" s="24">
        <v>600</v>
      </c>
      <c r="H327" s="25" t="s">
        <v>1111</v>
      </c>
      <c r="I327" s="25" t="s">
        <v>1464</v>
      </c>
      <c r="J327" s="32"/>
    </row>
    <row r="328" spans="3:10" s="13" customFormat="1" ht="30.95" customHeight="1">
      <c r="C328" s="22">
        <f t="shared" si="4"/>
        <v>321</v>
      </c>
      <c r="D328" s="185" t="s">
        <v>1514</v>
      </c>
      <c r="E328" s="23" t="s">
        <v>1136</v>
      </c>
      <c r="F328" s="23" t="s">
        <v>1137</v>
      </c>
      <c r="G328" s="24">
        <v>300</v>
      </c>
      <c r="H328" s="25" t="s">
        <v>1111</v>
      </c>
      <c r="I328" s="25" t="s">
        <v>1464</v>
      </c>
      <c r="J328" s="32"/>
    </row>
    <row r="329" spans="3:10" s="13" customFormat="1" ht="30.95" customHeight="1">
      <c r="C329" s="22">
        <f t="shared" si="4"/>
        <v>322</v>
      </c>
      <c r="D329" s="185" t="s">
        <v>1515</v>
      </c>
      <c r="E329" s="23" t="s">
        <v>1136</v>
      </c>
      <c r="F329" s="23" t="s">
        <v>1137</v>
      </c>
      <c r="G329" s="30">
        <v>500</v>
      </c>
      <c r="H329" s="25" t="s">
        <v>1511</v>
      </c>
      <c r="I329" s="25" t="s">
        <v>244</v>
      </c>
      <c r="J329" s="32"/>
    </row>
    <row r="330" spans="3:10" s="13" customFormat="1" ht="30.95" customHeight="1">
      <c r="C330" s="22">
        <f t="shared" ref="C330:C393" si="5">C329+1</f>
        <v>323</v>
      </c>
      <c r="D330" s="185" t="s">
        <v>1516</v>
      </c>
      <c r="E330" s="23" t="s">
        <v>1136</v>
      </c>
      <c r="F330" s="23" t="s">
        <v>1137</v>
      </c>
      <c r="G330" s="30">
        <v>500</v>
      </c>
      <c r="H330" s="25" t="s">
        <v>1511</v>
      </c>
      <c r="I330" s="25" t="s">
        <v>244</v>
      </c>
      <c r="J330" s="32"/>
    </row>
    <row r="331" spans="3:10" s="13" customFormat="1" ht="30.95" customHeight="1">
      <c r="C331" s="22">
        <f t="shared" si="5"/>
        <v>324</v>
      </c>
      <c r="D331" s="185" t="s">
        <v>1517</v>
      </c>
      <c r="E331" s="23" t="s">
        <v>1136</v>
      </c>
      <c r="F331" s="23" t="s">
        <v>1137</v>
      </c>
      <c r="G331" s="30">
        <v>500</v>
      </c>
      <c r="H331" s="25" t="s">
        <v>1511</v>
      </c>
      <c r="I331" s="25" t="s">
        <v>244</v>
      </c>
      <c r="J331" s="32"/>
    </row>
    <row r="332" spans="3:10" s="13" customFormat="1" ht="30.95" customHeight="1">
      <c r="C332" s="22">
        <f t="shared" si="5"/>
        <v>325</v>
      </c>
      <c r="D332" s="185" t="s">
        <v>1518</v>
      </c>
      <c r="E332" s="23" t="s">
        <v>1136</v>
      </c>
      <c r="F332" s="23" t="s">
        <v>1137</v>
      </c>
      <c r="G332" s="30">
        <v>500</v>
      </c>
      <c r="H332" s="25" t="s">
        <v>1511</v>
      </c>
      <c r="I332" s="25" t="s">
        <v>244</v>
      </c>
      <c r="J332" s="32"/>
    </row>
    <row r="333" spans="3:10" s="13" customFormat="1" ht="30.95" customHeight="1">
      <c r="C333" s="22">
        <f t="shared" si="5"/>
        <v>326</v>
      </c>
      <c r="D333" s="185" t="s">
        <v>1519</v>
      </c>
      <c r="E333" s="23" t="s">
        <v>1136</v>
      </c>
      <c r="F333" s="23" t="s">
        <v>1137</v>
      </c>
      <c r="G333" s="30">
        <v>400</v>
      </c>
      <c r="H333" s="25" t="s">
        <v>1511</v>
      </c>
      <c r="I333" s="25" t="s">
        <v>244</v>
      </c>
      <c r="J333" s="32"/>
    </row>
    <row r="334" spans="3:10" s="13" customFormat="1" ht="30.95" customHeight="1">
      <c r="C334" s="22">
        <f t="shared" si="5"/>
        <v>327</v>
      </c>
      <c r="D334" s="185" t="s">
        <v>1520</v>
      </c>
      <c r="E334" s="23" t="s">
        <v>1136</v>
      </c>
      <c r="F334" s="23" t="s">
        <v>1137</v>
      </c>
      <c r="G334" s="30">
        <v>250</v>
      </c>
      <c r="H334" s="25" t="s">
        <v>1512</v>
      </c>
      <c r="I334" s="25" t="s">
        <v>244</v>
      </c>
      <c r="J334" s="32"/>
    </row>
    <row r="335" spans="3:10" s="13" customFormat="1" ht="30.95" customHeight="1">
      <c r="C335" s="22">
        <f t="shared" si="5"/>
        <v>328</v>
      </c>
      <c r="D335" s="185" t="s">
        <v>1521</v>
      </c>
      <c r="E335" s="23" t="s">
        <v>1136</v>
      </c>
      <c r="F335" s="23" t="s">
        <v>1137</v>
      </c>
      <c r="G335" s="30">
        <v>400</v>
      </c>
      <c r="H335" s="25" t="s">
        <v>1512</v>
      </c>
      <c r="I335" s="25" t="s">
        <v>244</v>
      </c>
      <c r="J335" s="32"/>
    </row>
    <row r="336" spans="3:10" s="13" customFormat="1" ht="30.95" customHeight="1">
      <c r="C336" s="22">
        <f t="shared" si="5"/>
        <v>329</v>
      </c>
      <c r="D336" s="185" t="s">
        <v>1522</v>
      </c>
      <c r="E336" s="23" t="s">
        <v>1136</v>
      </c>
      <c r="F336" s="23" t="s">
        <v>1137</v>
      </c>
      <c r="G336" s="30">
        <v>300</v>
      </c>
      <c r="H336" s="25" t="s">
        <v>1512</v>
      </c>
      <c r="I336" s="25" t="s">
        <v>244</v>
      </c>
      <c r="J336" s="32"/>
    </row>
    <row r="337" spans="3:10" s="13" customFormat="1" ht="30.95" customHeight="1">
      <c r="C337" s="22">
        <f t="shared" si="5"/>
        <v>330</v>
      </c>
      <c r="D337" s="185" t="s">
        <v>1523</v>
      </c>
      <c r="E337" s="23" t="s">
        <v>1136</v>
      </c>
      <c r="F337" s="23" t="s">
        <v>1137</v>
      </c>
      <c r="G337" s="30">
        <v>300</v>
      </c>
      <c r="H337" s="25" t="s">
        <v>1512</v>
      </c>
      <c r="I337" s="25" t="s">
        <v>244</v>
      </c>
      <c r="J337" s="32"/>
    </row>
    <row r="338" spans="3:10" s="13" customFormat="1" ht="30.95" customHeight="1">
      <c r="C338" s="22">
        <f t="shared" si="5"/>
        <v>331</v>
      </c>
      <c r="D338" s="185" t="s">
        <v>1524</v>
      </c>
      <c r="E338" s="23" t="s">
        <v>1136</v>
      </c>
      <c r="F338" s="23" t="s">
        <v>1137</v>
      </c>
      <c r="G338" s="30">
        <v>200</v>
      </c>
      <c r="H338" s="25" t="s">
        <v>1513</v>
      </c>
      <c r="I338" s="25" t="s">
        <v>244</v>
      </c>
      <c r="J338" s="32"/>
    </row>
    <row r="339" spans="3:10" s="13" customFormat="1" ht="30.95" customHeight="1">
      <c r="C339" s="22">
        <f t="shared" si="5"/>
        <v>332</v>
      </c>
      <c r="D339" s="185" t="s">
        <v>1525</v>
      </c>
      <c r="E339" s="23" t="s">
        <v>1136</v>
      </c>
      <c r="F339" s="23" t="s">
        <v>1137</v>
      </c>
      <c r="G339" s="30">
        <v>500</v>
      </c>
      <c r="H339" s="25" t="s">
        <v>1513</v>
      </c>
      <c r="I339" s="25" t="s">
        <v>244</v>
      </c>
      <c r="J339" s="32"/>
    </row>
    <row r="340" spans="3:10" s="13" customFormat="1" ht="30.95" customHeight="1">
      <c r="C340" s="22">
        <f t="shared" si="5"/>
        <v>333</v>
      </c>
      <c r="D340" s="185" t="s">
        <v>1526</v>
      </c>
      <c r="E340" s="23" t="s">
        <v>1136</v>
      </c>
      <c r="F340" s="23" t="s">
        <v>1137</v>
      </c>
      <c r="G340" s="30">
        <v>500</v>
      </c>
      <c r="H340" s="25" t="s">
        <v>1513</v>
      </c>
      <c r="I340" s="25" t="s">
        <v>244</v>
      </c>
      <c r="J340" s="32"/>
    </row>
    <row r="341" spans="3:10" s="13" customFormat="1" ht="30.95" customHeight="1">
      <c r="C341" s="22">
        <f t="shared" si="5"/>
        <v>334</v>
      </c>
      <c r="D341" s="185" t="s">
        <v>1527</v>
      </c>
      <c r="E341" s="23" t="s">
        <v>1136</v>
      </c>
      <c r="F341" s="23" t="s">
        <v>1137</v>
      </c>
      <c r="G341" s="30">
        <v>150</v>
      </c>
      <c r="H341" s="25" t="s">
        <v>1514</v>
      </c>
      <c r="I341" s="25" t="s">
        <v>244</v>
      </c>
      <c r="J341" s="32"/>
    </row>
    <row r="342" spans="3:10" s="13" customFormat="1" ht="30.95" customHeight="1">
      <c r="C342" s="22">
        <f t="shared" si="5"/>
        <v>335</v>
      </c>
      <c r="D342" s="185" t="s">
        <v>1528</v>
      </c>
      <c r="E342" s="23" t="s">
        <v>1136</v>
      </c>
      <c r="F342" s="23" t="s">
        <v>1137</v>
      </c>
      <c r="G342" s="30">
        <v>500</v>
      </c>
      <c r="H342" s="25" t="s">
        <v>1514</v>
      </c>
      <c r="I342" s="25" t="s">
        <v>244</v>
      </c>
      <c r="J342" s="32"/>
    </row>
    <row r="343" spans="3:10" s="13" customFormat="1" ht="30.95" customHeight="1">
      <c r="C343" s="22">
        <f t="shared" si="5"/>
        <v>336</v>
      </c>
      <c r="D343" s="181" t="s">
        <v>1529</v>
      </c>
      <c r="E343" s="23" t="s">
        <v>1136</v>
      </c>
      <c r="F343" s="23" t="s">
        <v>1137</v>
      </c>
      <c r="G343" s="24">
        <v>1000</v>
      </c>
      <c r="H343" s="25" t="s">
        <v>1163</v>
      </c>
      <c r="I343" s="25" t="s">
        <v>244</v>
      </c>
      <c r="J343" s="32"/>
    </row>
    <row r="344" spans="3:10" s="13" customFormat="1" ht="30.95" customHeight="1">
      <c r="C344" s="22">
        <f t="shared" si="5"/>
        <v>337</v>
      </c>
      <c r="D344" s="181" t="s">
        <v>1530</v>
      </c>
      <c r="E344" s="23" t="s">
        <v>1136</v>
      </c>
      <c r="F344" s="23" t="s">
        <v>1137</v>
      </c>
      <c r="G344" s="24">
        <v>1794</v>
      </c>
      <c r="H344" s="25" t="s">
        <v>1163</v>
      </c>
      <c r="I344" s="25" t="s">
        <v>1170</v>
      </c>
      <c r="J344" s="32"/>
    </row>
    <row r="345" spans="3:10" s="13" customFormat="1" ht="30.95" customHeight="1">
      <c r="C345" s="22">
        <f t="shared" si="5"/>
        <v>338</v>
      </c>
      <c r="D345" s="181" t="s">
        <v>1531</v>
      </c>
      <c r="E345" s="23" t="s">
        <v>1136</v>
      </c>
      <c r="F345" s="23" t="s">
        <v>1137</v>
      </c>
      <c r="G345" s="24">
        <v>1700</v>
      </c>
      <c r="H345" s="25" t="s">
        <v>1163</v>
      </c>
      <c r="I345" s="25" t="s">
        <v>1170</v>
      </c>
      <c r="J345" s="32"/>
    </row>
    <row r="346" spans="3:10" s="13" customFormat="1" ht="30.95" customHeight="1">
      <c r="C346" s="22">
        <f t="shared" si="5"/>
        <v>339</v>
      </c>
      <c r="D346" s="181" t="s">
        <v>1532</v>
      </c>
      <c r="E346" s="23" t="s">
        <v>1136</v>
      </c>
      <c r="F346" s="23" t="s">
        <v>1137</v>
      </c>
      <c r="G346" s="24">
        <v>1800</v>
      </c>
      <c r="H346" s="25" t="s">
        <v>1163</v>
      </c>
      <c r="I346" s="25" t="s">
        <v>1170</v>
      </c>
      <c r="J346" s="32"/>
    </row>
    <row r="347" spans="3:10" s="13" customFormat="1" ht="30.95" customHeight="1">
      <c r="C347" s="22">
        <f t="shared" si="5"/>
        <v>340</v>
      </c>
      <c r="D347" s="185" t="s">
        <v>1533</v>
      </c>
      <c r="E347" s="23" t="s">
        <v>1136</v>
      </c>
      <c r="F347" s="23" t="s">
        <v>1137</v>
      </c>
      <c r="G347" s="29">
        <v>500</v>
      </c>
      <c r="H347" s="25" t="s">
        <v>1534</v>
      </c>
      <c r="I347" s="25" t="s">
        <v>244</v>
      </c>
      <c r="J347" s="32"/>
    </row>
    <row r="348" spans="3:10" s="13" customFormat="1" ht="30.95" customHeight="1">
      <c r="C348" s="22">
        <f t="shared" si="5"/>
        <v>341</v>
      </c>
      <c r="D348" s="185" t="s">
        <v>1535</v>
      </c>
      <c r="E348" s="23" t="s">
        <v>1136</v>
      </c>
      <c r="F348" s="23" t="s">
        <v>1137</v>
      </c>
      <c r="G348" s="29">
        <v>500</v>
      </c>
      <c r="H348" s="25" t="s">
        <v>1534</v>
      </c>
      <c r="I348" s="25" t="s">
        <v>244</v>
      </c>
      <c r="J348" s="32"/>
    </row>
    <row r="349" spans="3:10" s="13" customFormat="1" ht="30.95" customHeight="1">
      <c r="C349" s="22">
        <f t="shared" si="5"/>
        <v>342</v>
      </c>
      <c r="D349" s="185" t="s">
        <v>1536</v>
      </c>
      <c r="E349" s="23" t="s">
        <v>1136</v>
      </c>
      <c r="F349" s="23" t="s">
        <v>1137</v>
      </c>
      <c r="G349" s="29">
        <v>500</v>
      </c>
      <c r="H349" s="25" t="s">
        <v>1534</v>
      </c>
      <c r="I349" s="25" t="s">
        <v>244</v>
      </c>
      <c r="J349" s="32"/>
    </row>
    <row r="350" spans="3:10" s="13" customFormat="1" ht="30.95" customHeight="1">
      <c r="C350" s="22">
        <f t="shared" si="5"/>
        <v>343</v>
      </c>
      <c r="D350" s="185" t="s">
        <v>1537</v>
      </c>
      <c r="E350" s="23" t="s">
        <v>1136</v>
      </c>
      <c r="F350" s="23" t="s">
        <v>1137</v>
      </c>
      <c r="G350" s="29">
        <v>500</v>
      </c>
      <c r="H350" s="25" t="s">
        <v>1534</v>
      </c>
      <c r="I350" s="25" t="s">
        <v>244</v>
      </c>
      <c r="J350" s="32"/>
    </row>
    <row r="351" spans="3:10" s="13" customFormat="1" ht="30.95" customHeight="1">
      <c r="C351" s="22">
        <f t="shared" si="5"/>
        <v>344</v>
      </c>
      <c r="D351" s="185" t="s">
        <v>1538</v>
      </c>
      <c r="E351" s="23" t="s">
        <v>1136</v>
      </c>
      <c r="F351" s="23" t="s">
        <v>1137</v>
      </c>
      <c r="G351" s="29">
        <v>500</v>
      </c>
      <c r="H351" s="25" t="s">
        <v>1534</v>
      </c>
      <c r="I351" s="25" t="s">
        <v>244</v>
      </c>
      <c r="J351" s="32"/>
    </row>
    <row r="352" spans="3:10" s="13" customFormat="1" ht="30.95" customHeight="1">
      <c r="C352" s="22">
        <f t="shared" si="5"/>
        <v>345</v>
      </c>
      <c r="D352" s="185" t="s">
        <v>1539</v>
      </c>
      <c r="E352" s="23" t="s">
        <v>1136</v>
      </c>
      <c r="F352" s="23" t="s">
        <v>1137</v>
      </c>
      <c r="G352" s="29">
        <v>500</v>
      </c>
      <c r="H352" s="25" t="s">
        <v>1534</v>
      </c>
      <c r="I352" s="25" t="s">
        <v>244</v>
      </c>
      <c r="J352" s="32"/>
    </row>
    <row r="353" spans="3:10" s="13" customFormat="1" ht="30.95" customHeight="1">
      <c r="C353" s="22">
        <f t="shared" si="5"/>
        <v>346</v>
      </c>
      <c r="D353" s="185" t="s">
        <v>1540</v>
      </c>
      <c r="E353" s="23" t="s">
        <v>1136</v>
      </c>
      <c r="F353" s="23" t="s">
        <v>1137</v>
      </c>
      <c r="G353" s="29">
        <v>500</v>
      </c>
      <c r="H353" s="25" t="s">
        <v>1534</v>
      </c>
      <c r="I353" s="25" t="s">
        <v>244</v>
      </c>
      <c r="J353" s="32"/>
    </row>
    <row r="354" spans="3:10" s="13" customFormat="1" ht="30.95" customHeight="1">
      <c r="C354" s="22">
        <f t="shared" si="5"/>
        <v>347</v>
      </c>
      <c r="D354" s="185" t="s">
        <v>1541</v>
      </c>
      <c r="E354" s="23" t="s">
        <v>1136</v>
      </c>
      <c r="F354" s="23" t="s">
        <v>1137</v>
      </c>
      <c r="G354" s="29">
        <v>500</v>
      </c>
      <c r="H354" s="25" t="s">
        <v>1534</v>
      </c>
      <c r="I354" s="25" t="s">
        <v>244</v>
      </c>
      <c r="J354" s="32"/>
    </row>
    <row r="355" spans="3:10" s="13" customFormat="1" ht="30.95" customHeight="1">
      <c r="C355" s="22">
        <f t="shared" si="5"/>
        <v>348</v>
      </c>
      <c r="D355" s="185" t="s">
        <v>1542</v>
      </c>
      <c r="E355" s="23" t="s">
        <v>1136</v>
      </c>
      <c r="F355" s="23" t="s">
        <v>1137</v>
      </c>
      <c r="G355" s="29">
        <v>500</v>
      </c>
      <c r="H355" s="25" t="s">
        <v>1534</v>
      </c>
      <c r="I355" s="25" t="s">
        <v>244</v>
      </c>
      <c r="J355" s="32"/>
    </row>
    <row r="356" spans="3:10" s="13" customFormat="1" ht="30.95" customHeight="1">
      <c r="C356" s="22">
        <f t="shared" si="5"/>
        <v>349</v>
      </c>
      <c r="D356" s="185" t="s">
        <v>1543</v>
      </c>
      <c r="E356" s="23" t="s">
        <v>1136</v>
      </c>
      <c r="F356" s="23" t="s">
        <v>1137</v>
      </c>
      <c r="G356" s="29">
        <v>500</v>
      </c>
      <c r="H356" s="25" t="s">
        <v>1534</v>
      </c>
      <c r="I356" s="25" t="s">
        <v>244</v>
      </c>
      <c r="J356" s="32"/>
    </row>
    <row r="357" spans="3:10" s="13" customFormat="1" ht="30.95" customHeight="1">
      <c r="C357" s="22">
        <f t="shared" si="5"/>
        <v>350</v>
      </c>
      <c r="D357" s="185" t="s">
        <v>1544</v>
      </c>
      <c r="E357" s="23" t="s">
        <v>1136</v>
      </c>
      <c r="F357" s="23" t="s">
        <v>1137</v>
      </c>
      <c r="G357" s="29">
        <v>500</v>
      </c>
      <c r="H357" s="25" t="s">
        <v>1534</v>
      </c>
      <c r="I357" s="25" t="s">
        <v>244</v>
      </c>
      <c r="J357" s="32"/>
    </row>
    <row r="358" spans="3:10" s="13" customFormat="1" ht="30.95" customHeight="1">
      <c r="C358" s="22">
        <f t="shared" si="5"/>
        <v>351</v>
      </c>
      <c r="D358" s="185" t="s">
        <v>1545</v>
      </c>
      <c r="E358" s="23" t="s">
        <v>1136</v>
      </c>
      <c r="F358" s="23" t="s">
        <v>1137</v>
      </c>
      <c r="G358" s="29">
        <v>500</v>
      </c>
      <c r="H358" s="25" t="s">
        <v>1534</v>
      </c>
      <c r="I358" s="25" t="s">
        <v>244</v>
      </c>
      <c r="J358" s="32"/>
    </row>
    <row r="359" spans="3:10" s="13" customFormat="1" ht="30.95" customHeight="1">
      <c r="C359" s="22">
        <f t="shared" si="5"/>
        <v>352</v>
      </c>
      <c r="D359" s="185" t="s">
        <v>1546</v>
      </c>
      <c r="E359" s="23" t="s">
        <v>1136</v>
      </c>
      <c r="F359" s="23" t="s">
        <v>1137</v>
      </c>
      <c r="G359" s="29">
        <v>500</v>
      </c>
      <c r="H359" s="25" t="s">
        <v>1534</v>
      </c>
      <c r="I359" s="25" t="s">
        <v>244</v>
      </c>
      <c r="J359" s="32"/>
    </row>
    <row r="360" spans="3:10" s="13" customFormat="1" ht="30.95" customHeight="1">
      <c r="C360" s="22">
        <f t="shared" si="5"/>
        <v>353</v>
      </c>
      <c r="D360" s="185" t="s">
        <v>1547</v>
      </c>
      <c r="E360" s="23" t="s">
        <v>1136</v>
      </c>
      <c r="F360" s="23" t="s">
        <v>1137</v>
      </c>
      <c r="G360" s="29">
        <v>500</v>
      </c>
      <c r="H360" s="25" t="s">
        <v>1534</v>
      </c>
      <c r="I360" s="25" t="s">
        <v>244</v>
      </c>
      <c r="J360" s="32"/>
    </row>
    <row r="361" spans="3:10" s="13" customFormat="1" ht="30.95" customHeight="1">
      <c r="C361" s="22">
        <f t="shared" si="5"/>
        <v>354</v>
      </c>
      <c r="D361" s="185" t="s">
        <v>1548</v>
      </c>
      <c r="E361" s="23" t="s">
        <v>1136</v>
      </c>
      <c r="F361" s="23" t="s">
        <v>1137</v>
      </c>
      <c r="G361" s="29">
        <v>500</v>
      </c>
      <c r="H361" s="25" t="s">
        <v>1534</v>
      </c>
      <c r="I361" s="25" t="s">
        <v>244</v>
      </c>
      <c r="J361" s="32"/>
    </row>
    <row r="362" spans="3:10" s="13" customFormat="1" ht="30.95" customHeight="1">
      <c r="C362" s="22">
        <f t="shared" si="5"/>
        <v>355</v>
      </c>
      <c r="D362" s="185" t="s">
        <v>1549</v>
      </c>
      <c r="E362" s="23" t="s">
        <v>1136</v>
      </c>
      <c r="F362" s="23" t="s">
        <v>1137</v>
      </c>
      <c r="G362" s="29">
        <v>500</v>
      </c>
      <c r="H362" s="25" t="s">
        <v>1534</v>
      </c>
      <c r="I362" s="25" t="s">
        <v>244</v>
      </c>
      <c r="J362" s="32"/>
    </row>
    <row r="363" spans="3:10" s="13" customFormat="1" ht="30.95" customHeight="1">
      <c r="C363" s="22">
        <f t="shared" si="5"/>
        <v>356</v>
      </c>
      <c r="D363" s="185" t="s">
        <v>1550</v>
      </c>
      <c r="E363" s="23" t="s">
        <v>1136</v>
      </c>
      <c r="F363" s="23" t="s">
        <v>1137</v>
      </c>
      <c r="G363" s="29">
        <v>500</v>
      </c>
      <c r="H363" s="25" t="s">
        <v>1551</v>
      </c>
      <c r="I363" s="25" t="s">
        <v>244</v>
      </c>
      <c r="J363" s="32"/>
    </row>
    <row r="364" spans="3:10" s="13" customFormat="1" ht="30.95" customHeight="1">
      <c r="C364" s="22">
        <f t="shared" si="5"/>
        <v>357</v>
      </c>
      <c r="D364" s="185" t="s">
        <v>1552</v>
      </c>
      <c r="E364" s="23" t="s">
        <v>1136</v>
      </c>
      <c r="F364" s="23" t="s">
        <v>1137</v>
      </c>
      <c r="G364" s="29">
        <v>500</v>
      </c>
      <c r="H364" s="25" t="s">
        <v>1551</v>
      </c>
      <c r="I364" s="25" t="s">
        <v>244</v>
      </c>
      <c r="J364" s="32"/>
    </row>
    <row r="365" spans="3:10" s="13" customFormat="1" ht="30.95" customHeight="1">
      <c r="C365" s="22">
        <f t="shared" si="5"/>
        <v>358</v>
      </c>
      <c r="D365" s="185" t="s">
        <v>1553</v>
      </c>
      <c r="E365" s="23" t="s">
        <v>1136</v>
      </c>
      <c r="F365" s="23" t="s">
        <v>1137</v>
      </c>
      <c r="G365" s="29">
        <v>500</v>
      </c>
      <c r="H365" s="25" t="s">
        <v>1551</v>
      </c>
      <c r="I365" s="25" t="s">
        <v>244</v>
      </c>
      <c r="J365" s="32"/>
    </row>
    <row r="366" spans="3:10" s="13" customFormat="1" ht="30.95" customHeight="1">
      <c r="C366" s="22">
        <f t="shared" si="5"/>
        <v>359</v>
      </c>
      <c r="D366" s="185" t="s">
        <v>1554</v>
      </c>
      <c r="E366" s="23" t="s">
        <v>1136</v>
      </c>
      <c r="F366" s="23" t="s">
        <v>1137</v>
      </c>
      <c r="G366" s="29">
        <v>500</v>
      </c>
      <c r="H366" s="25" t="s">
        <v>1551</v>
      </c>
      <c r="I366" s="25" t="s">
        <v>244</v>
      </c>
      <c r="J366" s="32"/>
    </row>
    <row r="367" spans="3:10" s="13" customFormat="1" ht="30.95" customHeight="1">
      <c r="C367" s="22">
        <f t="shared" si="5"/>
        <v>360</v>
      </c>
      <c r="D367" s="185" t="s">
        <v>1555</v>
      </c>
      <c r="E367" s="23" t="s">
        <v>1136</v>
      </c>
      <c r="F367" s="23" t="s">
        <v>1137</v>
      </c>
      <c r="G367" s="29">
        <v>500</v>
      </c>
      <c r="H367" s="25" t="s">
        <v>1551</v>
      </c>
      <c r="I367" s="25" t="s">
        <v>244</v>
      </c>
      <c r="J367" s="32"/>
    </row>
    <row r="368" spans="3:10" s="13" customFormat="1" ht="30.95" customHeight="1">
      <c r="C368" s="22">
        <f t="shared" si="5"/>
        <v>361</v>
      </c>
      <c r="D368" s="185" t="s">
        <v>1556</v>
      </c>
      <c r="E368" s="23" t="s">
        <v>1136</v>
      </c>
      <c r="F368" s="23" t="s">
        <v>1137</v>
      </c>
      <c r="G368" s="29">
        <v>500</v>
      </c>
      <c r="H368" s="25" t="s">
        <v>1551</v>
      </c>
      <c r="I368" s="25" t="s">
        <v>244</v>
      </c>
      <c r="J368" s="32"/>
    </row>
    <row r="369" spans="3:10" s="13" customFormat="1" ht="30.95" customHeight="1">
      <c r="C369" s="22">
        <f t="shared" si="5"/>
        <v>362</v>
      </c>
      <c r="D369" s="185" t="s">
        <v>1557</v>
      </c>
      <c r="E369" s="23" t="s">
        <v>1136</v>
      </c>
      <c r="F369" s="23" t="s">
        <v>1137</v>
      </c>
      <c r="G369" s="29">
        <v>500</v>
      </c>
      <c r="H369" s="25" t="s">
        <v>1551</v>
      </c>
      <c r="I369" s="25" t="s">
        <v>244</v>
      </c>
      <c r="J369" s="32"/>
    </row>
    <row r="370" spans="3:10" s="13" customFormat="1" ht="30.95" customHeight="1">
      <c r="C370" s="22">
        <f t="shared" si="5"/>
        <v>363</v>
      </c>
      <c r="D370" s="185" t="s">
        <v>1558</v>
      </c>
      <c r="E370" s="23" t="s">
        <v>1136</v>
      </c>
      <c r="F370" s="23" t="s">
        <v>1137</v>
      </c>
      <c r="G370" s="29">
        <v>500</v>
      </c>
      <c r="H370" s="25" t="s">
        <v>1551</v>
      </c>
      <c r="I370" s="25" t="s">
        <v>244</v>
      </c>
      <c r="J370" s="32"/>
    </row>
    <row r="371" spans="3:10" s="13" customFormat="1" ht="30.95" customHeight="1">
      <c r="C371" s="22">
        <f t="shared" si="5"/>
        <v>364</v>
      </c>
      <c r="D371" s="185" t="s">
        <v>1559</v>
      </c>
      <c r="E371" s="23" t="s">
        <v>1136</v>
      </c>
      <c r="F371" s="23" t="s">
        <v>1137</v>
      </c>
      <c r="G371" s="29">
        <v>500</v>
      </c>
      <c r="H371" s="25" t="s">
        <v>1551</v>
      </c>
      <c r="I371" s="25" t="s">
        <v>244</v>
      </c>
      <c r="J371" s="32"/>
    </row>
    <row r="372" spans="3:10" s="13" customFormat="1" ht="30.95" customHeight="1">
      <c r="C372" s="22">
        <f t="shared" si="5"/>
        <v>365</v>
      </c>
      <c r="D372" s="185" t="s">
        <v>1560</v>
      </c>
      <c r="E372" s="23" t="s">
        <v>1136</v>
      </c>
      <c r="F372" s="23" t="s">
        <v>1137</v>
      </c>
      <c r="G372" s="29">
        <v>500</v>
      </c>
      <c r="H372" s="25" t="s">
        <v>1551</v>
      </c>
      <c r="I372" s="25" t="s">
        <v>244</v>
      </c>
      <c r="J372" s="32"/>
    </row>
    <row r="373" spans="3:10" s="13" customFormat="1" ht="30.95" customHeight="1">
      <c r="C373" s="22">
        <f t="shared" si="5"/>
        <v>366</v>
      </c>
      <c r="D373" s="185" t="s">
        <v>1561</v>
      </c>
      <c r="E373" s="23" t="s">
        <v>1136</v>
      </c>
      <c r="F373" s="23" t="s">
        <v>1137</v>
      </c>
      <c r="G373" s="29">
        <v>500</v>
      </c>
      <c r="H373" s="25" t="s">
        <v>1551</v>
      </c>
      <c r="I373" s="25" t="s">
        <v>244</v>
      </c>
      <c r="J373" s="32"/>
    </row>
    <row r="374" spans="3:10" s="13" customFormat="1" ht="30.95" customHeight="1">
      <c r="C374" s="22">
        <f t="shared" si="5"/>
        <v>367</v>
      </c>
      <c r="D374" s="185" t="s">
        <v>1562</v>
      </c>
      <c r="E374" s="23" t="s">
        <v>1136</v>
      </c>
      <c r="F374" s="23" t="s">
        <v>1137</v>
      </c>
      <c r="G374" s="29">
        <v>500</v>
      </c>
      <c r="H374" s="25" t="s">
        <v>1551</v>
      </c>
      <c r="I374" s="25" t="s">
        <v>244</v>
      </c>
      <c r="J374" s="32"/>
    </row>
    <row r="375" spans="3:10" s="13" customFormat="1" ht="30.95" customHeight="1">
      <c r="C375" s="22">
        <f t="shared" si="5"/>
        <v>368</v>
      </c>
      <c r="D375" s="185" t="s">
        <v>1563</v>
      </c>
      <c r="E375" s="23" t="s">
        <v>1136</v>
      </c>
      <c r="F375" s="23" t="s">
        <v>1137</v>
      </c>
      <c r="G375" s="29">
        <v>500</v>
      </c>
      <c r="H375" s="25" t="s">
        <v>1551</v>
      </c>
      <c r="I375" s="25" t="s">
        <v>244</v>
      </c>
      <c r="J375" s="32"/>
    </row>
    <row r="376" spans="3:10" s="13" customFormat="1" ht="30.95" customHeight="1">
      <c r="C376" s="22">
        <f t="shared" si="5"/>
        <v>369</v>
      </c>
      <c r="D376" s="185" t="s">
        <v>1564</v>
      </c>
      <c r="E376" s="23" t="s">
        <v>1136</v>
      </c>
      <c r="F376" s="23" t="s">
        <v>1137</v>
      </c>
      <c r="G376" s="29">
        <v>500</v>
      </c>
      <c r="H376" s="25" t="s">
        <v>1551</v>
      </c>
      <c r="I376" s="25" t="s">
        <v>244</v>
      </c>
      <c r="J376" s="32"/>
    </row>
    <row r="377" spans="3:10" s="13" customFormat="1" ht="30.95" customHeight="1">
      <c r="C377" s="22">
        <f t="shared" si="5"/>
        <v>370</v>
      </c>
      <c r="D377" s="185" t="s">
        <v>1565</v>
      </c>
      <c r="E377" s="23" t="s">
        <v>1136</v>
      </c>
      <c r="F377" s="23" t="s">
        <v>1137</v>
      </c>
      <c r="G377" s="29">
        <v>500</v>
      </c>
      <c r="H377" s="25" t="s">
        <v>1551</v>
      </c>
      <c r="I377" s="25" t="s">
        <v>244</v>
      </c>
      <c r="J377" s="32"/>
    </row>
    <row r="378" spans="3:10" s="13" customFormat="1" ht="30.95" customHeight="1">
      <c r="C378" s="22">
        <f t="shared" si="5"/>
        <v>371</v>
      </c>
      <c r="D378" s="185" t="s">
        <v>1566</v>
      </c>
      <c r="E378" s="23" t="s">
        <v>1136</v>
      </c>
      <c r="F378" s="23" t="s">
        <v>1137</v>
      </c>
      <c r="G378" s="29">
        <v>500</v>
      </c>
      <c r="H378" s="25" t="s">
        <v>1551</v>
      </c>
      <c r="I378" s="25" t="s">
        <v>244</v>
      </c>
      <c r="J378" s="32"/>
    </row>
    <row r="379" spans="3:10" s="13" customFormat="1" ht="30.95" customHeight="1">
      <c r="C379" s="22">
        <f t="shared" si="5"/>
        <v>372</v>
      </c>
      <c r="D379" s="185" t="s">
        <v>1567</v>
      </c>
      <c r="E379" s="23" t="s">
        <v>1136</v>
      </c>
      <c r="F379" s="23" t="s">
        <v>1137</v>
      </c>
      <c r="G379" s="29">
        <v>500</v>
      </c>
      <c r="H379" s="25" t="s">
        <v>1079</v>
      </c>
      <c r="I379" s="25" t="s">
        <v>244</v>
      </c>
      <c r="J379" s="32"/>
    </row>
    <row r="380" spans="3:10" s="13" customFormat="1" ht="30.95" customHeight="1">
      <c r="C380" s="22">
        <f t="shared" si="5"/>
        <v>373</v>
      </c>
      <c r="D380" s="185" t="s">
        <v>1568</v>
      </c>
      <c r="E380" s="23" t="s">
        <v>1136</v>
      </c>
      <c r="F380" s="23" t="s">
        <v>1137</v>
      </c>
      <c r="G380" s="29">
        <v>500</v>
      </c>
      <c r="H380" s="25" t="s">
        <v>1079</v>
      </c>
      <c r="I380" s="25" t="s">
        <v>244</v>
      </c>
      <c r="J380" s="32"/>
    </row>
    <row r="381" spans="3:10" s="13" customFormat="1" ht="30.95" customHeight="1">
      <c r="C381" s="22">
        <f t="shared" si="5"/>
        <v>374</v>
      </c>
      <c r="D381" s="185" t="s">
        <v>1569</v>
      </c>
      <c r="E381" s="23" t="s">
        <v>1136</v>
      </c>
      <c r="F381" s="23" t="s">
        <v>1137</v>
      </c>
      <c r="G381" s="29">
        <v>500</v>
      </c>
      <c r="H381" s="25" t="s">
        <v>1079</v>
      </c>
      <c r="I381" s="25" t="s">
        <v>244</v>
      </c>
      <c r="J381" s="32"/>
    </row>
    <row r="382" spans="3:10" s="13" customFormat="1" ht="30.95" customHeight="1">
      <c r="C382" s="22">
        <f t="shared" si="5"/>
        <v>375</v>
      </c>
      <c r="D382" s="185" t="s">
        <v>1570</v>
      </c>
      <c r="E382" s="23" t="s">
        <v>1136</v>
      </c>
      <c r="F382" s="23" t="s">
        <v>1137</v>
      </c>
      <c r="G382" s="29">
        <v>500</v>
      </c>
      <c r="H382" s="25" t="s">
        <v>1079</v>
      </c>
      <c r="I382" s="25" t="s">
        <v>244</v>
      </c>
      <c r="J382" s="32"/>
    </row>
    <row r="383" spans="3:10" s="13" customFormat="1" ht="30.95" customHeight="1">
      <c r="C383" s="22">
        <f t="shared" si="5"/>
        <v>376</v>
      </c>
      <c r="D383" s="185" t="s">
        <v>1571</v>
      </c>
      <c r="E383" s="23" t="s">
        <v>1136</v>
      </c>
      <c r="F383" s="23" t="s">
        <v>1137</v>
      </c>
      <c r="G383" s="29">
        <v>500</v>
      </c>
      <c r="H383" s="25" t="s">
        <v>1079</v>
      </c>
      <c r="I383" s="25" t="s">
        <v>244</v>
      </c>
      <c r="J383" s="32"/>
    </row>
    <row r="384" spans="3:10" s="13" customFormat="1" ht="30.95" customHeight="1">
      <c r="C384" s="22">
        <f t="shared" si="5"/>
        <v>377</v>
      </c>
      <c r="D384" s="185" t="s">
        <v>1572</v>
      </c>
      <c r="E384" s="23" t="s">
        <v>1136</v>
      </c>
      <c r="F384" s="23" t="s">
        <v>1137</v>
      </c>
      <c r="G384" s="29">
        <v>500</v>
      </c>
      <c r="H384" s="25" t="s">
        <v>1079</v>
      </c>
      <c r="I384" s="25" t="s">
        <v>244</v>
      </c>
      <c r="J384" s="32"/>
    </row>
    <row r="385" spans="3:10" s="13" customFormat="1" ht="30.95" customHeight="1">
      <c r="C385" s="22">
        <f t="shared" si="5"/>
        <v>378</v>
      </c>
      <c r="D385" s="185" t="s">
        <v>1573</v>
      </c>
      <c r="E385" s="23" t="s">
        <v>1136</v>
      </c>
      <c r="F385" s="23" t="s">
        <v>1137</v>
      </c>
      <c r="G385" s="29">
        <v>500</v>
      </c>
      <c r="H385" s="25" t="s">
        <v>1079</v>
      </c>
      <c r="I385" s="25" t="s">
        <v>244</v>
      </c>
      <c r="J385" s="32"/>
    </row>
    <row r="386" spans="3:10" s="13" customFormat="1" ht="30.95" customHeight="1">
      <c r="C386" s="22">
        <f t="shared" si="5"/>
        <v>379</v>
      </c>
      <c r="D386" s="185" t="s">
        <v>1574</v>
      </c>
      <c r="E386" s="23" t="s">
        <v>1136</v>
      </c>
      <c r="F386" s="23" t="s">
        <v>1137</v>
      </c>
      <c r="G386" s="30">
        <v>400</v>
      </c>
      <c r="H386" s="25" t="s">
        <v>1575</v>
      </c>
      <c r="I386" s="25" t="s">
        <v>244</v>
      </c>
      <c r="J386" s="32"/>
    </row>
    <row r="387" spans="3:10" s="13" customFormat="1" ht="30.95" customHeight="1">
      <c r="C387" s="22">
        <f t="shared" si="5"/>
        <v>380</v>
      </c>
      <c r="D387" s="185" t="s">
        <v>1576</v>
      </c>
      <c r="E387" s="23" t="s">
        <v>1136</v>
      </c>
      <c r="F387" s="23" t="s">
        <v>1137</v>
      </c>
      <c r="G387" s="30">
        <v>600</v>
      </c>
      <c r="H387" s="25" t="s">
        <v>1577</v>
      </c>
      <c r="I387" s="25" t="s">
        <v>244</v>
      </c>
      <c r="J387" s="32"/>
    </row>
    <row r="388" spans="3:10" s="13" customFormat="1" ht="30.95" customHeight="1">
      <c r="C388" s="22">
        <f t="shared" si="5"/>
        <v>381</v>
      </c>
      <c r="D388" s="185" t="s">
        <v>1578</v>
      </c>
      <c r="E388" s="23" t="s">
        <v>1136</v>
      </c>
      <c r="F388" s="23" t="s">
        <v>1137</v>
      </c>
      <c r="G388" s="30">
        <v>500</v>
      </c>
      <c r="H388" s="25" t="s">
        <v>1577</v>
      </c>
      <c r="I388" s="25" t="s">
        <v>244</v>
      </c>
      <c r="J388" s="32"/>
    </row>
    <row r="389" spans="3:10" s="13" customFormat="1" ht="30.95" customHeight="1">
      <c r="C389" s="22">
        <f t="shared" si="5"/>
        <v>382</v>
      </c>
      <c r="D389" s="185" t="s">
        <v>1579</v>
      </c>
      <c r="E389" s="23" t="s">
        <v>1136</v>
      </c>
      <c r="F389" s="23" t="s">
        <v>1137</v>
      </c>
      <c r="G389" s="30">
        <v>800</v>
      </c>
      <c r="H389" s="25" t="s">
        <v>1577</v>
      </c>
      <c r="I389" s="25" t="s">
        <v>244</v>
      </c>
      <c r="J389" s="32"/>
    </row>
    <row r="390" spans="3:10" s="13" customFormat="1" ht="30.95" customHeight="1">
      <c r="C390" s="22">
        <f t="shared" si="5"/>
        <v>383</v>
      </c>
      <c r="D390" s="185" t="s">
        <v>1580</v>
      </c>
      <c r="E390" s="23" t="s">
        <v>1136</v>
      </c>
      <c r="F390" s="23" t="s">
        <v>1137</v>
      </c>
      <c r="G390" s="30">
        <v>400</v>
      </c>
      <c r="H390" s="25" t="s">
        <v>1577</v>
      </c>
      <c r="I390" s="25" t="s">
        <v>244</v>
      </c>
      <c r="J390" s="32"/>
    </row>
    <row r="391" spans="3:10" s="13" customFormat="1" ht="30.95" customHeight="1">
      <c r="C391" s="22">
        <f t="shared" si="5"/>
        <v>384</v>
      </c>
      <c r="D391" s="185" t="s">
        <v>1581</v>
      </c>
      <c r="E391" s="23" t="s">
        <v>1136</v>
      </c>
      <c r="F391" s="23" t="s">
        <v>1137</v>
      </c>
      <c r="G391" s="30">
        <v>500</v>
      </c>
      <c r="H391" s="25" t="s">
        <v>1582</v>
      </c>
      <c r="I391" s="25" t="s">
        <v>244</v>
      </c>
      <c r="J391" s="32"/>
    </row>
    <row r="392" spans="3:10" s="13" customFormat="1" ht="30.95" customHeight="1">
      <c r="C392" s="22">
        <f t="shared" si="5"/>
        <v>385</v>
      </c>
      <c r="D392" s="185" t="s">
        <v>1583</v>
      </c>
      <c r="E392" s="23" t="s">
        <v>1136</v>
      </c>
      <c r="F392" s="23" t="s">
        <v>1137</v>
      </c>
      <c r="G392" s="30">
        <v>300</v>
      </c>
      <c r="H392" s="25" t="s">
        <v>1582</v>
      </c>
      <c r="I392" s="25" t="s">
        <v>244</v>
      </c>
      <c r="J392" s="32"/>
    </row>
    <row r="393" spans="3:10" s="13" customFormat="1" ht="30.95" customHeight="1">
      <c r="C393" s="22">
        <f t="shared" si="5"/>
        <v>386</v>
      </c>
      <c r="D393" s="185" t="s">
        <v>1584</v>
      </c>
      <c r="E393" s="23" t="s">
        <v>1136</v>
      </c>
      <c r="F393" s="23" t="s">
        <v>1137</v>
      </c>
      <c r="G393" s="30">
        <v>500</v>
      </c>
      <c r="H393" s="25" t="s">
        <v>1582</v>
      </c>
      <c r="I393" s="25" t="s">
        <v>244</v>
      </c>
      <c r="J393" s="32"/>
    </row>
    <row r="394" spans="3:10" s="13" customFormat="1" ht="30.95" customHeight="1">
      <c r="C394" s="22">
        <f t="shared" ref="C394:C457" si="6">C393+1</f>
        <v>387</v>
      </c>
      <c r="D394" s="185" t="s">
        <v>1585</v>
      </c>
      <c r="E394" s="23" t="s">
        <v>1136</v>
      </c>
      <c r="F394" s="23" t="s">
        <v>1137</v>
      </c>
      <c r="G394" s="30">
        <v>300</v>
      </c>
      <c r="H394" s="25" t="s">
        <v>1582</v>
      </c>
      <c r="I394" s="25" t="s">
        <v>244</v>
      </c>
      <c r="J394" s="32"/>
    </row>
    <row r="395" spans="3:10" s="13" customFormat="1" ht="30.95" customHeight="1">
      <c r="C395" s="22">
        <f t="shared" si="6"/>
        <v>388</v>
      </c>
      <c r="D395" s="185" t="s">
        <v>1586</v>
      </c>
      <c r="E395" s="23" t="s">
        <v>1136</v>
      </c>
      <c r="F395" s="23" t="s">
        <v>1137</v>
      </c>
      <c r="G395" s="30">
        <v>450</v>
      </c>
      <c r="H395" s="25" t="s">
        <v>1582</v>
      </c>
      <c r="I395" s="25" t="s">
        <v>244</v>
      </c>
      <c r="J395" s="32"/>
    </row>
    <row r="396" spans="3:10" s="13" customFormat="1" ht="30.95" customHeight="1">
      <c r="C396" s="22">
        <f t="shared" si="6"/>
        <v>389</v>
      </c>
      <c r="D396" s="185" t="s">
        <v>1587</v>
      </c>
      <c r="E396" s="23" t="s">
        <v>1136</v>
      </c>
      <c r="F396" s="23" t="s">
        <v>1137</v>
      </c>
      <c r="G396" s="30">
        <v>300</v>
      </c>
      <c r="H396" s="25" t="s">
        <v>1582</v>
      </c>
      <c r="I396" s="25" t="s">
        <v>244</v>
      </c>
      <c r="J396" s="32"/>
    </row>
    <row r="397" spans="3:10" s="13" customFormat="1" ht="30.95" customHeight="1">
      <c r="C397" s="22">
        <f t="shared" si="6"/>
        <v>390</v>
      </c>
      <c r="D397" s="185" t="s">
        <v>1588</v>
      </c>
      <c r="E397" s="23" t="s">
        <v>1136</v>
      </c>
      <c r="F397" s="23" t="s">
        <v>1137</v>
      </c>
      <c r="G397" s="30">
        <v>500</v>
      </c>
      <c r="H397" s="25" t="s">
        <v>1589</v>
      </c>
      <c r="I397" s="25" t="s">
        <v>244</v>
      </c>
      <c r="J397" s="32"/>
    </row>
    <row r="398" spans="3:10" s="13" customFormat="1" ht="30.95" customHeight="1">
      <c r="C398" s="22">
        <f t="shared" si="6"/>
        <v>391</v>
      </c>
      <c r="D398" s="185" t="s">
        <v>1590</v>
      </c>
      <c r="E398" s="23" t="s">
        <v>1136</v>
      </c>
      <c r="F398" s="23" t="s">
        <v>1137</v>
      </c>
      <c r="G398" s="30">
        <v>500</v>
      </c>
      <c r="H398" s="25" t="s">
        <v>1589</v>
      </c>
      <c r="I398" s="25" t="s">
        <v>244</v>
      </c>
      <c r="J398" s="32"/>
    </row>
    <row r="399" spans="3:10" s="13" customFormat="1" ht="30.95" customHeight="1">
      <c r="C399" s="22">
        <f t="shared" si="6"/>
        <v>392</v>
      </c>
      <c r="D399" s="185" t="s">
        <v>1591</v>
      </c>
      <c r="E399" s="23" t="s">
        <v>1136</v>
      </c>
      <c r="F399" s="23" t="s">
        <v>1137</v>
      </c>
      <c r="G399" s="30">
        <v>400</v>
      </c>
      <c r="H399" s="25" t="s">
        <v>1589</v>
      </c>
      <c r="I399" s="25" t="s">
        <v>244</v>
      </c>
      <c r="J399" s="32"/>
    </row>
    <row r="400" spans="3:10" s="13" customFormat="1" ht="30.95" customHeight="1">
      <c r="C400" s="22">
        <f t="shared" si="6"/>
        <v>393</v>
      </c>
      <c r="D400" s="185" t="s">
        <v>1592</v>
      </c>
      <c r="E400" s="23" t="s">
        <v>1136</v>
      </c>
      <c r="F400" s="23" t="s">
        <v>1137</v>
      </c>
      <c r="G400" s="30">
        <v>500</v>
      </c>
      <c r="H400" s="25" t="s">
        <v>1589</v>
      </c>
      <c r="I400" s="25" t="s">
        <v>244</v>
      </c>
      <c r="J400" s="32"/>
    </row>
    <row r="401" spans="3:10" s="13" customFormat="1" ht="30.95" customHeight="1">
      <c r="C401" s="22">
        <f t="shared" si="6"/>
        <v>394</v>
      </c>
      <c r="D401" s="185" t="s">
        <v>1593</v>
      </c>
      <c r="E401" s="23" t="s">
        <v>1136</v>
      </c>
      <c r="F401" s="23" t="s">
        <v>1137</v>
      </c>
      <c r="G401" s="30">
        <v>500</v>
      </c>
      <c r="H401" s="25" t="s">
        <v>1589</v>
      </c>
      <c r="I401" s="25" t="s">
        <v>244</v>
      </c>
      <c r="J401" s="32"/>
    </row>
    <row r="402" spans="3:10" s="13" customFormat="1" ht="30.95" customHeight="1">
      <c r="C402" s="22">
        <f t="shared" si="6"/>
        <v>395</v>
      </c>
      <c r="D402" s="185" t="s">
        <v>1594</v>
      </c>
      <c r="E402" s="23" t="s">
        <v>1136</v>
      </c>
      <c r="F402" s="23" t="s">
        <v>1137</v>
      </c>
      <c r="G402" s="30">
        <v>300</v>
      </c>
      <c r="H402" s="25" t="s">
        <v>1595</v>
      </c>
      <c r="I402" s="25" t="s">
        <v>244</v>
      </c>
      <c r="J402" s="32"/>
    </row>
    <row r="403" spans="3:10" s="13" customFormat="1" ht="30.95" customHeight="1">
      <c r="C403" s="22">
        <f t="shared" si="6"/>
        <v>396</v>
      </c>
      <c r="D403" s="185" t="s">
        <v>1596</v>
      </c>
      <c r="E403" s="23" t="s">
        <v>1136</v>
      </c>
      <c r="F403" s="23" t="s">
        <v>1137</v>
      </c>
      <c r="G403" s="30">
        <v>400</v>
      </c>
      <c r="H403" s="25" t="s">
        <v>1595</v>
      </c>
      <c r="I403" s="25" t="s">
        <v>244</v>
      </c>
      <c r="J403" s="32"/>
    </row>
    <row r="404" spans="3:10" s="13" customFormat="1" ht="30.95" customHeight="1">
      <c r="C404" s="22">
        <f t="shared" si="6"/>
        <v>397</v>
      </c>
      <c r="D404" s="185" t="s">
        <v>1597</v>
      </c>
      <c r="E404" s="23" t="s">
        <v>1136</v>
      </c>
      <c r="F404" s="23" t="s">
        <v>1137</v>
      </c>
      <c r="G404" s="30">
        <v>350</v>
      </c>
      <c r="H404" s="25" t="s">
        <v>1595</v>
      </c>
      <c r="I404" s="25" t="s">
        <v>244</v>
      </c>
      <c r="J404" s="32"/>
    </row>
    <row r="405" spans="3:10" s="13" customFormat="1" ht="30.95" customHeight="1">
      <c r="C405" s="22">
        <f t="shared" si="6"/>
        <v>398</v>
      </c>
      <c r="D405" s="185" t="s">
        <v>1598</v>
      </c>
      <c r="E405" s="23" t="s">
        <v>1136</v>
      </c>
      <c r="F405" s="23" t="s">
        <v>1137</v>
      </c>
      <c r="G405" s="30">
        <v>400</v>
      </c>
      <c r="H405" s="25" t="s">
        <v>1595</v>
      </c>
      <c r="I405" s="25" t="s">
        <v>244</v>
      </c>
      <c r="J405" s="32"/>
    </row>
    <row r="406" spans="3:10" s="13" customFormat="1" ht="30.95" customHeight="1">
      <c r="C406" s="22">
        <f t="shared" si="6"/>
        <v>399</v>
      </c>
      <c r="D406" s="185" t="s">
        <v>1599</v>
      </c>
      <c r="E406" s="23" t="s">
        <v>1136</v>
      </c>
      <c r="F406" s="23" t="s">
        <v>1137</v>
      </c>
      <c r="G406" s="30">
        <v>300</v>
      </c>
      <c r="H406" s="25" t="s">
        <v>1595</v>
      </c>
      <c r="I406" s="25" t="s">
        <v>244</v>
      </c>
      <c r="J406" s="32"/>
    </row>
    <row r="407" spans="3:10" s="13" customFormat="1" ht="30.95" customHeight="1">
      <c r="C407" s="22">
        <f t="shared" si="6"/>
        <v>400</v>
      </c>
      <c r="D407" s="185" t="s">
        <v>1600</v>
      </c>
      <c r="E407" s="23" t="s">
        <v>1136</v>
      </c>
      <c r="F407" s="23" t="s">
        <v>1137</v>
      </c>
      <c r="G407" s="30">
        <v>400</v>
      </c>
      <c r="H407" s="25" t="s">
        <v>1595</v>
      </c>
      <c r="I407" s="25" t="s">
        <v>244</v>
      </c>
      <c r="J407" s="32"/>
    </row>
    <row r="408" spans="3:10" s="13" customFormat="1" ht="30.95" customHeight="1">
      <c r="C408" s="22">
        <f t="shared" si="6"/>
        <v>401</v>
      </c>
      <c r="D408" s="185" t="s">
        <v>1601</v>
      </c>
      <c r="E408" s="23" t="s">
        <v>1136</v>
      </c>
      <c r="F408" s="23" t="s">
        <v>1137</v>
      </c>
      <c r="G408" s="30">
        <v>280</v>
      </c>
      <c r="H408" s="25" t="s">
        <v>1595</v>
      </c>
      <c r="I408" s="25" t="s">
        <v>244</v>
      </c>
      <c r="J408" s="32"/>
    </row>
    <row r="409" spans="3:10" s="13" customFormat="1" ht="30.95" customHeight="1">
      <c r="C409" s="22">
        <f t="shared" si="6"/>
        <v>402</v>
      </c>
      <c r="D409" s="185" t="s">
        <v>1602</v>
      </c>
      <c r="E409" s="23" t="s">
        <v>1136</v>
      </c>
      <c r="F409" s="23" t="s">
        <v>1137</v>
      </c>
      <c r="G409" s="30">
        <v>400</v>
      </c>
      <c r="H409" s="25" t="s">
        <v>1595</v>
      </c>
      <c r="I409" s="25" t="s">
        <v>244</v>
      </c>
      <c r="J409" s="32"/>
    </row>
    <row r="410" spans="3:10" s="13" customFormat="1" ht="30.95" customHeight="1">
      <c r="C410" s="22">
        <f t="shared" si="6"/>
        <v>403</v>
      </c>
      <c r="D410" s="185" t="s">
        <v>1603</v>
      </c>
      <c r="E410" s="23" t="s">
        <v>1136</v>
      </c>
      <c r="F410" s="23" t="s">
        <v>1137</v>
      </c>
      <c r="G410" s="30">
        <v>500</v>
      </c>
      <c r="H410" s="25" t="s">
        <v>1604</v>
      </c>
      <c r="I410" s="25" t="s">
        <v>244</v>
      </c>
      <c r="J410" s="32"/>
    </row>
    <row r="411" spans="3:10" s="13" customFormat="1" ht="30.95" customHeight="1">
      <c r="C411" s="22">
        <f t="shared" si="6"/>
        <v>404</v>
      </c>
      <c r="D411" s="185" t="s">
        <v>1605</v>
      </c>
      <c r="E411" s="23" t="s">
        <v>1136</v>
      </c>
      <c r="F411" s="23" t="s">
        <v>1137</v>
      </c>
      <c r="G411" s="30">
        <v>500</v>
      </c>
      <c r="H411" s="25" t="s">
        <v>1604</v>
      </c>
      <c r="I411" s="25" t="s">
        <v>244</v>
      </c>
      <c r="J411" s="32"/>
    </row>
    <row r="412" spans="3:10" s="13" customFormat="1" ht="30.95" customHeight="1">
      <c r="C412" s="22">
        <f t="shared" si="6"/>
        <v>405</v>
      </c>
      <c r="D412" s="185" t="s">
        <v>1606</v>
      </c>
      <c r="E412" s="23" t="s">
        <v>1136</v>
      </c>
      <c r="F412" s="23" t="s">
        <v>1137</v>
      </c>
      <c r="G412" s="30">
        <v>500</v>
      </c>
      <c r="H412" s="25" t="s">
        <v>1604</v>
      </c>
      <c r="I412" s="25" t="s">
        <v>244</v>
      </c>
      <c r="J412" s="32"/>
    </row>
    <row r="413" spans="3:10" s="13" customFormat="1" ht="30.95" customHeight="1">
      <c r="C413" s="22">
        <f t="shared" si="6"/>
        <v>406</v>
      </c>
      <c r="D413" s="185" t="s">
        <v>1607</v>
      </c>
      <c r="E413" s="23" t="s">
        <v>1136</v>
      </c>
      <c r="F413" s="23" t="s">
        <v>1137</v>
      </c>
      <c r="G413" s="30">
        <v>500</v>
      </c>
      <c r="H413" s="25" t="s">
        <v>1604</v>
      </c>
      <c r="I413" s="25" t="s">
        <v>244</v>
      </c>
      <c r="J413" s="32"/>
    </row>
    <row r="414" spans="3:10" s="13" customFormat="1" ht="30.95" customHeight="1">
      <c r="C414" s="22">
        <f t="shared" si="6"/>
        <v>407</v>
      </c>
      <c r="D414" s="185" t="s">
        <v>1608</v>
      </c>
      <c r="E414" s="23" t="s">
        <v>1136</v>
      </c>
      <c r="F414" s="23" t="s">
        <v>1137</v>
      </c>
      <c r="G414" s="30">
        <v>200</v>
      </c>
      <c r="H414" s="25" t="s">
        <v>1604</v>
      </c>
      <c r="I414" s="25" t="s">
        <v>244</v>
      </c>
      <c r="J414" s="32"/>
    </row>
    <row r="415" spans="3:10" s="13" customFormat="1" ht="30.95" customHeight="1">
      <c r="C415" s="22">
        <f t="shared" si="6"/>
        <v>408</v>
      </c>
      <c r="D415" s="185" t="s">
        <v>1609</v>
      </c>
      <c r="E415" s="23" t="s">
        <v>1136</v>
      </c>
      <c r="F415" s="23" t="s">
        <v>1137</v>
      </c>
      <c r="G415" s="30">
        <v>300</v>
      </c>
      <c r="H415" s="25" t="s">
        <v>1604</v>
      </c>
      <c r="I415" s="25" t="s">
        <v>244</v>
      </c>
      <c r="J415" s="32"/>
    </row>
    <row r="416" spans="3:10" s="13" customFormat="1" ht="30.95" customHeight="1">
      <c r="C416" s="22">
        <f t="shared" si="6"/>
        <v>409</v>
      </c>
      <c r="D416" s="185" t="s">
        <v>1610</v>
      </c>
      <c r="E416" s="23" t="s">
        <v>1136</v>
      </c>
      <c r="F416" s="23" t="s">
        <v>1137</v>
      </c>
      <c r="G416" s="30">
        <v>550</v>
      </c>
      <c r="H416" s="25" t="s">
        <v>1611</v>
      </c>
      <c r="I416" s="25" t="s">
        <v>244</v>
      </c>
      <c r="J416" s="32"/>
    </row>
    <row r="417" spans="3:10" s="13" customFormat="1" ht="30.95" customHeight="1">
      <c r="C417" s="22">
        <f t="shared" si="6"/>
        <v>410</v>
      </c>
      <c r="D417" s="185" t="s">
        <v>1612</v>
      </c>
      <c r="E417" s="23" t="s">
        <v>1136</v>
      </c>
      <c r="F417" s="23" t="s">
        <v>1137</v>
      </c>
      <c r="G417" s="30">
        <v>750</v>
      </c>
      <c r="H417" s="25" t="s">
        <v>1611</v>
      </c>
      <c r="I417" s="25" t="s">
        <v>244</v>
      </c>
      <c r="J417" s="32"/>
    </row>
    <row r="418" spans="3:10" s="13" customFormat="1" ht="30.95" customHeight="1">
      <c r="C418" s="22">
        <f t="shared" si="6"/>
        <v>411</v>
      </c>
      <c r="D418" s="185" t="s">
        <v>1613</v>
      </c>
      <c r="E418" s="23" t="s">
        <v>1136</v>
      </c>
      <c r="F418" s="23" t="s">
        <v>1137</v>
      </c>
      <c r="G418" s="30">
        <v>600</v>
      </c>
      <c r="H418" s="25" t="s">
        <v>1611</v>
      </c>
      <c r="I418" s="25" t="s">
        <v>244</v>
      </c>
      <c r="J418" s="32"/>
    </row>
    <row r="419" spans="3:10" s="13" customFormat="1" ht="30.95" customHeight="1">
      <c r="C419" s="22">
        <f t="shared" si="6"/>
        <v>412</v>
      </c>
      <c r="D419" s="185" t="s">
        <v>1614</v>
      </c>
      <c r="E419" s="23" t="s">
        <v>1136</v>
      </c>
      <c r="F419" s="23" t="s">
        <v>1137</v>
      </c>
      <c r="G419" s="30">
        <v>650</v>
      </c>
      <c r="H419" s="25" t="s">
        <v>1611</v>
      </c>
      <c r="I419" s="25" t="s">
        <v>244</v>
      </c>
      <c r="J419" s="32"/>
    </row>
    <row r="420" spans="3:10" s="13" customFormat="1" ht="30.95" customHeight="1">
      <c r="C420" s="22">
        <f t="shared" si="6"/>
        <v>413</v>
      </c>
      <c r="D420" s="185" t="s">
        <v>1615</v>
      </c>
      <c r="E420" s="23" t="s">
        <v>1136</v>
      </c>
      <c r="F420" s="23" t="s">
        <v>1137</v>
      </c>
      <c r="G420" s="30">
        <v>500</v>
      </c>
      <c r="H420" s="25" t="s">
        <v>1611</v>
      </c>
      <c r="I420" s="25" t="s">
        <v>244</v>
      </c>
      <c r="J420" s="32"/>
    </row>
    <row r="421" spans="3:10" s="13" customFormat="1" ht="30.95" customHeight="1">
      <c r="C421" s="22">
        <f t="shared" si="6"/>
        <v>414</v>
      </c>
      <c r="D421" s="185" t="s">
        <v>1616</v>
      </c>
      <c r="E421" s="23" t="s">
        <v>1136</v>
      </c>
      <c r="F421" s="23" t="s">
        <v>1137</v>
      </c>
      <c r="G421" s="30">
        <v>550</v>
      </c>
      <c r="H421" s="25" t="s">
        <v>1611</v>
      </c>
      <c r="I421" s="25" t="s">
        <v>244</v>
      </c>
      <c r="J421" s="32"/>
    </row>
    <row r="422" spans="3:10" s="13" customFormat="1" ht="30.95" customHeight="1">
      <c r="C422" s="22">
        <f t="shared" si="6"/>
        <v>415</v>
      </c>
      <c r="D422" s="185" t="s">
        <v>1617</v>
      </c>
      <c r="E422" s="23" t="s">
        <v>1136</v>
      </c>
      <c r="F422" s="23" t="s">
        <v>1137</v>
      </c>
      <c r="G422" s="30">
        <v>500</v>
      </c>
      <c r="H422" s="25" t="s">
        <v>1611</v>
      </c>
      <c r="I422" s="25" t="s">
        <v>244</v>
      </c>
      <c r="J422" s="32"/>
    </row>
    <row r="423" spans="3:10" s="13" customFormat="1" ht="30.95" customHeight="1">
      <c r="C423" s="22">
        <f t="shared" si="6"/>
        <v>416</v>
      </c>
      <c r="D423" s="185" t="s">
        <v>1618</v>
      </c>
      <c r="E423" s="23" t="s">
        <v>1136</v>
      </c>
      <c r="F423" s="23" t="s">
        <v>1137</v>
      </c>
      <c r="G423" s="30">
        <v>450</v>
      </c>
      <c r="H423" s="25" t="s">
        <v>1611</v>
      </c>
      <c r="I423" s="25" t="s">
        <v>244</v>
      </c>
      <c r="J423" s="32"/>
    </row>
    <row r="424" spans="3:10" s="13" customFormat="1" ht="30.95" customHeight="1">
      <c r="C424" s="22">
        <f t="shared" si="6"/>
        <v>417</v>
      </c>
      <c r="D424" s="185" t="s">
        <v>1619</v>
      </c>
      <c r="E424" s="23" t="s">
        <v>1136</v>
      </c>
      <c r="F424" s="23" t="s">
        <v>1137</v>
      </c>
      <c r="G424" s="30">
        <v>500</v>
      </c>
      <c r="H424" s="25" t="s">
        <v>1611</v>
      </c>
      <c r="I424" s="25" t="s">
        <v>244</v>
      </c>
      <c r="J424" s="32"/>
    </row>
    <row r="425" spans="3:10" s="13" customFormat="1" ht="30.95" customHeight="1">
      <c r="C425" s="22">
        <f t="shared" si="6"/>
        <v>418</v>
      </c>
      <c r="D425" s="185" t="s">
        <v>1620</v>
      </c>
      <c r="E425" s="23" t="s">
        <v>1136</v>
      </c>
      <c r="F425" s="23" t="s">
        <v>1137</v>
      </c>
      <c r="G425" s="30">
        <v>350</v>
      </c>
      <c r="H425" s="25" t="s">
        <v>1611</v>
      </c>
      <c r="I425" s="25" t="s">
        <v>244</v>
      </c>
      <c r="J425" s="32"/>
    </row>
    <row r="426" spans="3:10" s="13" customFormat="1" ht="30.95" customHeight="1">
      <c r="C426" s="22">
        <f t="shared" si="6"/>
        <v>419</v>
      </c>
      <c r="D426" s="185" t="s">
        <v>1621</v>
      </c>
      <c r="E426" s="23" t="s">
        <v>1136</v>
      </c>
      <c r="F426" s="23" t="s">
        <v>1137</v>
      </c>
      <c r="G426" s="30">
        <v>500</v>
      </c>
      <c r="H426" s="25" t="s">
        <v>1611</v>
      </c>
      <c r="I426" s="25" t="s">
        <v>244</v>
      </c>
      <c r="J426" s="32"/>
    </row>
    <row r="427" spans="3:10" s="13" customFormat="1" ht="30.95" customHeight="1">
      <c r="C427" s="22">
        <f t="shared" si="6"/>
        <v>420</v>
      </c>
      <c r="D427" s="185" t="s">
        <v>1622</v>
      </c>
      <c r="E427" s="23" t="s">
        <v>1136</v>
      </c>
      <c r="F427" s="23" t="s">
        <v>1137</v>
      </c>
      <c r="G427" s="30">
        <v>300</v>
      </c>
      <c r="H427" s="25" t="s">
        <v>1611</v>
      </c>
      <c r="I427" s="25" t="s">
        <v>244</v>
      </c>
      <c r="J427" s="32"/>
    </row>
    <row r="428" spans="3:10" s="13" customFormat="1" ht="30.95" customHeight="1">
      <c r="C428" s="22">
        <f t="shared" si="6"/>
        <v>421</v>
      </c>
      <c r="D428" s="185" t="s">
        <v>1623</v>
      </c>
      <c r="E428" s="23" t="s">
        <v>1136</v>
      </c>
      <c r="F428" s="23" t="s">
        <v>1137</v>
      </c>
      <c r="G428" s="30">
        <v>500</v>
      </c>
      <c r="H428" s="25" t="s">
        <v>1611</v>
      </c>
      <c r="I428" s="25" t="s">
        <v>244</v>
      </c>
      <c r="J428" s="32"/>
    </row>
    <row r="429" spans="3:10" s="13" customFormat="1" ht="30.95" customHeight="1">
      <c r="C429" s="22">
        <f t="shared" si="6"/>
        <v>422</v>
      </c>
      <c r="D429" s="185" t="s">
        <v>1624</v>
      </c>
      <c r="E429" s="23" t="s">
        <v>1136</v>
      </c>
      <c r="F429" s="23" t="s">
        <v>1137</v>
      </c>
      <c r="G429" s="30">
        <v>500</v>
      </c>
      <c r="H429" s="25" t="s">
        <v>1611</v>
      </c>
      <c r="I429" s="25" t="s">
        <v>244</v>
      </c>
      <c r="J429" s="32"/>
    </row>
    <row r="430" spans="3:10" s="13" customFormat="1" ht="30.95" customHeight="1">
      <c r="C430" s="22">
        <f t="shared" si="6"/>
        <v>423</v>
      </c>
      <c r="D430" s="185" t="s">
        <v>1625</v>
      </c>
      <c r="E430" s="23" t="s">
        <v>1136</v>
      </c>
      <c r="F430" s="23" t="s">
        <v>1137</v>
      </c>
      <c r="G430" s="30">
        <v>200</v>
      </c>
      <c r="H430" s="25" t="s">
        <v>1626</v>
      </c>
      <c r="I430" s="25" t="s">
        <v>244</v>
      </c>
      <c r="J430" s="32"/>
    </row>
    <row r="431" spans="3:10" s="13" customFormat="1" ht="30.95" customHeight="1">
      <c r="C431" s="22">
        <f t="shared" si="6"/>
        <v>424</v>
      </c>
      <c r="D431" s="185" t="s">
        <v>1627</v>
      </c>
      <c r="E431" s="23" t="s">
        <v>1136</v>
      </c>
      <c r="F431" s="23" t="s">
        <v>1137</v>
      </c>
      <c r="G431" s="30">
        <v>300</v>
      </c>
      <c r="H431" s="25" t="s">
        <v>1626</v>
      </c>
      <c r="I431" s="25" t="s">
        <v>244</v>
      </c>
      <c r="J431" s="32"/>
    </row>
    <row r="432" spans="3:10" s="13" customFormat="1" ht="30.95" customHeight="1">
      <c r="C432" s="22">
        <f t="shared" si="6"/>
        <v>425</v>
      </c>
      <c r="D432" s="185" t="s">
        <v>1628</v>
      </c>
      <c r="E432" s="23" t="s">
        <v>1136</v>
      </c>
      <c r="F432" s="23" t="s">
        <v>1137</v>
      </c>
      <c r="G432" s="30">
        <v>400</v>
      </c>
      <c r="H432" s="25" t="s">
        <v>1629</v>
      </c>
      <c r="I432" s="25" t="s">
        <v>244</v>
      </c>
      <c r="J432" s="32"/>
    </row>
    <row r="433" spans="3:10" s="13" customFormat="1" ht="30.95" customHeight="1">
      <c r="C433" s="22">
        <f t="shared" si="6"/>
        <v>426</v>
      </c>
      <c r="D433" s="185" t="s">
        <v>1630</v>
      </c>
      <c r="E433" s="23" t="s">
        <v>1136</v>
      </c>
      <c r="F433" s="23" t="s">
        <v>1137</v>
      </c>
      <c r="G433" s="30">
        <v>300</v>
      </c>
      <c r="H433" s="25" t="s">
        <v>1629</v>
      </c>
      <c r="I433" s="25" t="s">
        <v>244</v>
      </c>
      <c r="J433" s="32"/>
    </row>
    <row r="434" spans="3:10" s="13" customFormat="1" ht="30.95" customHeight="1">
      <c r="C434" s="22">
        <f t="shared" si="6"/>
        <v>427</v>
      </c>
      <c r="D434" s="185" t="s">
        <v>1631</v>
      </c>
      <c r="E434" s="23" t="s">
        <v>1136</v>
      </c>
      <c r="F434" s="23" t="s">
        <v>1137</v>
      </c>
      <c r="G434" s="30">
        <v>500</v>
      </c>
      <c r="H434" s="25" t="s">
        <v>1629</v>
      </c>
      <c r="I434" s="25" t="s">
        <v>244</v>
      </c>
      <c r="J434" s="32"/>
    </row>
    <row r="435" spans="3:10" s="13" customFormat="1" ht="30.95" customHeight="1">
      <c r="C435" s="22">
        <f t="shared" si="6"/>
        <v>428</v>
      </c>
      <c r="D435" s="185" t="s">
        <v>1632</v>
      </c>
      <c r="E435" s="23" t="s">
        <v>1136</v>
      </c>
      <c r="F435" s="23" t="s">
        <v>1137</v>
      </c>
      <c r="G435" s="30">
        <v>200</v>
      </c>
      <c r="H435" s="25" t="s">
        <v>1629</v>
      </c>
      <c r="I435" s="25" t="s">
        <v>244</v>
      </c>
      <c r="J435" s="32"/>
    </row>
    <row r="436" spans="3:10" s="13" customFormat="1" ht="30.95" customHeight="1">
      <c r="C436" s="22">
        <f t="shared" si="6"/>
        <v>429</v>
      </c>
      <c r="D436" s="185" t="s">
        <v>1633</v>
      </c>
      <c r="E436" s="23" t="s">
        <v>1136</v>
      </c>
      <c r="F436" s="23" t="s">
        <v>1137</v>
      </c>
      <c r="G436" s="30">
        <v>500</v>
      </c>
      <c r="H436" s="25" t="s">
        <v>1634</v>
      </c>
      <c r="I436" s="25" t="s">
        <v>244</v>
      </c>
      <c r="J436" s="32"/>
    </row>
    <row r="437" spans="3:10" s="13" customFormat="1" ht="30.95" customHeight="1">
      <c r="C437" s="22">
        <f t="shared" si="6"/>
        <v>430</v>
      </c>
      <c r="D437" s="185" t="s">
        <v>1635</v>
      </c>
      <c r="E437" s="23" t="s">
        <v>1136</v>
      </c>
      <c r="F437" s="23" t="s">
        <v>1137</v>
      </c>
      <c r="G437" s="30">
        <v>500</v>
      </c>
      <c r="H437" s="25" t="s">
        <v>1634</v>
      </c>
      <c r="I437" s="25" t="s">
        <v>244</v>
      </c>
      <c r="J437" s="32"/>
    </row>
    <row r="438" spans="3:10" s="13" customFormat="1" ht="30.95" customHeight="1">
      <c r="C438" s="22">
        <f t="shared" si="6"/>
        <v>431</v>
      </c>
      <c r="D438" s="185" t="s">
        <v>1636</v>
      </c>
      <c r="E438" s="23" t="s">
        <v>1136</v>
      </c>
      <c r="F438" s="23" t="s">
        <v>1137</v>
      </c>
      <c r="G438" s="30">
        <v>500</v>
      </c>
      <c r="H438" s="25" t="s">
        <v>1634</v>
      </c>
      <c r="I438" s="25" t="s">
        <v>244</v>
      </c>
      <c r="J438" s="32"/>
    </row>
    <row r="439" spans="3:10" s="13" customFormat="1" ht="30.95" customHeight="1">
      <c r="C439" s="22">
        <f t="shared" si="6"/>
        <v>432</v>
      </c>
      <c r="D439" s="185" t="s">
        <v>1637</v>
      </c>
      <c r="E439" s="23" t="s">
        <v>1136</v>
      </c>
      <c r="F439" s="23" t="s">
        <v>1137</v>
      </c>
      <c r="G439" s="30">
        <v>500</v>
      </c>
      <c r="H439" s="25" t="s">
        <v>1634</v>
      </c>
      <c r="I439" s="25" t="s">
        <v>244</v>
      </c>
      <c r="J439" s="32"/>
    </row>
    <row r="440" spans="3:10" s="13" customFormat="1" ht="30.95" customHeight="1">
      <c r="C440" s="22">
        <f t="shared" si="6"/>
        <v>433</v>
      </c>
      <c r="D440" s="185" t="s">
        <v>1638</v>
      </c>
      <c r="E440" s="23" t="s">
        <v>1136</v>
      </c>
      <c r="F440" s="23" t="s">
        <v>1137</v>
      </c>
      <c r="G440" s="30">
        <v>500</v>
      </c>
      <c r="H440" s="25" t="s">
        <v>1634</v>
      </c>
      <c r="I440" s="25" t="s">
        <v>244</v>
      </c>
      <c r="J440" s="32"/>
    </row>
    <row r="441" spans="3:10" s="13" customFormat="1" ht="30.95" customHeight="1">
      <c r="C441" s="22">
        <f t="shared" si="6"/>
        <v>434</v>
      </c>
      <c r="D441" s="185" t="s">
        <v>1639</v>
      </c>
      <c r="E441" s="23" t="s">
        <v>1136</v>
      </c>
      <c r="F441" s="23" t="s">
        <v>1137</v>
      </c>
      <c r="G441" s="30">
        <v>500</v>
      </c>
      <c r="H441" s="25" t="s">
        <v>1634</v>
      </c>
      <c r="I441" s="25" t="s">
        <v>244</v>
      </c>
      <c r="J441" s="32"/>
    </row>
    <row r="442" spans="3:10" s="13" customFormat="1" ht="30.95" customHeight="1">
      <c r="C442" s="22">
        <f t="shared" si="6"/>
        <v>435</v>
      </c>
      <c r="D442" s="185" t="s">
        <v>1640</v>
      </c>
      <c r="E442" s="23" t="s">
        <v>1136</v>
      </c>
      <c r="F442" s="23" t="s">
        <v>1137</v>
      </c>
      <c r="G442" s="30">
        <v>500</v>
      </c>
      <c r="H442" s="25" t="s">
        <v>1634</v>
      </c>
      <c r="I442" s="25" t="s">
        <v>244</v>
      </c>
      <c r="J442" s="32"/>
    </row>
    <row r="443" spans="3:10" s="13" customFormat="1" ht="30.95" customHeight="1">
      <c r="C443" s="22">
        <f t="shared" si="6"/>
        <v>436</v>
      </c>
      <c r="D443" s="185" t="s">
        <v>1641</v>
      </c>
      <c r="E443" s="23" t="s">
        <v>1136</v>
      </c>
      <c r="F443" s="23" t="s">
        <v>1137</v>
      </c>
      <c r="G443" s="30">
        <v>500</v>
      </c>
      <c r="H443" s="25" t="s">
        <v>1634</v>
      </c>
      <c r="I443" s="25" t="s">
        <v>244</v>
      </c>
      <c r="J443" s="32"/>
    </row>
    <row r="444" spans="3:10" s="13" customFormat="1" ht="30.95" customHeight="1">
      <c r="C444" s="22">
        <f t="shared" si="6"/>
        <v>437</v>
      </c>
      <c r="D444" s="185" t="s">
        <v>1642</v>
      </c>
      <c r="E444" s="23" t="s">
        <v>1136</v>
      </c>
      <c r="F444" s="23" t="s">
        <v>1137</v>
      </c>
      <c r="G444" s="30">
        <v>500</v>
      </c>
      <c r="H444" s="25" t="s">
        <v>1643</v>
      </c>
      <c r="I444" s="25" t="s">
        <v>244</v>
      </c>
      <c r="J444" s="32"/>
    </row>
    <row r="445" spans="3:10" s="13" customFormat="1" ht="30.95" customHeight="1">
      <c r="C445" s="22">
        <f t="shared" si="6"/>
        <v>438</v>
      </c>
      <c r="D445" s="185" t="s">
        <v>1644</v>
      </c>
      <c r="E445" s="23" t="s">
        <v>1136</v>
      </c>
      <c r="F445" s="23" t="s">
        <v>1137</v>
      </c>
      <c r="G445" s="30">
        <v>500</v>
      </c>
      <c r="H445" s="25" t="s">
        <v>1643</v>
      </c>
      <c r="I445" s="25" t="s">
        <v>244</v>
      </c>
      <c r="J445" s="32"/>
    </row>
    <row r="446" spans="3:10" s="13" customFormat="1" ht="30.95" customHeight="1">
      <c r="C446" s="22">
        <f t="shared" si="6"/>
        <v>439</v>
      </c>
      <c r="D446" s="185" t="s">
        <v>1645</v>
      </c>
      <c r="E446" s="23" t="s">
        <v>1136</v>
      </c>
      <c r="F446" s="23" t="s">
        <v>1137</v>
      </c>
      <c r="G446" s="30">
        <v>500</v>
      </c>
      <c r="H446" s="25" t="s">
        <v>1643</v>
      </c>
      <c r="I446" s="25" t="s">
        <v>244</v>
      </c>
      <c r="J446" s="32"/>
    </row>
    <row r="447" spans="3:10" s="13" customFormat="1" ht="30.95" customHeight="1">
      <c r="C447" s="22">
        <f t="shared" si="6"/>
        <v>440</v>
      </c>
      <c r="D447" s="185" t="s">
        <v>1646</v>
      </c>
      <c r="E447" s="23" t="s">
        <v>1136</v>
      </c>
      <c r="F447" s="23" t="s">
        <v>1137</v>
      </c>
      <c r="G447" s="30">
        <v>500</v>
      </c>
      <c r="H447" s="25" t="s">
        <v>1643</v>
      </c>
      <c r="I447" s="25" t="s">
        <v>244</v>
      </c>
      <c r="J447" s="32"/>
    </row>
    <row r="448" spans="3:10" s="13" customFormat="1" ht="30.95" customHeight="1">
      <c r="C448" s="22">
        <f t="shared" si="6"/>
        <v>441</v>
      </c>
      <c r="D448" s="185" t="s">
        <v>1647</v>
      </c>
      <c r="E448" s="23" t="s">
        <v>1136</v>
      </c>
      <c r="F448" s="23" t="s">
        <v>1137</v>
      </c>
      <c r="G448" s="30">
        <v>500</v>
      </c>
      <c r="H448" s="25" t="s">
        <v>1643</v>
      </c>
      <c r="I448" s="25" t="s">
        <v>244</v>
      </c>
      <c r="J448" s="32"/>
    </row>
    <row r="449" spans="3:10" s="13" customFormat="1" ht="30.95" customHeight="1">
      <c r="C449" s="22">
        <f t="shared" si="6"/>
        <v>442</v>
      </c>
      <c r="D449" s="185" t="s">
        <v>1648</v>
      </c>
      <c r="E449" s="23" t="s">
        <v>1136</v>
      </c>
      <c r="F449" s="23" t="s">
        <v>1137</v>
      </c>
      <c r="G449" s="30">
        <v>500</v>
      </c>
      <c r="H449" s="25" t="s">
        <v>1643</v>
      </c>
      <c r="I449" s="25" t="s">
        <v>244</v>
      </c>
      <c r="J449" s="32"/>
    </row>
    <row r="450" spans="3:10" s="13" customFormat="1" ht="30.95" customHeight="1">
      <c r="C450" s="22">
        <f t="shared" si="6"/>
        <v>443</v>
      </c>
      <c r="D450" s="185" t="s">
        <v>1649</v>
      </c>
      <c r="E450" s="23" t="s">
        <v>1136</v>
      </c>
      <c r="F450" s="23" t="s">
        <v>1137</v>
      </c>
      <c r="G450" s="30">
        <v>500</v>
      </c>
      <c r="H450" s="25" t="s">
        <v>1643</v>
      </c>
      <c r="I450" s="25" t="s">
        <v>244</v>
      </c>
      <c r="J450" s="32"/>
    </row>
    <row r="451" spans="3:10" s="13" customFormat="1" ht="30.95" customHeight="1">
      <c r="C451" s="22">
        <f t="shared" si="6"/>
        <v>444</v>
      </c>
      <c r="D451" s="185" t="s">
        <v>1650</v>
      </c>
      <c r="E451" s="23" t="s">
        <v>1136</v>
      </c>
      <c r="F451" s="23" t="s">
        <v>1137</v>
      </c>
      <c r="G451" s="30">
        <v>500</v>
      </c>
      <c r="H451" s="25" t="s">
        <v>1643</v>
      </c>
      <c r="I451" s="25" t="s">
        <v>244</v>
      </c>
      <c r="J451" s="32"/>
    </row>
    <row r="452" spans="3:10" s="13" customFormat="1" ht="30.95" customHeight="1">
      <c r="C452" s="22">
        <f t="shared" si="6"/>
        <v>445</v>
      </c>
      <c r="D452" s="185" t="s">
        <v>1651</v>
      </c>
      <c r="E452" s="23" t="s">
        <v>1136</v>
      </c>
      <c r="F452" s="23" t="s">
        <v>1137</v>
      </c>
      <c r="G452" s="30">
        <v>500</v>
      </c>
      <c r="H452" s="25" t="s">
        <v>1652</v>
      </c>
      <c r="I452" s="25" t="s">
        <v>244</v>
      </c>
      <c r="J452" s="32"/>
    </row>
    <row r="453" spans="3:10" s="13" customFormat="1" ht="30.95" customHeight="1">
      <c r="C453" s="22">
        <f t="shared" si="6"/>
        <v>446</v>
      </c>
      <c r="D453" s="185" t="s">
        <v>1653</v>
      </c>
      <c r="E453" s="23" t="s">
        <v>1136</v>
      </c>
      <c r="F453" s="23" t="s">
        <v>1137</v>
      </c>
      <c r="G453" s="30">
        <v>500</v>
      </c>
      <c r="H453" s="25" t="s">
        <v>1652</v>
      </c>
      <c r="I453" s="25" t="s">
        <v>244</v>
      </c>
      <c r="J453" s="32"/>
    </row>
    <row r="454" spans="3:10" s="13" customFormat="1" ht="30.95" customHeight="1">
      <c r="C454" s="22">
        <f t="shared" si="6"/>
        <v>447</v>
      </c>
      <c r="D454" s="185" t="s">
        <v>1654</v>
      </c>
      <c r="E454" s="23" t="s">
        <v>1136</v>
      </c>
      <c r="F454" s="23" t="s">
        <v>1137</v>
      </c>
      <c r="G454" s="30">
        <v>500</v>
      </c>
      <c r="H454" s="25" t="s">
        <v>1652</v>
      </c>
      <c r="I454" s="25" t="s">
        <v>244</v>
      </c>
      <c r="J454" s="32"/>
    </row>
    <row r="455" spans="3:10" s="13" customFormat="1" ht="30.95" customHeight="1">
      <c r="C455" s="22">
        <f t="shared" si="6"/>
        <v>448</v>
      </c>
      <c r="D455" s="185" t="s">
        <v>1655</v>
      </c>
      <c r="E455" s="23" t="s">
        <v>1136</v>
      </c>
      <c r="F455" s="23" t="s">
        <v>1137</v>
      </c>
      <c r="G455" s="30">
        <v>500</v>
      </c>
      <c r="H455" s="25" t="s">
        <v>1652</v>
      </c>
      <c r="I455" s="25" t="s">
        <v>244</v>
      </c>
      <c r="J455" s="32"/>
    </row>
    <row r="456" spans="3:10" s="13" customFormat="1" ht="30.95" customHeight="1">
      <c r="C456" s="22">
        <f t="shared" si="6"/>
        <v>449</v>
      </c>
      <c r="D456" s="185" t="s">
        <v>1656</v>
      </c>
      <c r="E456" s="23" t="s">
        <v>1136</v>
      </c>
      <c r="F456" s="23" t="s">
        <v>1137</v>
      </c>
      <c r="G456" s="30">
        <v>500</v>
      </c>
      <c r="H456" s="25" t="s">
        <v>1652</v>
      </c>
      <c r="I456" s="25" t="s">
        <v>244</v>
      </c>
      <c r="J456" s="32"/>
    </row>
    <row r="457" spans="3:10" s="13" customFormat="1" ht="30.95" customHeight="1">
      <c r="C457" s="22">
        <f t="shared" si="6"/>
        <v>450</v>
      </c>
      <c r="D457" s="185" t="s">
        <v>1657</v>
      </c>
      <c r="E457" s="23" t="s">
        <v>1136</v>
      </c>
      <c r="F457" s="23" t="s">
        <v>1137</v>
      </c>
      <c r="G457" s="30">
        <v>500</v>
      </c>
      <c r="H457" s="25" t="s">
        <v>1652</v>
      </c>
      <c r="I457" s="25" t="s">
        <v>244</v>
      </c>
      <c r="J457" s="32"/>
    </row>
    <row r="458" spans="3:10" s="13" customFormat="1" ht="30.95" customHeight="1">
      <c r="C458" s="22">
        <f t="shared" ref="C458:C521" si="7">C457+1</f>
        <v>451</v>
      </c>
      <c r="D458" s="185" t="s">
        <v>1658</v>
      </c>
      <c r="E458" s="23" t="s">
        <v>1136</v>
      </c>
      <c r="F458" s="23" t="s">
        <v>1137</v>
      </c>
      <c r="G458" s="30">
        <v>500</v>
      </c>
      <c r="H458" s="25" t="s">
        <v>1652</v>
      </c>
      <c r="I458" s="25" t="s">
        <v>244</v>
      </c>
      <c r="J458" s="32"/>
    </row>
    <row r="459" spans="3:10" s="13" customFormat="1" ht="30.95" customHeight="1">
      <c r="C459" s="22">
        <f t="shared" si="7"/>
        <v>452</v>
      </c>
      <c r="D459" s="185" t="s">
        <v>1659</v>
      </c>
      <c r="E459" s="23" t="s">
        <v>1136</v>
      </c>
      <c r="F459" s="23" t="s">
        <v>1137</v>
      </c>
      <c r="G459" s="30">
        <v>500</v>
      </c>
      <c r="H459" s="25" t="s">
        <v>1652</v>
      </c>
      <c r="I459" s="25" t="s">
        <v>244</v>
      </c>
      <c r="J459" s="32"/>
    </row>
    <row r="460" spans="3:10" s="13" customFormat="1" ht="30.95" customHeight="1">
      <c r="C460" s="22">
        <f t="shared" si="7"/>
        <v>453</v>
      </c>
      <c r="D460" s="184" t="s">
        <v>1660</v>
      </c>
      <c r="E460" s="23" t="s">
        <v>1136</v>
      </c>
      <c r="F460" s="23" t="s">
        <v>1137</v>
      </c>
      <c r="G460" s="29">
        <v>11216</v>
      </c>
      <c r="H460" s="25" t="s">
        <v>1661</v>
      </c>
      <c r="I460" s="25" t="s">
        <v>1662</v>
      </c>
      <c r="J460" s="26"/>
    </row>
    <row r="461" spans="3:10" s="13" customFormat="1" ht="30.95" customHeight="1">
      <c r="C461" s="22">
        <f t="shared" si="7"/>
        <v>454</v>
      </c>
      <c r="D461" s="184" t="s">
        <v>1663</v>
      </c>
      <c r="E461" s="23" t="s">
        <v>1136</v>
      </c>
      <c r="F461" s="23" t="s">
        <v>1137</v>
      </c>
      <c r="G461" s="29">
        <v>4002</v>
      </c>
      <c r="H461" s="25" t="s">
        <v>1664</v>
      </c>
      <c r="I461" s="25" t="s">
        <v>1665</v>
      </c>
      <c r="J461" s="26"/>
    </row>
    <row r="462" spans="3:10" s="13" customFormat="1" ht="30.95" customHeight="1">
      <c r="C462" s="22">
        <f t="shared" si="7"/>
        <v>455</v>
      </c>
      <c r="D462" s="184" t="s">
        <v>1666</v>
      </c>
      <c r="E462" s="23" t="s">
        <v>1136</v>
      </c>
      <c r="F462" s="23" t="s">
        <v>1137</v>
      </c>
      <c r="G462" s="29">
        <v>11544</v>
      </c>
      <c r="H462" s="25" t="s">
        <v>1112</v>
      </c>
      <c r="I462" s="25" t="s">
        <v>1667</v>
      </c>
      <c r="J462" s="26"/>
    </row>
    <row r="463" spans="3:10" s="13" customFormat="1" ht="30.95" customHeight="1">
      <c r="C463" s="22">
        <f t="shared" si="7"/>
        <v>456</v>
      </c>
      <c r="D463" s="184" t="s">
        <v>1668</v>
      </c>
      <c r="E463" s="23" t="s">
        <v>1136</v>
      </c>
      <c r="F463" s="23" t="s">
        <v>1137</v>
      </c>
      <c r="G463" s="29">
        <v>1471</v>
      </c>
      <c r="H463" s="25" t="s">
        <v>1112</v>
      </c>
      <c r="I463" s="25" t="s">
        <v>407</v>
      </c>
      <c r="J463" s="26"/>
    </row>
    <row r="464" spans="3:10" s="13" customFormat="1" ht="30.95" customHeight="1">
      <c r="C464" s="22">
        <f t="shared" si="7"/>
        <v>457</v>
      </c>
      <c r="D464" s="184" t="s">
        <v>1669</v>
      </c>
      <c r="E464" s="23" t="s">
        <v>1136</v>
      </c>
      <c r="F464" s="23" t="s">
        <v>1137</v>
      </c>
      <c r="G464" s="29">
        <v>460</v>
      </c>
      <c r="H464" s="25" t="s">
        <v>1112</v>
      </c>
      <c r="I464" s="25" t="s">
        <v>407</v>
      </c>
      <c r="J464" s="26"/>
    </row>
    <row r="465" spans="3:10" s="13" customFormat="1" ht="30.95" customHeight="1">
      <c r="C465" s="22">
        <f t="shared" si="7"/>
        <v>458</v>
      </c>
      <c r="D465" s="184" t="s">
        <v>1670</v>
      </c>
      <c r="E465" s="23" t="s">
        <v>1136</v>
      </c>
      <c r="F465" s="23" t="s">
        <v>1137</v>
      </c>
      <c r="G465" s="33">
        <v>746</v>
      </c>
      <c r="H465" s="25" t="s">
        <v>1112</v>
      </c>
      <c r="I465" s="25" t="s">
        <v>407</v>
      </c>
      <c r="J465" s="26"/>
    </row>
    <row r="466" spans="3:10" s="13" customFormat="1" ht="30.95" customHeight="1">
      <c r="C466" s="22">
        <f t="shared" si="7"/>
        <v>459</v>
      </c>
      <c r="D466" s="184" t="s">
        <v>1671</v>
      </c>
      <c r="E466" s="23" t="s">
        <v>1136</v>
      </c>
      <c r="F466" s="23" t="s">
        <v>1137</v>
      </c>
      <c r="G466" s="33">
        <v>300</v>
      </c>
      <c r="H466" s="25" t="s">
        <v>1112</v>
      </c>
      <c r="I466" s="25" t="s">
        <v>407</v>
      </c>
      <c r="J466" s="26"/>
    </row>
    <row r="467" spans="3:10" s="13" customFormat="1" ht="30.95" customHeight="1">
      <c r="C467" s="22">
        <f t="shared" si="7"/>
        <v>460</v>
      </c>
      <c r="D467" s="184" t="s">
        <v>1672</v>
      </c>
      <c r="E467" s="23" t="s">
        <v>1136</v>
      </c>
      <c r="F467" s="23" t="s">
        <v>1137</v>
      </c>
      <c r="G467" s="33">
        <v>280</v>
      </c>
      <c r="H467" s="25" t="s">
        <v>1112</v>
      </c>
      <c r="I467" s="25" t="s">
        <v>407</v>
      </c>
      <c r="J467" s="26"/>
    </row>
    <row r="468" spans="3:10" s="13" customFormat="1" ht="30.95" customHeight="1">
      <c r="C468" s="22">
        <f t="shared" si="7"/>
        <v>461</v>
      </c>
      <c r="D468" s="184" t="s">
        <v>1673</v>
      </c>
      <c r="E468" s="23" t="s">
        <v>1136</v>
      </c>
      <c r="F468" s="23" t="s">
        <v>1137</v>
      </c>
      <c r="G468" s="33">
        <v>492</v>
      </c>
      <c r="H468" s="25" t="s">
        <v>1112</v>
      </c>
      <c r="I468" s="25" t="s">
        <v>407</v>
      </c>
      <c r="J468" s="26"/>
    </row>
    <row r="469" spans="3:10" s="13" customFormat="1" ht="30.95" customHeight="1">
      <c r="C469" s="22">
        <f t="shared" si="7"/>
        <v>462</v>
      </c>
      <c r="D469" s="184" t="s">
        <v>1674</v>
      </c>
      <c r="E469" s="23" t="s">
        <v>1136</v>
      </c>
      <c r="F469" s="23" t="s">
        <v>1137</v>
      </c>
      <c r="G469" s="33">
        <v>650</v>
      </c>
      <c r="H469" s="25" t="s">
        <v>1112</v>
      </c>
      <c r="I469" s="25" t="s">
        <v>407</v>
      </c>
      <c r="J469" s="26"/>
    </row>
    <row r="470" spans="3:10" s="13" customFormat="1" ht="30.95" customHeight="1">
      <c r="C470" s="22">
        <f t="shared" si="7"/>
        <v>463</v>
      </c>
      <c r="D470" s="184" t="s">
        <v>1675</v>
      </c>
      <c r="E470" s="23" t="s">
        <v>1136</v>
      </c>
      <c r="F470" s="23" t="s">
        <v>1137</v>
      </c>
      <c r="G470" s="33">
        <v>790</v>
      </c>
      <c r="H470" s="25" t="s">
        <v>1112</v>
      </c>
      <c r="I470" s="25" t="s">
        <v>407</v>
      </c>
      <c r="J470" s="26"/>
    </row>
    <row r="471" spans="3:10" s="13" customFormat="1" ht="30.95" customHeight="1">
      <c r="C471" s="22">
        <f t="shared" si="7"/>
        <v>464</v>
      </c>
      <c r="D471" s="184" t="s">
        <v>1676</v>
      </c>
      <c r="E471" s="23" t="s">
        <v>1136</v>
      </c>
      <c r="F471" s="23" t="s">
        <v>1137</v>
      </c>
      <c r="G471" s="33">
        <v>16624</v>
      </c>
      <c r="H471" s="25" t="s">
        <v>1112</v>
      </c>
      <c r="I471" s="25" t="s">
        <v>407</v>
      </c>
      <c r="J471" s="26"/>
    </row>
    <row r="472" spans="3:10" s="13" customFormat="1" ht="30.95" customHeight="1">
      <c r="C472" s="22">
        <f t="shared" si="7"/>
        <v>465</v>
      </c>
      <c r="D472" s="184" t="s">
        <v>1677</v>
      </c>
      <c r="E472" s="23" t="s">
        <v>1136</v>
      </c>
      <c r="F472" s="23" t="s">
        <v>1137</v>
      </c>
      <c r="G472" s="33">
        <v>529</v>
      </c>
      <c r="H472" s="25" t="s">
        <v>1112</v>
      </c>
      <c r="I472" s="25" t="s">
        <v>407</v>
      </c>
      <c r="J472" s="26"/>
    </row>
    <row r="473" spans="3:10" s="13" customFormat="1" ht="30.95" customHeight="1">
      <c r="C473" s="22">
        <f t="shared" si="7"/>
        <v>466</v>
      </c>
      <c r="D473" s="184" t="s">
        <v>1678</v>
      </c>
      <c r="E473" s="23" t="s">
        <v>1136</v>
      </c>
      <c r="F473" s="23" t="s">
        <v>1137</v>
      </c>
      <c r="G473" s="33">
        <v>1535</v>
      </c>
      <c r="H473" s="25" t="s">
        <v>1112</v>
      </c>
      <c r="I473" s="25" t="s">
        <v>407</v>
      </c>
      <c r="J473" s="26"/>
    </row>
    <row r="474" spans="3:10" s="13" customFormat="1" ht="30.95" customHeight="1">
      <c r="C474" s="22">
        <f t="shared" si="7"/>
        <v>467</v>
      </c>
      <c r="D474" s="184" t="s">
        <v>1679</v>
      </c>
      <c r="E474" s="23" t="s">
        <v>1136</v>
      </c>
      <c r="F474" s="23" t="s">
        <v>1137</v>
      </c>
      <c r="G474" s="33">
        <v>468</v>
      </c>
      <c r="H474" s="25" t="s">
        <v>1112</v>
      </c>
      <c r="I474" s="25" t="s">
        <v>407</v>
      </c>
      <c r="J474" s="26"/>
    </row>
    <row r="475" spans="3:10" s="13" customFormat="1" ht="30.95" customHeight="1">
      <c r="C475" s="22">
        <f t="shared" si="7"/>
        <v>468</v>
      </c>
      <c r="D475" s="184" t="s">
        <v>1680</v>
      </c>
      <c r="E475" s="23" t="s">
        <v>1136</v>
      </c>
      <c r="F475" s="23" t="s">
        <v>1137</v>
      </c>
      <c r="G475" s="33">
        <v>1404</v>
      </c>
      <c r="H475" s="25" t="s">
        <v>1112</v>
      </c>
      <c r="I475" s="25" t="s">
        <v>407</v>
      </c>
      <c r="J475" s="26"/>
    </row>
    <row r="476" spans="3:10" s="13" customFormat="1" ht="30.95" customHeight="1">
      <c r="C476" s="22">
        <f t="shared" si="7"/>
        <v>469</v>
      </c>
      <c r="D476" s="184" t="s">
        <v>1681</v>
      </c>
      <c r="E476" s="23" t="s">
        <v>1136</v>
      </c>
      <c r="F476" s="23" t="s">
        <v>1137</v>
      </c>
      <c r="G476" s="33">
        <v>897</v>
      </c>
      <c r="H476" s="25" t="s">
        <v>1112</v>
      </c>
      <c r="I476" s="25" t="s">
        <v>407</v>
      </c>
      <c r="J476" s="26"/>
    </row>
    <row r="477" spans="3:10" s="13" customFormat="1" ht="30.95" customHeight="1">
      <c r="C477" s="22">
        <f t="shared" si="7"/>
        <v>470</v>
      </c>
      <c r="D477" s="184" t="s">
        <v>1682</v>
      </c>
      <c r="E477" s="23" t="s">
        <v>1136</v>
      </c>
      <c r="F477" s="23" t="s">
        <v>1137</v>
      </c>
      <c r="G477" s="33">
        <v>904</v>
      </c>
      <c r="H477" s="25" t="s">
        <v>1112</v>
      </c>
      <c r="I477" s="25" t="s">
        <v>407</v>
      </c>
      <c r="J477" s="26"/>
    </row>
    <row r="478" spans="3:10" s="13" customFormat="1" ht="30.95" customHeight="1">
      <c r="C478" s="22">
        <f t="shared" si="7"/>
        <v>471</v>
      </c>
      <c r="D478" s="184" t="s">
        <v>1683</v>
      </c>
      <c r="E478" s="23" t="s">
        <v>1136</v>
      </c>
      <c r="F478" s="23" t="s">
        <v>1137</v>
      </c>
      <c r="G478" s="33">
        <v>6550</v>
      </c>
      <c r="H478" s="25" t="s">
        <v>1112</v>
      </c>
      <c r="I478" s="25" t="s">
        <v>1684</v>
      </c>
      <c r="J478" s="26"/>
    </row>
    <row r="479" spans="3:10" s="13" customFormat="1" ht="30.95" customHeight="1">
      <c r="C479" s="22">
        <f t="shared" si="7"/>
        <v>472</v>
      </c>
      <c r="D479" s="184" t="s">
        <v>1685</v>
      </c>
      <c r="E479" s="23" t="s">
        <v>1136</v>
      </c>
      <c r="F479" s="23" t="s">
        <v>1137</v>
      </c>
      <c r="G479" s="33">
        <v>1659</v>
      </c>
      <c r="H479" s="25" t="s">
        <v>1112</v>
      </c>
      <c r="I479" s="25" t="s">
        <v>407</v>
      </c>
      <c r="J479" s="26"/>
    </row>
    <row r="480" spans="3:10" s="13" customFormat="1" ht="30.95" customHeight="1">
      <c r="C480" s="22">
        <f t="shared" si="7"/>
        <v>473</v>
      </c>
      <c r="D480" s="184" t="s">
        <v>1686</v>
      </c>
      <c r="E480" s="23" t="s">
        <v>1136</v>
      </c>
      <c r="F480" s="23" t="s">
        <v>1137</v>
      </c>
      <c r="G480" s="33">
        <v>800</v>
      </c>
      <c r="H480" s="25" t="s">
        <v>1112</v>
      </c>
      <c r="I480" s="25" t="s">
        <v>407</v>
      </c>
      <c r="J480" s="26"/>
    </row>
    <row r="481" spans="3:10" s="13" customFormat="1" ht="30.95" customHeight="1">
      <c r="C481" s="22">
        <f t="shared" si="7"/>
        <v>474</v>
      </c>
      <c r="D481" s="184" t="s">
        <v>1687</v>
      </c>
      <c r="E481" s="23" t="s">
        <v>1136</v>
      </c>
      <c r="F481" s="23" t="s">
        <v>1137</v>
      </c>
      <c r="G481" s="33">
        <v>928</v>
      </c>
      <c r="H481" s="25" t="s">
        <v>1112</v>
      </c>
      <c r="I481" s="25" t="s">
        <v>407</v>
      </c>
      <c r="J481" s="26"/>
    </row>
    <row r="482" spans="3:10" s="13" customFormat="1" ht="30.95" customHeight="1">
      <c r="C482" s="22">
        <f t="shared" si="7"/>
        <v>475</v>
      </c>
      <c r="D482" s="184" t="s">
        <v>1688</v>
      </c>
      <c r="E482" s="23" t="s">
        <v>1136</v>
      </c>
      <c r="F482" s="23" t="s">
        <v>1137</v>
      </c>
      <c r="G482" s="33">
        <v>1147</v>
      </c>
      <c r="H482" s="25" t="s">
        <v>1112</v>
      </c>
      <c r="I482" s="25" t="s">
        <v>407</v>
      </c>
      <c r="J482" s="26"/>
    </row>
    <row r="483" spans="3:10" s="13" customFormat="1" ht="30.95" customHeight="1">
      <c r="C483" s="22">
        <f t="shared" si="7"/>
        <v>476</v>
      </c>
      <c r="D483" s="184" t="s">
        <v>1689</v>
      </c>
      <c r="E483" s="23" t="s">
        <v>1136</v>
      </c>
      <c r="F483" s="23" t="s">
        <v>1137</v>
      </c>
      <c r="G483" s="33">
        <v>651</v>
      </c>
      <c r="H483" s="25" t="s">
        <v>1112</v>
      </c>
      <c r="I483" s="25" t="s">
        <v>407</v>
      </c>
      <c r="J483" s="26"/>
    </row>
    <row r="484" spans="3:10" s="13" customFormat="1" ht="30.95" customHeight="1">
      <c r="C484" s="22">
        <f t="shared" si="7"/>
        <v>477</v>
      </c>
      <c r="D484" s="184" t="s">
        <v>1690</v>
      </c>
      <c r="E484" s="23" t="s">
        <v>1136</v>
      </c>
      <c r="F484" s="23" t="s">
        <v>1137</v>
      </c>
      <c r="G484" s="33">
        <v>1619</v>
      </c>
      <c r="H484" s="25" t="s">
        <v>1112</v>
      </c>
      <c r="I484" s="25" t="s">
        <v>407</v>
      </c>
      <c r="J484" s="26"/>
    </row>
    <row r="485" spans="3:10" s="13" customFormat="1" ht="30.95" customHeight="1">
      <c r="C485" s="22">
        <f t="shared" si="7"/>
        <v>478</v>
      </c>
      <c r="D485" s="184" t="s">
        <v>1691</v>
      </c>
      <c r="E485" s="23" t="s">
        <v>1136</v>
      </c>
      <c r="F485" s="23" t="s">
        <v>1137</v>
      </c>
      <c r="G485" s="33">
        <v>753</v>
      </c>
      <c r="H485" s="25" t="s">
        <v>1112</v>
      </c>
      <c r="I485" s="25" t="s">
        <v>407</v>
      </c>
      <c r="J485" s="26"/>
    </row>
    <row r="486" spans="3:10" s="13" customFormat="1" ht="30.95" customHeight="1">
      <c r="C486" s="22">
        <f t="shared" si="7"/>
        <v>479</v>
      </c>
      <c r="D486" s="184" t="s">
        <v>1692</v>
      </c>
      <c r="E486" s="23" t="s">
        <v>1136</v>
      </c>
      <c r="F486" s="23" t="s">
        <v>1137</v>
      </c>
      <c r="G486" s="33">
        <v>14971</v>
      </c>
      <c r="H486" s="25" t="s">
        <v>1112</v>
      </c>
      <c r="I486" s="25" t="s">
        <v>1693</v>
      </c>
      <c r="J486" s="26"/>
    </row>
    <row r="487" spans="3:10" s="13" customFormat="1" ht="30.95" customHeight="1">
      <c r="C487" s="22">
        <f t="shared" si="7"/>
        <v>480</v>
      </c>
      <c r="D487" s="184" t="s">
        <v>1694</v>
      </c>
      <c r="E487" s="23" t="s">
        <v>1136</v>
      </c>
      <c r="F487" s="23" t="s">
        <v>1137</v>
      </c>
      <c r="G487" s="29">
        <v>390</v>
      </c>
      <c r="H487" s="25" t="s">
        <v>1663</v>
      </c>
      <c r="I487" s="25" t="s">
        <v>407</v>
      </c>
      <c r="J487" s="26"/>
    </row>
    <row r="488" spans="3:10" s="13" customFormat="1" ht="30.95" customHeight="1">
      <c r="C488" s="22">
        <f t="shared" si="7"/>
        <v>481</v>
      </c>
      <c r="D488" s="184" t="s">
        <v>1695</v>
      </c>
      <c r="E488" s="23" t="s">
        <v>1136</v>
      </c>
      <c r="F488" s="23" t="s">
        <v>1137</v>
      </c>
      <c r="G488" s="29">
        <v>762</v>
      </c>
      <c r="H488" s="25" t="s">
        <v>1663</v>
      </c>
      <c r="I488" s="25" t="s">
        <v>407</v>
      </c>
      <c r="J488" s="26"/>
    </row>
    <row r="489" spans="3:10" s="13" customFormat="1" ht="30.95" customHeight="1">
      <c r="C489" s="22">
        <f t="shared" si="7"/>
        <v>482</v>
      </c>
      <c r="D489" s="184" t="s">
        <v>1696</v>
      </c>
      <c r="E489" s="23" t="s">
        <v>1136</v>
      </c>
      <c r="F489" s="23" t="s">
        <v>1137</v>
      </c>
      <c r="G489" s="29">
        <v>280</v>
      </c>
      <c r="H489" s="25" t="s">
        <v>1663</v>
      </c>
      <c r="I489" s="25" t="s">
        <v>407</v>
      </c>
      <c r="J489" s="26"/>
    </row>
    <row r="490" spans="3:10" s="13" customFormat="1" ht="30.95" customHeight="1">
      <c r="C490" s="22">
        <f t="shared" si="7"/>
        <v>483</v>
      </c>
      <c r="D490" s="184" t="s">
        <v>1697</v>
      </c>
      <c r="E490" s="23" t="s">
        <v>1136</v>
      </c>
      <c r="F490" s="23" t="s">
        <v>1137</v>
      </c>
      <c r="G490" s="29">
        <v>1731</v>
      </c>
      <c r="H490" s="25" t="s">
        <v>1663</v>
      </c>
      <c r="I490" s="25" t="s">
        <v>407</v>
      </c>
      <c r="J490" s="26"/>
    </row>
    <row r="491" spans="3:10" s="13" customFormat="1" ht="30.95" customHeight="1">
      <c r="C491" s="22">
        <f t="shared" si="7"/>
        <v>484</v>
      </c>
      <c r="D491" s="184" t="s">
        <v>1698</v>
      </c>
      <c r="E491" s="23" t="s">
        <v>1136</v>
      </c>
      <c r="F491" s="23" t="s">
        <v>1137</v>
      </c>
      <c r="G491" s="29">
        <v>1680</v>
      </c>
      <c r="H491" s="25" t="s">
        <v>1663</v>
      </c>
      <c r="I491" s="25" t="s">
        <v>407</v>
      </c>
      <c r="J491" s="26"/>
    </row>
    <row r="492" spans="3:10" s="13" customFormat="1" ht="30.95" customHeight="1">
      <c r="C492" s="22">
        <f t="shared" si="7"/>
        <v>485</v>
      </c>
      <c r="D492" s="184" t="s">
        <v>1699</v>
      </c>
      <c r="E492" s="23" t="s">
        <v>1136</v>
      </c>
      <c r="F492" s="23" t="s">
        <v>1137</v>
      </c>
      <c r="G492" s="29">
        <v>60</v>
      </c>
      <c r="H492" s="25" t="s">
        <v>1663</v>
      </c>
      <c r="I492" s="25" t="s">
        <v>407</v>
      </c>
      <c r="J492" s="26"/>
    </row>
    <row r="493" spans="3:10" s="13" customFormat="1" ht="30.95" customHeight="1">
      <c r="C493" s="22">
        <f t="shared" si="7"/>
        <v>486</v>
      </c>
      <c r="D493" s="184" t="s">
        <v>1700</v>
      </c>
      <c r="E493" s="23" t="s">
        <v>1136</v>
      </c>
      <c r="F493" s="23" t="s">
        <v>1137</v>
      </c>
      <c r="G493" s="29">
        <v>843</v>
      </c>
      <c r="H493" s="25" t="s">
        <v>1663</v>
      </c>
      <c r="I493" s="25" t="s">
        <v>407</v>
      </c>
      <c r="J493" s="26"/>
    </row>
    <row r="494" spans="3:10" s="13" customFormat="1" ht="30.95" customHeight="1">
      <c r="C494" s="22">
        <f t="shared" si="7"/>
        <v>487</v>
      </c>
      <c r="D494" s="184" t="s">
        <v>1701</v>
      </c>
      <c r="E494" s="23" t="s">
        <v>1136</v>
      </c>
      <c r="F494" s="23" t="s">
        <v>1137</v>
      </c>
      <c r="G494" s="29">
        <v>1270</v>
      </c>
      <c r="H494" s="25" t="s">
        <v>1666</v>
      </c>
      <c r="I494" s="25" t="s">
        <v>407</v>
      </c>
      <c r="J494" s="26"/>
    </row>
    <row r="495" spans="3:10" s="13" customFormat="1" ht="30.95" customHeight="1">
      <c r="C495" s="22">
        <f t="shared" si="7"/>
        <v>488</v>
      </c>
      <c r="D495" s="184" t="s">
        <v>1702</v>
      </c>
      <c r="E495" s="23" t="s">
        <v>1136</v>
      </c>
      <c r="F495" s="23" t="s">
        <v>1137</v>
      </c>
      <c r="G495" s="29">
        <v>8021</v>
      </c>
      <c r="H495" s="25" t="s">
        <v>1666</v>
      </c>
      <c r="I495" s="25" t="s">
        <v>407</v>
      </c>
      <c r="J495" s="26"/>
    </row>
    <row r="496" spans="3:10" s="13" customFormat="1" ht="30.95" customHeight="1">
      <c r="C496" s="22">
        <f t="shared" si="7"/>
        <v>489</v>
      </c>
      <c r="D496" s="184" t="s">
        <v>1703</v>
      </c>
      <c r="E496" s="23" t="s">
        <v>1136</v>
      </c>
      <c r="F496" s="23" t="s">
        <v>1137</v>
      </c>
      <c r="G496" s="29">
        <v>435</v>
      </c>
      <c r="H496" s="25" t="s">
        <v>1666</v>
      </c>
      <c r="I496" s="25" t="s">
        <v>407</v>
      </c>
      <c r="J496" s="26"/>
    </row>
    <row r="497" spans="3:10" s="13" customFormat="1" ht="30.95" customHeight="1">
      <c r="C497" s="22">
        <f t="shared" si="7"/>
        <v>490</v>
      </c>
      <c r="D497" s="184" t="s">
        <v>1704</v>
      </c>
      <c r="E497" s="23" t="s">
        <v>1136</v>
      </c>
      <c r="F497" s="23" t="s">
        <v>1137</v>
      </c>
      <c r="G497" s="29">
        <v>100</v>
      </c>
      <c r="H497" s="25" t="s">
        <v>1666</v>
      </c>
      <c r="I497" s="25" t="s">
        <v>407</v>
      </c>
      <c r="J497" s="26"/>
    </row>
    <row r="498" spans="3:10" s="13" customFormat="1" ht="30.95" customHeight="1">
      <c r="C498" s="22">
        <f t="shared" si="7"/>
        <v>491</v>
      </c>
      <c r="D498" s="184" t="s">
        <v>1705</v>
      </c>
      <c r="E498" s="23" t="s">
        <v>1136</v>
      </c>
      <c r="F498" s="23" t="s">
        <v>1137</v>
      </c>
      <c r="G498" s="29">
        <v>3100</v>
      </c>
      <c r="H498" s="25" t="s">
        <v>1666</v>
      </c>
      <c r="I498" s="25" t="s">
        <v>407</v>
      </c>
      <c r="J498" s="26"/>
    </row>
    <row r="499" spans="3:10" s="13" customFormat="1" ht="30.95" customHeight="1">
      <c r="C499" s="22">
        <f t="shared" si="7"/>
        <v>492</v>
      </c>
      <c r="D499" s="184" t="s">
        <v>1706</v>
      </c>
      <c r="E499" s="23" t="s">
        <v>1136</v>
      </c>
      <c r="F499" s="23" t="s">
        <v>1137</v>
      </c>
      <c r="G499" s="29">
        <v>600</v>
      </c>
      <c r="H499" s="25" t="s">
        <v>1666</v>
      </c>
      <c r="I499" s="25" t="s">
        <v>407</v>
      </c>
      <c r="J499" s="26"/>
    </row>
    <row r="500" spans="3:10" s="13" customFormat="1" ht="30.95" customHeight="1">
      <c r="C500" s="22">
        <f t="shared" si="7"/>
        <v>493</v>
      </c>
      <c r="D500" s="184" t="s">
        <v>1707</v>
      </c>
      <c r="E500" s="23" t="s">
        <v>1136</v>
      </c>
      <c r="F500" s="23" t="s">
        <v>1137</v>
      </c>
      <c r="G500" s="29">
        <v>2490</v>
      </c>
      <c r="H500" s="25" t="s">
        <v>1666</v>
      </c>
      <c r="I500" s="25" t="s">
        <v>407</v>
      </c>
      <c r="J500" s="26"/>
    </row>
    <row r="501" spans="3:10" s="13" customFormat="1" ht="30.95" customHeight="1">
      <c r="C501" s="22">
        <f t="shared" si="7"/>
        <v>494</v>
      </c>
      <c r="D501" s="184" t="s">
        <v>1708</v>
      </c>
      <c r="E501" s="23" t="s">
        <v>1136</v>
      </c>
      <c r="F501" s="23" t="s">
        <v>1137</v>
      </c>
      <c r="G501" s="29">
        <v>1112</v>
      </c>
      <c r="H501" s="25" t="s">
        <v>1666</v>
      </c>
      <c r="I501" s="25" t="s">
        <v>407</v>
      </c>
      <c r="J501" s="26"/>
    </row>
    <row r="502" spans="3:10" s="13" customFormat="1" ht="30.95" customHeight="1">
      <c r="C502" s="22">
        <f t="shared" si="7"/>
        <v>495</v>
      </c>
      <c r="D502" s="184" t="s">
        <v>1709</v>
      </c>
      <c r="E502" s="23" t="s">
        <v>1136</v>
      </c>
      <c r="F502" s="23" t="s">
        <v>1137</v>
      </c>
      <c r="G502" s="29">
        <v>4024</v>
      </c>
      <c r="H502" s="25" t="s">
        <v>1666</v>
      </c>
      <c r="I502" s="25" t="s">
        <v>407</v>
      </c>
      <c r="J502" s="26"/>
    </row>
    <row r="503" spans="3:10" s="13" customFormat="1" ht="30.95" customHeight="1">
      <c r="C503" s="22">
        <f t="shared" si="7"/>
        <v>496</v>
      </c>
      <c r="D503" s="184" t="s">
        <v>1710</v>
      </c>
      <c r="E503" s="23" t="s">
        <v>1136</v>
      </c>
      <c r="F503" s="23" t="s">
        <v>1137</v>
      </c>
      <c r="G503" s="29">
        <v>500</v>
      </c>
      <c r="H503" s="25" t="s">
        <v>1666</v>
      </c>
      <c r="I503" s="25" t="s">
        <v>407</v>
      </c>
      <c r="J503" s="26"/>
    </row>
    <row r="504" spans="3:10" s="13" customFormat="1" ht="30.95" customHeight="1">
      <c r="C504" s="22">
        <f t="shared" si="7"/>
        <v>497</v>
      </c>
      <c r="D504" s="184" t="s">
        <v>1711</v>
      </c>
      <c r="E504" s="23" t="s">
        <v>1136</v>
      </c>
      <c r="F504" s="23" t="s">
        <v>1137</v>
      </c>
      <c r="G504" s="29">
        <v>500</v>
      </c>
      <c r="H504" s="25" t="s">
        <v>1666</v>
      </c>
      <c r="I504" s="25" t="s">
        <v>407</v>
      </c>
      <c r="J504" s="26"/>
    </row>
    <row r="505" spans="3:10" s="13" customFormat="1" ht="30.95" customHeight="1">
      <c r="C505" s="22">
        <f t="shared" si="7"/>
        <v>498</v>
      </c>
      <c r="D505" s="184" t="s">
        <v>1712</v>
      </c>
      <c r="E505" s="23" t="s">
        <v>1136</v>
      </c>
      <c r="F505" s="23" t="s">
        <v>1137</v>
      </c>
      <c r="G505" s="29">
        <v>2600</v>
      </c>
      <c r="H505" s="25" t="s">
        <v>1666</v>
      </c>
      <c r="I505" s="25" t="s">
        <v>407</v>
      </c>
      <c r="J505" s="26"/>
    </row>
    <row r="506" spans="3:10" s="13" customFormat="1" ht="30.95" customHeight="1">
      <c r="C506" s="22">
        <f t="shared" si="7"/>
        <v>499</v>
      </c>
      <c r="D506" s="184" t="s">
        <v>1713</v>
      </c>
      <c r="E506" s="23" t="s">
        <v>1136</v>
      </c>
      <c r="F506" s="23" t="s">
        <v>1137</v>
      </c>
      <c r="G506" s="29">
        <v>1080</v>
      </c>
      <c r="H506" s="25" t="s">
        <v>1666</v>
      </c>
      <c r="I506" s="25" t="s">
        <v>407</v>
      </c>
      <c r="J506" s="26"/>
    </row>
    <row r="507" spans="3:10" s="13" customFormat="1" ht="30.95" customHeight="1">
      <c r="C507" s="22">
        <f t="shared" si="7"/>
        <v>500</v>
      </c>
      <c r="D507" s="184" t="s">
        <v>1714</v>
      </c>
      <c r="E507" s="23" t="s">
        <v>1136</v>
      </c>
      <c r="F507" s="23" t="s">
        <v>1137</v>
      </c>
      <c r="G507" s="29">
        <v>600</v>
      </c>
      <c r="H507" s="25" t="s">
        <v>1666</v>
      </c>
      <c r="I507" s="25" t="s">
        <v>407</v>
      </c>
      <c r="J507" s="26"/>
    </row>
    <row r="508" spans="3:10" s="13" customFormat="1" ht="30.95" customHeight="1">
      <c r="C508" s="22">
        <f t="shared" si="7"/>
        <v>501</v>
      </c>
      <c r="D508" s="184" t="s">
        <v>1715</v>
      </c>
      <c r="E508" s="23" t="s">
        <v>1136</v>
      </c>
      <c r="F508" s="23" t="s">
        <v>1137</v>
      </c>
      <c r="G508" s="29">
        <v>1992</v>
      </c>
      <c r="H508" s="25" t="s">
        <v>1666</v>
      </c>
      <c r="I508" s="25" t="s">
        <v>407</v>
      </c>
      <c r="J508" s="26"/>
    </row>
    <row r="509" spans="3:10" s="13" customFormat="1" ht="30.95" customHeight="1">
      <c r="C509" s="22">
        <f t="shared" si="7"/>
        <v>502</v>
      </c>
      <c r="D509" s="184" t="s">
        <v>1716</v>
      </c>
      <c r="E509" s="23" t="s">
        <v>1136</v>
      </c>
      <c r="F509" s="23" t="s">
        <v>1137</v>
      </c>
      <c r="G509" s="29">
        <v>1079</v>
      </c>
      <c r="H509" s="25" t="s">
        <v>1666</v>
      </c>
      <c r="I509" s="25" t="s">
        <v>407</v>
      </c>
      <c r="J509" s="26"/>
    </row>
    <row r="510" spans="3:10" s="13" customFormat="1" ht="30.95" customHeight="1">
      <c r="C510" s="22">
        <f t="shared" si="7"/>
        <v>503</v>
      </c>
      <c r="D510" s="184" t="s">
        <v>1717</v>
      </c>
      <c r="E510" s="23" t="s">
        <v>1136</v>
      </c>
      <c r="F510" s="23" t="s">
        <v>1137</v>
      </c>
      <c r="G510" s="29">
        <v>4094</v>
      </c>
      <c r="H510" s="25" t="s">
        <v>1666</v>
      </c>
      <c r="I510" s="25" t="s">
        <v>407</v>
      </c>
      <c r="J510" s="26"/>
    </row>
    <row r="511" spans="3:10" s="13" customFormat="1" ht="30.95" customHeight="1">
      <c r="C511" s="22">
        <f t="shared" si="7"/>
        <v>504</v>
      </c>
      <c r="D511" s="184" t="s">
        <v>1718</v>
      </c>
      <c r="E511" s="23" t="s">
        <v>1136</v>
      </c>
      <c r="F511" s="23" t="s">
        <v>1137</v>
      </c>
      <c r="G511" s="29">
        <v>655</v>
      </c>
      <c r="H511" s="25" t="s">
        <v>1666</v>
      </c>
      <c r="I511" s="25" t="s">
        <v>407</v>
      </c>
      <c r="J511" s="26"/>
    </row>
    <row r="512" spans="3:10" s="13" customFormat="1" ht="30.95" customHeight="1">
      <c r="C512" s="22">
        <f t="shared" si="7"/>
        <v>505</v>
      </c>
      <c r="D512" s="184" t="s">
        <v>1719</v>
      </c>
      <c r="E512" s="23" t="s">
        <v>1136</v>
      </c>
      <c r="F512" s="23" t="s">
        <v>1137</v>
      </c>
      <c r="G512" s="29">
        <v>1136</v>
      </c>
      <c r="H512" s="25" t="s">
        <v>1666</v>
      </c>
      <c r="I512" s="25" t="s">
        <v>407</v>
      </c>
      <c r="J512" s="26"/>
    </row>
    <row r="513" spans="3:10" s="13" customFormat="1" ht="30.95" customHeight="1">
      <c r="C513" s="22">
        <f t="shared" si="7"/>
        <v>506</v>
      </c>
      <c r="D513" s="184" t="s">
        <v>1720</v>
      </c>
      <c r="E513" s="23" t="s">
        <v>1136</v>
      </c>
      <c r="F513" s="23" t="s">
        <v>1137</v>
      </c>
      <c r="G513" s="29">
        <v>430</v>
      </c>
      <c r="H513" s="25" t="s">
        <v>1668</v>
      </c>
      <c r="I513" s="25" t="s">
        <v>407</v>
      </c>
      <c r="J513" s="26"/>
    </row>
    <row r="514" spans="3:10" s="13" customFormat="1" ht="30.95" customHeight="1">
      <c r="C514" s="22">
        <f t="shared" si="7"/>
        <v>507</v>
      </c>
      <c r="D514" s="184" t="s">
        <v>1721</v>
      </c>
      <c r="E514" s="23" t="s">
        <v>1136</v>
      </c>
      <c r="F514" s="23" t="s">
        <v>1137</v>
      </c>
      <c r="G514" s="29">
        <v>317</v>
      </c>
      <c r="H514" s="25" t="s">
        <v>1668</v>
      </c>
      <c r="I514" s="25" t="s">
        <v>407</v>
      </c>
      <c r="J514" s="26"/>
    </row>
    <row r="515" spans="3:10" s="13" customFormat="1" ht="30.95" customHeight="1">
      <c r="C515" s="22">
        <f t="shared" si="7"/>
        <v>508</v>
      </c>
      <c r="D515" s="184" t="s">
        <v>1722</v>
      </c>
      <c r="E515" s="23" t="s">
        <v>1136</v>
      </c>
      <c r="F515" s="23" t="s">
        <v>1137</v>
      </c>
      <c r="G515" s="29">
        <v>170</v>
      </c>
      <c r="H515" s="25" t="s">
        <v>1668</v>
      </c>
      <c r="I515" s="25" t="s">
        <v>407</v>
      </c>
      <c r="J515" s="26"/>
    </row>
    <row r="516" spans="3:10" s="13" customFormat="1" ht="30.95" customHeight="1">
      <c r="C516" s="22">
        <f t="shared" si="7"/>
        <v>509</v>
      </c>
      <c r="D516" s="184" t="s">
        <v>1723</v>
      </c>
      <c r="E516" s="23" t="s">
        <v>1136</v>
      </c>
      <c r="F516" s="23" t="s">
        <v>1137</v>
      </c>
      <c r="G516" s="29">
        <v>244</v>
      </c>
      <c r="H516" s="25" t="s">
        <v>1668</v>
      </c>
      <c r="I516" s="25" t="s">
        <v>407</v>
      </c>
      <c r="J516" s="26"/>
    </row>
    <row r="517" spans="3:10" s="13" customFormat="1" ht="30.95" customHeight="1">
      <c r="C517" s="22">
        <f t="shared" si="7"/>
        <v>510</v>
      </c>
      <c r="D517" s="184" t="s">
        <v>1669</v>
      </c>
      <c r="E517" s="23" t="s">
        <v>1136</v>
      </c>
      <c r="F517" s="23" t="s">
        <v>1137</v>
      </c>
      <c r="G517" s="29">
        <v>460</v>
      </c>
      <c r="H517" s="25" t="s">
        <v>1112</v>
      </c>
      <c r="I517" s="25" t="s">
        <v>407</v>
      </c>
      <c r="J517" s="26"/>
    </row>
    <row r="518" spans="3:10" s="13" customFormat="1" ht="30.95" customHeight="1">
      <c r="C518" s="22">
        <f t="shared" si="7"/>
        <v>511</v>
      </c>
      <c r="D518" s="184" t="s">
        <v>1724</v>
      </c>
      <c r="E518" s="23" t="s">
        <v>1136</v>
      </c>
      <c r="F518" s="23" t="s">
        <v>1137</v>
      </c>
      <c r="G518" s="29">
        <v>260</v>
      </c>
      <c r="H518" s="25" t="s">
        <v>1670</v>
      </c>
      <c r="I518" s="25" t="s">
        <v>407</v>
      </c>
      <c r="J518" s="26"/>
    </row>
    <row r="519" spans="3:10" s="13" customFormat="1" ht="30.95" customHeight="1">
      <c r="C519" s="22">
        <f t="shared" si="7"/>
        <v>512</v>
      </c>
      <c r="D519" s="184" t="s">
        <v>1725</v>
      </c>
      <c r="E519" s="23" t="s">
        <v>1136</v>
      </c>
      <c r="F519" s="23" t="s">
        <v>1137</v>
      </c>
      <c r="G519" s="29">
        <v>197</v>
      </c>
      <c r="H519" s="25" t="s">
        <v>1670</v>
      </c>
      <c r="I519" s="25" t="s">
        <v>407</v>
      </c>
      <c r="J519" s="26"/>
    </row>
    <row r="520" spans="3:10" s="13" customFormat="1" ht="30.95" customHeight="1">
      <c r="C520" s="22">
        <f t="shared" si="7"/>
        <v>513</v>
      </c>
      <c r="D520" s="184" t="s">
        <v>1726</v>
      </c>
      <c r="E520" s="23" t="s">
        <v>1136</v>
      </c>
      <c r="F520" s="23" t="s">
        <v>1137</v>
      </c>
      <c r="G520" s="29">
        <v>300</v>
      </c>
      <c r="H520" s="25" t="s">
        <v>1670</v>
      </c>
      <c r="I520" s="25" t="s">
        <v>407</v>
      </c>
      <c r="J520" s="26"/>
    </row>
    <row r="521" spans="3:10" s="13" customFormat="1" ht="30.95" customHeight="1">
      <c r="C521" s="22">
        <f t="shared" si="7"/>
        <v>514</v>
      </c>
      <c r="D521" s="184" t="s">
        <v>1727</v>
      </c>
      <c r="E521" s="23" t="s">
        <v>1136</v>
      </c>
      <c r="F521" s="23" t="s">
        <v>1137</v>
      </c>
      <c r="G521" s="29">
        <v>225</v>
      </c>
      <c r="H521" s="25" t="s">
        <v>1670</v>
      </c>
      <c r="I521" s="25" t="s">
        <v>407</v>
      </c>
      <c r="J521" s="26"/>
    </row>
    <row r="522" spans="3:10" s="13" customFormat="1" ht="30.95" customHeight="1">
      <c r="C522" s="22">
        <f t="shared" ref="C522:C585" si="8">C521+1</f>
        <v>515</v>
      </c>
      <c r="D522" s="184" t="s">
        <v>1728</v>
      </c>
      <c r="E522" s="23" t="s">
        <v>1136</v>
      </c>
      <c r="F522" s="23" t="s">
        <v>1137</v>
      </c>
      <c r="G522" s="29">
        <v>440</v>
      </c>
      <c r="H522" s="25" t="s">
        <v>1673</v>
      </c>
      <c r="I522" s="25" t="s">
        <v>407</v>
      </c>
      <c r="J522" s="26"/>
    </row>
    <row r="523" spans="3:10" s="13" customFormat="1" ht="30.95" customHeight="1">
      <c r="C523" s="22">
        <f t="shared" si="8"/>
        <v>516</v>
      </c>
      <c r="D523" s="184" t="s">
        <v>1729</v>
      </c>
      <c r="E523" s="23" t="s">
        <v>1136</v>
      </c>
      <c r="F523" s="23" t="s">
        <v>1137</v>
      </c>
      <c r="G523" s="29">
        <v>1177</v>
      </c>
      <c r="H523" s="25" t="s">
        <v>1673</v>
      </c>
      <c r="I523" s="25" t="s">
        <v>407</v>
      </c>
      <c r="J523" s="26"/>
    </row>
    <row r="524" spans="3:10" s="13" customFormat="1" ht="30.95" customHeight="1">
      <c r="C524" s="22">
        <f t="shared" si="8"/>
        <v>517</v>
      </c>
      <c r="D524" s="184" t="s">
        <v>1730</v>
      </c>
      <c r="E524" s="23" t="s">
        <v>1136</v>
      </c>
      <c r="F524" s="23" t="s">
        <v>1137</v>
      </c>
      <c r="G524" s="29">
        <v>445</v>
      </c>
      <c r="H524" s="25" t="s">
        <v>1674</v>
      </c>
      <c r="I524" s="25" t="s">
        <v>407</v>
      </c>
      <c r="J524" s="26"/>
    </row>
    <row r="525" spans="3:10" s="13" customFormat="1" ht="30.95" customHeight="1">
      <c r="C525" s="22">
        <f t="shared" si="8"/>
        <v>518</v>
      </c>
      <c r="D525" s="184" t="s">
        <v>1731</v>
      </c>
      <c r="E525" s="23" t="s">
        <v>1136</v>
      </c>
      <c r="F525" s="23" t="s">
        <v>1137</v>
      </c>
      <c r="G525" s="29">
        <v>210</v>
      </c>
      <c r="H525" s="25" t="s">
        <v>1674</v>
      </c>
      <c r="I525" s="25" t="s">
        <v>407</v>
      </c>
      <c r="J525" s="26"/>
    </row>
    <row r="526" spans="3:10" s="13" customFormat="1" ht="30.95" customHeight="1">
      <c r="C526" s="22">
        <f t="shared" si="8"/>
        <v>519</v>
      </c>
      <c r="D526" s="184" t="s">
        <v>1732</v>
      </c>
      <c r="E526" s="23" t="s">
        <v>1136</v>
      </c>
      <c r="F526" s="23" t="s">
        <v>1137</v>
      </c>
      <c r="G526" s="29">
        <v>200</v>
      </c>
      <c r="H526" s="25" t="s">
        <v>1674</v>
      </c>
      <c r="I526" s="25" t="s">
        <v>407</v>
      </c>
      <c r="J526" s="26"/>
    </row>
    <row r="527" spans="3:10" s="13" customFormat="1" ht="30.95" customHeight="1">
      <c r="C527" s="22">
        <f t="shared" si="8"/>
        <v>520</v>
      </c>
      <c r="D527" s="184" t="s">
        <v>1733</v>
      </c>
      <c r="E527" s="23" t="s">
        <v>1136</v>
      </c>
      <c r="F527" s="23" t="s">
        <v>1137</v>
      </c>
      <c r="G527" s="29">
        <v>130</v>
      </c>
      <c r="H527" s="25" t="s">
        <v>1674</v>
      </c>
      <c r="I527" s="25" t="s">
        <v>407</v>
      </c>
      <c r="J527" s="26"/>
    </row>
    <row r="528" spans="3:10" s="13" customFormat="1" ht="30.95" customHeight="1">
      <c r="C528" s="22">
        <f t="shared" si="8"/>
        <v>521</v>
      </c>
      <c r="D528" s="184" t="s">
        <v>1734</v>
      </c>
      <c r="E528" s="23" t="s">
        <v>1136</v>
      </c>
      <c r="F528" s="23" t="s">
        <v>1137</v>
      </c>
      <c r="G528" s="29">
        <v>402</v>
      </c>
      <c r="H528" s="25" t="s">
        <v>1675</v>
      </c>
      <c r="I528" s="25" t="s">
        <v>407</v>
      </c>
      <c r="J528" s="26"/>
    </row>
    <row r="529" spans="3:10" s="13" customFormat="1" ht="30.95" customHeight="1">
      <c r="C529" s="22">
        <f t="shared" si="8"/>
        <v>522</v>
      </c>
      <c r="D529" s="184" t="s">
        <v>1735</v>
      </c>
      <c r="E529" s="23" t="s">
        <v>1136</v>
      </c>
      <c r="F529" s="23" t="s">
        <v>1137</v>
      </c>
      <c r="G529" s="29">
        <v>327</v>
      </c>
      <c r="H529" s="25" t="s">
        <v>1675</v>
      </c>
      <c r="I529" s="25" t="s">
        <v>407</v>
      </c>
      <c r="J529" s="26"/>
    </row>
    <row r="530" spans="3:10" s="13" customFormat="1" ht="30.95" customHeight="1">
      <c r="C530" s="22">
        <f t="shared" si="8"/>
        <v>523</v>
      </c>
      <c r="D530" s="184" t="s">
        <v>1736</v>
      </c>
      <c r="E530" s="23" t="s">
        <v>1136</v>
      </c>
      <c r="F530" s="23" t="s">
        <v>1137</v>
      </c>
      <c r="G530" s="29">
        <v>465</v>
      </c>
      <c r="H530" s="25" t="s">
        <v>1675</v>
      </c>
      <c r="I530" s="25" t="s">
        <v>407</v>
      </c>
      <c r="J530" s="26"/>
    </row>
    <row r="531" spans="3:10" s="13" customFormat="1" ht="30.95" customHeight="1">
      <c r="C531" s="22">
        <f t="shared" si="8"/>
        <v>524</v>
      </c>
      <c r="D531" s="184" t="s">
        <v>1737</v>
      </c>
      <c r="E531" s="23" t="s">
        <v>1136</v>
      </c>
      <c r="F531" s="23" t="s">
        <v>1137</v>
      </c>
      <c r="G531" s="29">
        <v>535</v>
      </c>
      <c r="H531" s="25" t="s">
        <v>1676</v>
      </c>
      <c r="I531" s="25" t="s">
        <v>407</v>
      </c>
      <c r="J531" s="26"/>
    </row>
    <row r="532" spans="3:10" s="13" customFormat="1" ht="30.95" customHeight="1">
      <c r="C532" s="22">
        <f t="shared" si="8"/>
        <v>525</v>
      </c>
      <c r="D532" s="184" t="s">
        <v>1738</v>
      </c>
      <c r="E532" s="23" t="s">
        <v>1136</v>
      </c>
      <c r="F532" s="23" t="s">
        <v>1137</v>
      </c>
      <c r="G532" s="29">
        <v>191</v>
      </c>
      <c r="H532" s="25" t="s">
        <v>1676</v>
      </c>
      <c r="I532" s="25" t="s">
        <v>407</v>
      </c>
      <c r="J532" s="26"/>
    </row>
    <row r="533" spans="3:10" s="13" customFormat="1" ht="30.95" customHeight="1">
      <c r="C533" s="22">
        <f t="shared" si="8"/>
        <v>526</v>
      </c>
      <c r="D533" s="184" t="s">
        <v>1739</v>
      </c>
      <c r="E533" s="23" t="s">
        <v>1136</v>
      </c>
      <c r="F533" s="23" t="s">
        <v>1137</v>
      </c>
      <c r="G533" s="29">
        <v>395</v>
      </c>
      <c r="H533" s="25" t="s">
        <v>1676</v>
      </c>
      <c r="I533" s="25" t="s">
        <v>407</v>
      </c>
      <c r="J533" s="26"/>
    </row>
    <row r="534" spans="3:10" s="13" customFormat="1" ht="30.95" customHeight="1">
      <c r="C534" s="22">
        <f t="shared" si="8"/>
        <v>527</v>
      </c>
      <c r="D534" s="184" t="s">
        <v>1740</v>
      </c>
      <c r="E534" s="23" t="s">
        <v>1136</v>
      </c>
      <c r="F534" s="23" t="s">
        <v>1137</v>
      </c>
      <c r="G534" s="29">
        <v>1180</v>
      </c>
      <c r="H534" s="25" t="s">
        <v>1676</v>
      </c>
      <c r="I534" s="25" t="s">
        <v>407</v>
      </c>
      <c r="J534" s="26"/>
    </row>
    <row r="535" spans="3:10" s="13" customFormat="1" ht="30.95" customHeight="1">
      <c r="C535" s="22">
        <f t="shared" si="8"/>
        <v>528</v>
      </c>
      <c r="D535" s="184" t="s">
        <v>1741</v>
      </c>
      <c r="E535" s="23" t="s">
        <v>1136</v>
      </c>
      <c r="F535" s="23" t="s">
        <v>1137</v>
      </c>
      <c r="G535" s="29">
        <v>300</v>
      </c>
      <c r="H535" s="25" t="s">
        <v>1676</v>
      </c>
      <c r="I535" s="25" t="s">
        <v>407</v>
      </c>
      <c r="J535" s="26"/>
    </row>
    <row r="536" spans="3:10" s="13" customFormat="1" ht="30.95" customHeight="1">
      <c r="C536" s="22">
        <f t="shared" si="8"/>
        <v>529</v>
      </c>
      <c r="D536" s="184" t="s">
        <v>1742</v>
      </c>
      <c r="E536" s="23" t="s">
        <v>1136</v>
      </c>
      <c r="F536" s="23" t="s">
        <v>1137</v>
      </c>
      <c r="G536" s="29">
        <v>550</v>
      </c>
      <c r="H536" s="25" t="s">
        <v>1676</v>
      </c>
      <c r="I536" s="25" t="s">
        <v>407</v>
      </c>
      <c r="J536" s="26"/>
    </row>
    <row r="537" spans="3:10" s="13" customFormat="1" ht="30.95" customHeight="1">
      <c r="C537" s="22">
        <f t="shared" si="8"/>
        <v>530</v>
      </c>
      <c r="D537" s="184" t="s">
        <v>1743</v>
      </c>
      <c r="E537" s="23" t="s">
        <v>1136</v>
      </c>
      <c r="F537" s="23" t="s">
        <v>1137</v>
      </c>
      <c r="G537" s="29">
        <v>939</v>
      </c>
      <c r="H537" s="25" t="s">
        <v>1676</v>
      </c>
      <c r="I537" s="25" t="s">
        <v>407</v>
      </c>
      <c r="J537" s="26"/>
    </row>
    <row r="538" spans="3:10" s="13" customFormat="1" ht="30.95" customHeight="1">
      <c r="C538" s="22">
        <f t="shared" si="8"/>
        <v>531</v>
      </c>
      <c r="D538" s="184" t="s">
        <v>1744</v>
      </c>
      <c r="E538" s="23" t="s">
        <v>1136</v>
      </c>
      <c r="F538" s="23" t="s">
        <v>1137</v>
      </c>
      <c r="G538" s="29">
        <v>756</v>
      </c>
      <c r="H538" s="25" t="s">
        <v>1676</v>
      </c>
      <c r="I538" s="25" t="s">
        <v>407</v>
      </c>
      <c r="J538" s="26"/>
    </row>
    <row r="539" spans="3:10" s="13" customFormat="1" ht="30.95" customHeight="1">
      <c r="C539" s="22">
        <f t="shared" si="8"/>
        <v>532</v>
      </c>
      <c r="D539" s="184" t="s">
        <v>1745</v>
      </c>
      <c r="E539" s="23" t="s">
        <v>1136</v>
      </c>
      <c r="F539" s="23" t="s">
        <v>1137</v>
      </c>
      <c r="G539" s="29">
        <v>2400</v>
      </c>
      <c r="H539" s="25" t="s">
        <v>1676</v>
      </c>
      <c r="I539" s="25" t="s">
        <v>407</v>
      </c>
      <c r="J539" s="26"/>
    </row>
    <row r="540" spans="3:10" s="13" customFormat="1" ht="30.95" customHeight="1">
      <c r="C540" s="22">
        <f t="shared" si="8"/>
        <v>533</v>
      </c>
      <c r="D540" s="184" t="s">
        <v>1746</v>
      </c>
      <c r="E540" s="23" t="s">
        <v>1136</v>
      </c>
      <c r="F540" s="23" t="s">
        <v>1137</v>
      </c>
      <c r="G540" s="29">
        <v>674</v>
      </c>
      <c r="H540" s="25" t="s">
        <v>1676</v>
      </c>
      <c r="I540" s="25" t="s">
        <v>407</v>
      </c>
      <c r="J540" s="26"/>
    </row>
    <row r="541" spans="3:10" s="13" customFormat="1" ht="30.95" customHeight="1">
      <c r="C541" s="22">
        <f t="shared" si="8"/>
        <v>534</v>
      </c>
      <c r="D541" s="184" t="s">
        <v>1747</v>
      </c>
      <c r="E541" s="23" t="s">
        <v>1136</v>
      </c>
      <c r="F541" s="23" t="s">
        <v>1137</v>
      </c>
      <c r="G541" s="29">
        <v>750</v>
      </c>
      <c r="H541" s="25" t="s">
        <v>1676</v>
      </c>
      <c r="I541" s="25" t="s">
        <v>407</v>
      </c>
      <c r="J541" s="26"/>
    </row>
    <row r="542" spans="3:10" s="13" customFormat="1" ht="30.95" customHeight="1">
      <c r="C542" s="22">
        <f t="shared" si="8"/>
        <v>535</v>
      </c>
      <c r="D542" s="184" t="s">
        <v>1748</v>
      </c>
      <c r="E542" s="23" t="s">
        <v>1136</v>
      </c>
      <c r="F542" s="23" t="s">
        <v>1137</v>
      </c>
      <c r="G542" s="29">
        <v>1860</v>
      </c>
      <c r="H542" s="25" t="s">
        <v>1676</v>
      </c>
      <c r="I542" s="25" t="s">
        <v>407</v>
      </c>
      <c r="J542" s="26"/>
    </row>
    <row r="543" spans="3:10" s="13" customFormat="1" ht="30.95" customHeight="1">
      <c r="C543" s="22">
        <f t="shared" si="8"/>
        <v>536</v>
      </c>
      <c r="D543" s="184" t="s">
        <v>1749</v>
      </c>
      <c r="E543" s="23" t="s">
        <v>1136</v>
      </c>
      <c r="F543" s="23" t="s">
        <v>1137</v>
      </c>
      <c r="G543" s="29">
        <v>1159</v>
      </c>
      <c r="H543" s="25" t="s">
        <v>1676</v>
      </c>
      <c r="I543" s="25" t="s">
        <v>407</v>
      </c>
      <c r="J543" s="26"/>
    </row>
    <row r="544" spans="3:10" s="13" customFormat="1" ht="30.95" customHeight="1">
      <c r="C544" s="22">
        <f t="shared" si="8"/>
        <v>537</v>
      </c>
      <c r="D544" s="184" t="s">
        <v>1750</v>
      </c>
      <c r="E544" s="23" t="s">
        <v>1136</v>
      </c>
      <c r="F544" s="23" t="s">
        <v>1137</v>
      </c>
      <c r="G544" s="29">
        <v>375</v>
      </c>
      <c r="H544" s="25" t="s">
        <v>1676</v>
      </c>
      <c r="I544" s="25" t="s">
        <v>407</v>
      </c>
      <c r="J544" s="26"/>
    </row>
    <row r="545" spans="3:10" s="13" customFormat="1" ht="30.95" customHeight="1">
      <c r="C545" s="22">
        <f t="shared" si="8"/>
        <v>538</v>
      </c>
      <c r="D545" s="184" t="s">
        <v>1751</v>
      </c>
      <c r="E545" s="23" t="s">
        <v>1136</v>
      </c>
      <c r="F545" s="23" t="s">
        <v>1137</v>
      </c>
      <c r="G545" s="29">
        <v>2050</v>
      </c>
      <c r="H545" s="25" t="s">
        <v>1676</v>
      </c>
      <c r="I545" s="25" t="s">
        <v>407</v>
      </c>
      <c r="J545" s="26"/>
    </row>
    <row r="546" spans="3:10" s="13" customFormat="1" ht="30.95" customHeight="1">
      <c r="C546" s="22">
        <f t="shared" si="8"/>
        <v>539</v>
      </c>
      <c r="D546" s="184" t="s">
        <v>1752</v>
      </c>
      <c r="E546" s="23" t="s">
        <v>1136</v>
      </c>
      <c r="F546" s="23" t="s">
        <v>1137</v>
      </c>
      <c r="G546" s="29">
        <v>200</v>
      </c>
      <c r="H546" s="25" t="s">
        <v>1676</v>
      </c>
      <c r="I546" s="25" t="s">
        <v>407</v>
      </c>
      <c r="J546" s="26"/>
    </row>
    <row r="547" spans="3:10" s="13" customFormat="1" ht="30.95" customHeight="1">
      <c r="C547" s="22">
        <f t="shared" si="8"/>
        <v>540</v>
      </c>
      <c r="D547" s="184" t="s">
        <v>1753</v>
      </c>
      <c r="E547" s="23" t="s">
        <v>1136</v>
      </c>
      <c r="F547" s="23" t="s">
        <v>1137</v>
      </c>
      <c r="G547" s="29">
        <v>535</v>
      </c>
      <c r="H547" s="25" t="s">
        <v>1676</v>
      </c>
      <c r="I547" s="25" t="s">
        <v>407</v>
      </c>
      <c r="J547" s="26"/>
    </row>
    <row r="548" spans="3:10" s="13" customFormat="1" ht="30.95" customHeight="1">
      <c r="C548" s="22">
        <f t="shared" si="8"/>
        <v>541</v>
      </c>
      <c r="D548" s="184" t="s">
        <v>1754</v>
      </c>
      <c r="E548" s="23" t="s">
        <v>1136</v>
      </c>
      <c r="F548" s="23" t="s">
        <v>1137</v>
      </c>
      <c r="G548" s="29">
        <v>885</v>
      </c>
      <c r="H548" s="25" t="s">
        <v>1676</v>
      </c>
      <c r="I548" s="25" t="s">
        <v>407</v>
      </c>
      <c r="J548" s="26"/>
    </row>
    <row r="549" spans="3:10" s="13" customFormat="1" ht="30.95" customHeight="1">
      <c r="C549" s="22">
        <f t="shared" si="8"/>
        <v>542</v>
      </c>
      <c r="D549" s="184" t="s">
        <v>1755</v>
      </c>
      <c r="E549" s="23" t="s">
        <v>1136</v>
      </c>
      <c r="F549" s="23" t="s">
        <v>1137</v>
      </c>
      <c r="G549" s="29">
        <v>247</v>
      </c>
      <c r="H549" s="25" t="s">
        <v>1676</v>
      </c>
      <c r="I549" s="25" t="s">
        <v>407</v>
      </c>
      <c r="J549" s="26"/>
    </row>
    <row r="550" spans="3:10" s="13" customFormat="1" ht="30.95" customHeight="1">
      <c r="C550" s="22">
        <f t="shared" si="8"/>
        <v>543</v>
      </c>
      <c r="D550" s="184" t="s">
        <v>1756</v>
      </c>
      <c r="E550" s="23" t="s">
        <v>1136</v>
      </c>
      <c r="F550" s="23" t="s">
        <v>1137</v>
      </c>
      <c r="G550" s="29">
        <v>494</v>
      </c>
      <c r="H550" s="25" t="s">
        <v>1676</v>
      </c>
      <c r="I550" s="25" t="s">
        <v>407</v>
      </c>
      <c r="J550" s="26"/>
    </row>
    <row r="551" spans="3:10" s="13" customFormat="1" ht="30.95" customHeight="1">
      <c r="C551" s="22">
        <f t="shared" si="8"/>
        <v>544</v>
      </c>
      <c r="D551" s="184" t="s">
        <v>1757</v>
      </c>
      <c r="E551" s="23" t="s">
        <v>1136</v>
      </c>
      <c r="F551" s="23" t="s">
        <v>1137</v>
      </c>
      <c r="G551" s="29">
        <v>370</v>
      </c>
      <c r="H551" s="25" t="s">
        <v>1676</v>
      </c>
      <c r="I551" s="25" t="s">
        <v>407</v>
      </c>
      <c r="J551" s="26"/>
    </row>
    <row r="552" spans="3:10" s="13" customFormat="1" ht="30.95" customHeight="1">
      <c r="C552" s="22">
        <f t="shared" si="8"/>
        <v>545</v>
      </c>
      <c r="D552" s="184" t="s">
        <v>1758</v>
      </c>
      <c r="E552" s="23" t="s">
        <v>1136</v>
      </c>
      <c r="F552" s="23" t="s">
        <v>1137</v>
      </c>
      <c r="G552" s="29">
        <v>656</v>
      </c>
      <c r="H552" s="25" t="s">
        <v>1676</v>
      </c>
      <c r="I552" s="25" t="s">
        <v>407</v>
      </c>
      <c r="J552" s="26"/>
    </row>
    <row r="553" spans="3:10" s="13" customFormat="1" ht="30.95" customHeight="1">
      <c r="C553" s="22">
        <f t="shared" si="8"/>
        <v>546</v>
      </c>
      <c r="D553" s="184" t="s">
        <v>1759</v>
      </c>
      <c r="E553" s="23" t="s">
        <v>1136</v>
      </c>
      <c r="F553" s="23" t="s">
        <v>1137</v>
      </c>
      <c r="G553" s="29">
        <v>2944</v>
      </c>
      <c r="H553" s="25" t="s">
        <v>1676</v>
      </c>
      <c r="I553" s="25" t="s">
        <v>407</v>
      </c>
      <c r="J553" s="26"/>
    </row>
    <row r="554" spans="3:10" s="13" customFormat="1" ht="30.95" customHeight="1">
      <c r="C554" s="22">
        <f t="shared" si="8"/>
        <v>547</v>
      </c>
      <c r="D554" s="184" t="s">
        <v>1760</v>
      </c>
      <c r="E554" s="23" t="s">
        <v>1136</v>
      </c>
      <c r="F554" s="23" t="s">
        <v>1137</v>
      </c>
      <c r="G554" s="29">
        <v>2486</v>
      </c>
      <c r="H554" s="25" t="s">
        <v>1676</v>
      </c>
      <c r="I554" s="25" t="s">
        <v>407</v>
      </c>
      <c r="J554" s="26"/>
    </row>
    <row r="555" spans="3:10" s="13" customFormat="1" ht="30.95" customHeight="1">
      <c r="C555" s="22">
        <f t="shared" si="8"/>
        <v>548</v>
      </c>
      <c r="D555" s="184" t="s">
        <v>1761</v>
      </c>
      <c r="E555" s="23" t="s">
        <v>1136</v>
      </c>
      <c r="F555" s="23" t="s">
        <v>1137</v>
      </c>
      <c r="G555" s="29">
        <v>505</v>
      </c>
      <c r="H555" s="25" t="s">
        <v>1677</v>
      </c>
      <c r="I555" s="25" t="s">
        <v>407</v>
      </c>
      <c r="J555" s="26"/>
    </row>
    <row r="556" spans="3:10" s="13" customFormat="1" ht="30.95" customHeight="1">
      <c r="C556" s="22">
        <f t="shared" si="8"/>
        <v>549</v>
      </c>
      <c r="D556" s="184" t="s">
        <v>1762</v>
      </c>
      <c r="E556" s="23" t="s">
        <v>1136</v>
      </c>
      <c r="F556" s="23" t="s">
        <v>1137</v>
      </c>
      <c r="G556" s="29">
        <v>365</v>
      </c>
      <c r="H556" s="25" t="s">
        <v>1678</v>
      </c>
      <c r="I556" s="25" t="s">
        <v>407</v>
      </c>
      <c r="J556" s="26"/>
    </row>
    <row r="557" spans="3:10" s="13" customFormat="1" ht="30.95" customHeight="1">
      <c r="C557" s="22">
        <f t="shared" si="8"/>
        <v>550</v>
      </c>
      <c r="D557" s="184" t="s">
        <v>1763</v>
      </c>
      <c r="E557" s="23" t="s">
        <v>1136</v>
      </c>
      <c r="F557" s="23" t="s">
        <v>1137</v>
      </c>
      <c r="G557" s="29">
        <v>1173</v>
      </c>
      <c r="H557" s="25" t="s">
        <v>1678</v>
      </c>
      <c r="I557" s="25" t="s">
        <v>407</v>
      </c>
      <c r="J557" s="26"/>
    </row>
    <row r="558" spans="3:10" s="13" customFormat="1" ht="30.95" customHeight="1">
      <c r="C558" s="22">
        <f t="shared" si="8"/>
        <v>551</v>
      </c>
      <c r="D558" s="184" t="s">
        <v>1764</v>
      </c>
      <c r="E558" s="23" t="s">
        <v>1136</v>
      </c>
      <c r="F558" s="23" t="s">
        <v>1137</v>
      </c>
      <c r="G558" s="29">
        <v>430</v>
      </c>
      <c r="H558" s="25" t="s">
        <v>1678</v>
      </c>
      <c r="I558" s="25" t="s">
        <v>407</v>
      </c>
      <c r="J558" s="26"/>
    </row>
    <row r="559" spans="3:10" s="13" customFormat="1" ht="30.95" customHeight="1">
      <c r="C559" s="22">
        <f t="shared" si="8"/>
        <v>552</v>
      </c>
      <c r="D559" s="184" t="s">
        <v>1765</v>
      </c>
      <c r="E559" s="23" t="s">
        <v>1136</v>
      </c>
      <c r="F559" s="23" t="s">
        <v>1137</v>
      </c>
      <c r="G559" s="29">
        <v>583</v>
      </c>
      <c r="H559" s="25" t="s">
        <v>1678</v>
      </c>
      <c r="I559" s="25" t="s">
        <v>407</v>
      </c>
      <c r="J559" s="26"/>
    </row>
    <row r="560" spans="3:10" s="13" customFormat="1" ht="30.95" customHeight="1">
      <c r="C560" s="22">
        <f t="shared" si="8"/>
        <v>553</v>
      </c>
      <c r="D560" s="184" t="s">
        <v>1766</v>
      </c>
      <c r="E560" s="23" t="s">
        <v>1136</v>
      </c>
      <c r="F560" s="23" t="s">
        <v>1137</v>
      </c>
      <c r="G560" s="29">
        <v>374</v>
      </c>
      <c r="H560" s="25" t="s">
        <v>1678</v>
      </c>
      <c r="I560" s="25" t="s">
        <v>407</v>
      </c>
      <c r="J560" s="26"/>
    </row>
    <row r="561" spans="3:10" s="13" customFormat="1" ht="30.95" customHeight="1">
      <c r="C561" s="22">
        <f t="shared" si="8"/>
        <v>554</v>
      </c>
      <c r="D561" s="184" t="s">
        <v>1767</v>
      </c>
      <c r="E561" s="23" t="s">
        <v>1136</v>
      </c>
      <c r="F561" s="23" t="s">
        <v>1137</v>
      </c>
      <c r="G561" s="29">
        <v>660</v>
      </c>
      <c r="H561" s="25" t="s">
        <v>1678</v>
      </c>
      <c r="I561" s="25" t="s">
        <v>407</v>
      </c>
      <c r="J561" s="26"/>
    </row>
    <row r="562" spans="3:10" s="13" customFormat="1" ht="30.95" customHeight="1">
      <c r="C562" s="22">
        <f t="shared" si="8"/>
        <v>555</v>
      </c>
      <c r="D562" s="184" t="s">
        <v>1768</v>
      </c>
      <c r="E562" s="23" t="s">
        <v>1136</v>
      </c>
      <c r="F562" s="23" t="s">
        <v>1137</v>
      </c>
      <c r="G562" s="29">
        <v>513</v>
      </c>
      <c r="H562" s="25" t="s">
        <v>1679</v>
      </c>
      <c r="I562" s="25" t="s">
        <v>407</v>
      </c>
      <c r="J562" s="26"/>
    </row>
    <row r="563" spans="3:10" s="13" customFormat="1" ht="30.95" customHeight="1">
      <c r="C563" s="22">
        <f t="shared" si="8"/>
        <v>556</v>
      </c>
      <c r="D563" s="184" t="s">
        <v>1769</v>
      </c>
      <c r="E563" s="23" t="s">
        <v>1136</v>
      </c>
      <c r="F563" s="23" t="s">
        <v>1137</v>
      </c>
      <c r="G563" s="29">
        <v>270</v>
      </c>
      <c r="H563" s="25" t="s">
        <v>1679</v>
      </c>
      <c r="I563" s="25" t="s">
        <v>407</v>
      </c>
      <c r="J563" s="26"/>
    </row>
    <row r="564" spans="3:10" s="13" customFormat="1" ht="30.95" customHeight="1">
      <c r="C564" s="22">
        <f t="shared" si="8"/>
        <v>557</v>
      </c>
      <c r="D564" s="184" t="s">
        <v>1770</v>
      </c>
      <c r="E564" s="23" t="s">
        <v>1136</v>
      </c>
      <c r="F564" s="23" t="s">
        <v>1137</v>
      </c>
      <c r="G564" s="29">
        <v>394</v>
      </c>
      <c r="H564" s="25" t="s">
        <v>1679</v>
      </c>
      <c r="I564" s="25" t="s">
        <v>407</v>
      </c>
      <c r="J564" s="26"/>
    </row>
    <row r="565" spans="3:10" s="13" customFormat="1" ht="30.95" customHeight="1">
      <c r="C565" s="22">
        <f t="shared" si="8"/>
        <v>558</v>
      </c>
      <c r="D565" s="184" t="s">
        <v>1771</v>
      </c>
      <c r="E565" s="23" t="s">
        <v>1136</v>
      </c>
      <c r="F565" s="23" t="s">
        <v>1137</v>
      </c>
      <c r="G565" s="29">
        <v>125</v>
      </c>
      <c r="H565" s="25" t="s">
        <v>1680</v>
      </c>
      <c r="I565" s="25" t="s">
        <v>407</v>
      </c>
      <c r="J565" s="26"/>
    </row>
    <row r="566" spans="3:10" s="13" customFormat="1" ht="30.95" customHeight="1">
      <c r="C566" s="22">
        <f t="shared" si="8"/>
        <v>559</v>
      </c>
      <c r="D566" s="184" t="s">
        <v>1772</v>
      </c>
      <c r="E566" s="23" t="s">
        <v>1136</v>
      </c>
      <c r="F566" s="23" t="s">
        <v>1137</v>
      </c>
      <c r="G566" s="29">
        <v>505</v>
      </c>
      <c r="H566" s="25" t="s">
        <v>1680</v>
      </c>
      <c r="I566" s="25" t="s">
        <v>407</v>
      </c>
      <c r="J566" s="26"/>
    </row>
    <row r="567" spans="3:10" s="13" customFormat="1" ht="30.95" customHeight="1">
      <c r="C567" s="22">
        <f t="shared" si="8"/>
        <v>560</v>
      </c>
      <c r="D567" s="184" t="s">
        <v>1773</v>
      </c>
      <c r="E567" s="23" t="s">
        <v>1136</v>
      </c>
      <c r="F567" s="23" t="s">
        <v>1137</v>
      </c>
      <c r="G567" s="29">
        <v>460</v>
      </c>
      <c r="H567" s="25" t="s">
        <v>1680</v>
      </c>
      <c r="I567" s="25" t="s">
        <v>407</v>
      </c>
      <c r="J567" s="26"/>
    </row>
    <row r="568" spans="3:10" s="13" customFormat="1" ht="30.95" customHeight="1">
      <c r="C568" s="22">
        <f t="shared" si="8"/>
        <v>561</v>
      </c>
      <c r="D568" s="184" t="s">
        <v>1774</v>
      </c>
      <c r="E568" s="23" t="s">
        <v>1136</v>
      </c>
      <c r="F568" s="23" t="s">
        <v>1137</v>
      </c>
      <c r="G568" s="29">
        <v>400</v>
      </c>
      <c r="H568" s="25" t="s">
        <v>1680</v>
      </c>
      <c r="I568" s="25" t="s">
        <v>407</v>
      </c>
      <c r="J568" s="26"/>
    </row>
    <row r="569" spans="3:10" s="13" customFormat="1" ht="30.95" customHeight="1">
      <c r="C569" s="22">
        <f t="shared" si="8"/>
        <v>562</v>
      </c>
      <c r="D569" s="184" t="s">
        <v>1775</v>
      </c>
      <c r="E569" s="23" t="s">
        <v>1136</v>
      </c>
      <c r="F569" s="23" t="s">
        <v>1137</v>
      </c>
      <c r="G569" s="29">
        <v>300</v>
      </c>
      <c r="H569" s="25" t="s">
        <v>1680</v>
      </c>
      <c r="I569" s="25" t="s">
        <v>407</v>
      </c>
      <c r="J569" s="26"/>
    </row>
    <row r="570" spans="3:10" s="13" customFormat="1" ht="30.95" customHeight="1">
      <c r="C570" s="22">
        <f t="shared" si="8"/>
        <v>563</v>
      </c>
      <c r="D570" s="184" t="s">
        <v>1776</v>
      </c>
      <c r="E570" s="23" t="s">
        <v>1136</v>
      </c>
      <c r="F570" s="23" t="s">
        <v>1137</v>
      </c>
      <c r="G570" s="29">
        <v>400</v>
      </c>
      <c r="H570" s="25" t="s">
        <v>1680</v>
      </c>
      <c r="I570" s="25" t="s">
        <v>407</v>
      </c>
      <c r="J570" s="26"/>
    </row>
    <row r="571" spans="3:10" s="13" customFormat="1" ht="30.95" customHeight="1">
      <c r="C571" s="22">
        <f t="shared" si="8"/>
        <v>564</v>
      </c>
      <c r="D571" s="184" t="s">
        <v>1777</v>
      </c>
      <c r="E571" s="23" t="s">
        <v>1136</v>
      </c>
      <c r="F571" s="23" t="s">
        <v>1137</v>
      </c>
      <c r="G571" s="29">
        <v>467</v>
      </c>
      <c r="H571" s="25" t="s">
        <v>1681</v>
      </c>
      <c r="I571" s="25" t="s">
        <v>407</v>
      </c>
      <c r="J571" s="26"/>
    </row>
    <row r="572" spans="3:10" s="13" customFormat="1" ht="30.95" customHeight="1">
      <c r="C572" s="22">
        <f t="shared" si="8"/>
        <v>565</v>
      </c>
      <c r="D572" s="184" t="s">
        <v>1778</v>
      </c>
      <c r="E572" s="23" t="s">
        <v>1136</v>
      </c>
      <c r="F572" s="23" t="s">
        <v>1137</v>
      </c>
      <c r="G572" s="29">
        <v>1796</v>
      </c>
      <c r="H572" s="25" t="s">
        <v>1681</v>
      </c>
      <c r="I572" s="25" t="s">
        <v>407</v>
      </c>
      <c r="J572" s="26"/>
    </row>
    <row r="573" spans="3:10" s="13" customFormat="1" ht="30.95" customHeight="1">
      <c r="C573" s="22">
        <f t="shared" si="8"/>
        <v>566</v>
      </c>
      <c r="D573" s="184" t="s">
        <v>1779</v>
      </c>
      <c r="E573" s="23" t="s">
        <v>1136</v>
      </c>
      <c r="F573" s="23" t="s">
        <v>1137</v>
      </c>
      <c r="G573" s="29">
        <v>295</v>
      </c>
      <c r="H573" s="25" t="s">
        <v>1681</v>
      </c>
      <c r="I573" s="25" t="s">
        <v>407</v>
      </c>
      <c r="J573" s="26"/>
    </row>
    <row r="574" spans="3:10" s="13" customFormat="1" ht="30.95" customHeight="1">
      <c r="C574" s="22">
        <f t="shared" si="8"/>
        <v>567</v>
      </c>
      <c r="D574" s="184" t="s">
        <v>1780</v>
      </c>
      <c r="E574" s="23" t="s">
        <v>1136</v>
      </c>
      <c r="F574" s="23" t="s">
        <v>1137</v>
      </c>
      <c r="G574" s="29">
        <v>345</v>
      </c>
      <c r="H574" s="25" t="s">
        <v>1681</v>
      </c>
      <c r="I574" s="25" t="s">
        <v>407</v>
      </c>
      <c r="J574" s="26"/>
    </row>
    <row r="575" spans="3:10" s="13" customFormat="1" ht="30.95" customHeight="1">
      <c r="C575" s="22">
        <f t="shared" si="8"/>
        <v>568</v>
      </c>
      <c r="D575" s="184" t="s">
        <v>1781</v>
      </c>
      <c r="E575" s="23" t="s">
        <v>1136</v>
      </c>
      <c r="F575" s="23" t="s">
        <v>1137</v>
      </c>
      <c r="G575" s="29">
        <v>570</v>
      </c>
      <c r="H575" s="25" t="s">
        <v>1681</v>
      </c>
      <c r="I575" s="25" t="s">
        <v>407</v>
      </c>
      <c r="J575" s="26"/>
    </row>
    <row r="576" spans="3:10" s="13" customFormat="1" ht="30.95" customHeight="1">
      <c r="C576" s="22">
        <f t="shared" si="8"/>
        <v>569</v>
      </c>
      <c r="D576" s="184" t="s">
        <v>1782</v>
      </c>
      <c r="E576" s="23" t="s">
        <v>1136</v>
      </c>
      <c r="F576" s="23" t="s">
        <v>1137</v>
      </c>
      <c r="G576" s="29">
        <v>360</v>
      </c>
      <c r="H576" s="25" t="s">
        <v>1681</v>
      </c>
      <c r="I576" s="25" t="s">
        <v>407</v>
      </c>
      <c r="J576" s="26"/>
    </row>
    <row r="577" spans="3:10" s="13" customFormat="1" ht="30.95" customHeight="1">
      <c r="C577" s="22">
        <f t="shared" si="8"/>
        <v>570</v>
      </c>
      <c r="D577" s="184" t="s">
        <v>1783</v>
      </c>
      <c r="E577" s="23" t="s">
        <v>1136</v>
      </c>
      <c r="F577" s="23" t="s">
        <v>1137</v>
      </c>
      <c r="G577" s="29">
        <v>292</v>
      </c>
      <c r="H577" s="25" t="s">
        <v>1681</v>
      </c>
      <c r="I577" s="25" t="s">
        <v>407</v>
      </c>
      <c r="J577" s="26"/>
    </row>
    <row r="578" spans="3:10" s="13" customFormat="1" ht="30.95" customHeight="1">
      <c r="C578" s="22">
        <f t="shared" si="8"/>
        <v>571</v>
      </c>
      <c r="D578" s="184" t="s">
        <v>1784</v>
      </c>
      <c r="E578" s="23" t="s">
        <v>1136</v>
      </c>
      <c r="F578" s="23" t="s">
        <v>1137</v>
      </c>
      <c r="G578" s="29">
        <v>223</v>
      </c>
      <c r="H578" s="25" t="s">
        <v>1681</v>
      </c>
      <c r="I578" s="25" t="s">
        <v>407</v>
      </c>
      <c r="J578" s="26"/>
    </row>
    <row r="579" spans="3:10" s="13" customFormat="1" ht="30.95" customHeight="1">
      <c r="C579" s="22">
        <f t="shared" si="8"/>
        <v>572</v>
      </c>
      <c r="D579" s="184" t="s">
        <v>1785</v>
      </c>
      <c r="E579" s="23" t="s">
        <v>1136</v>
      </c>
      <c r="F579" s="23" t="s">
        <v>1137</v>
      </c>
      <c r="G579" s="29">
        <v>300</v>
      </c>
      <c r="H579" s="25" t="s">
        <v>1681</v>
      </c>
      <c r="I579" s="25" t="s">
        <v>407</v>
      </c>
      <c r="J579" s="26"/>
    </row>
    <row r="580" spans="3:10" s="13" customFormat="1" ht="30.95" customHeight="1">
      <c r="C580" s="22">
        <f t="shared" si="8"/>
        <v>573</v>
      </c>
      <c r="D580" s="184" t="s">
        <v>1786</v>
      </c>
      <c r="E580" s="23" t="s">
        <v>1136</v>
      </c>
      <c r="F580" s="23" t="s">
        <v>1137</v>
      </c>
      <c r="G580" s="29">
        <v>248</v>
      </c>
      <c r="H580" s="25" t="s">
        <v>1682</v>
      </c>
      <c r="I580" s="25" t="s">
        <v>407</v>
      </c>
      <c r="J580" s="26"/>
    </row>
    <row r="581" spans="3:10" s="13" customFormat="1" ht="30.95" customHeight="1">
      <c r="C581" s="22">
        <f t="shared" si="8"/>
        <v>574</v>
      </c>
      <c r="D581" s="184" t="s">
        <v>1787</v>
      </c>
      <c r="E581" s="23" t="s">
        <v>1136</v>
      </c>
      <c r="F581" s="23" t="s">
        <v>1137</v>
      </c>
      <c r="G581" s="29">
        <v>285</v>
      </c>
      <c r="H581" s="25" t="s">
        <v>1682</v>
      </c>
      <c r="I581" s="25" t="s">
        <v>407</v>
      </c>
      <c r="J581" s="26"/>
    </row>
    <row r="582" spans="3:10" s="13" customFormat="1" ht="30.95" customHeight="1">
      <c r="C582" s="22">
        <f t="shared" si="8"/>
        <v>575</v>
      </c>
      <c r="D582" s="184" t="s">
        <v>1788</v>
      </c>
      <c r="E582" s="23" t="s">
        <v>1136</v>
      </c>
      <c r="F582" s="23" t="s">
        <v>1137</v>
      </c>
      <c r="G582" s="29">
        <v>440</v>
      </c>
      <c r="H582" s="25" t="s">
        <v>1682</v>
      </c>
      <c r="I582" s="25" t="s">
        <v>407</v>
      </c>
      <c r="J582" s="26"/>
    </row>
    <row r="583" spans="3:10" s="13" customFormat="1" ht="30.95" customHeight="1">
      <c r="C583" s="22">
        <f t="shared" si="8"/>
        <v>576</v>
      </c>
      <c r="D583" s="184" t="s">
        <v>1789</v>
      </c>
      <c r="E583" s="23" t="s">
        <v>1136</v>
      </c>
      <c r="F583" s="23" t="s">
        <v>1137</v>
      </c>
      <c r="G583" s="29">
        <v>430</v>
      </c>
      <c r="H583" s="25" t="s">
        <v>1682</v>
      </c>
      <c r="I583" s="25" t="s">
        <v>407</v>
      </c>
      <c r="J583" s="26"/>
    </row>
    <row r="584" spans="3:10" s="13" customFormat="1" ht="30.95" customHeight="1">
      <c r="C584" s="22">
        <f t="shared" si="8"/>
        <v>577</v>
      </c>
      <c r="D584" s="184" t="s">
        <v>1790</v>
      </c>
      <c r="E584" s="23" t="s">
        <v>1136</v>
      </c>
      <c r="F584" s="23" t="s">
        <v>1137</v>
      </c>
      <c r="G584" s="29">
        <v>1100</v>
      </c>
      <c r="H584" s="25" t="s">
        <v>1683</v>
      </c>
      <c r="I584" s="25" t="s">
        <v>407</v>
      </c>
      <c r="J584" s="26"/>
    </row>
    <row r="585" spans="3:10" s="13" customFormat="1" ht="30.95" customHeight="1">
      <c r="C585" s="22">
        <f t="shared" si="8"/>
        <v>578</v>
      </c>
      <c r="D585" s="184" t="s">
        <v>1791</v>
      </c>
      <c r="E585" s="23" t="s">
        <v>1136</v>
      </c>
      <c r="F585" s="23" t="s">
        <v>1137</v>
      </c>
      <c r="G585" s="29">
        <v>1550</v>
      </c>
      <c r="H585" s="25" t="s">
        <v>1683</v>
      </c>
      <c r="I585" s="25" t="s">
        <v>407</v>
      </c>
      <c r="J585" s="26"/>
    </row>
    <row r="586" spans="3:10" s="13" customFormat="1" ht="30.95" customHeight="1">
      <c r="C586" s="22">
        <f t="shared" ref="C586:C649" si="9">C585+1</f>
        <v>579</v>
      </c>
      <c r="D586" s="184" t="s">
        <v>1792</v>
      </c>
      <c r="E586" s="23" t="s">
        <v>1136</v>
      </c>
      <c r="F586" s="23" t="s">
        <v>1137</v>
      </c>
      <c r="G586" s="29">
        <v>1338</v>
      </c>
      <c r="H586" s="25" t="s">
        <v>1683</v>
      </c>
      <c r="I586" s="25" t="s">
        <v>407</v>
      </c>
      <c r="J586" s="26"/>
    </row>
    <row r="587" spans="3:10" s="13" customFormat="1" ht="30.95" customHeight="1">
      <c r="C587" s="22">
        <f t="shared" si="9"/>
        <v>580</v>
      </c>
      <c r="D587" s="184" t="s">
        <v>1793</v>
      </c>
      <c r="E587" s="23" t="s">
        <v>1136</v>
      </c>
      <c r="F587" s="23" t="s">
        <v>1137</v>
      </c>
      <c r="G587" s="29">
        <v>2395</v>
      </c>
      <c r="H587" s="25" t="s">
        <v>1683</v>
      </c>
      <c r="I587" s="25" t="s">
        <v>407</v>
      </c>
      <c r="J587" s="26"/>
    </row>
    <row r="588" spans="3:10" s="13" customFormat="1" ht="30.95" customHeight="1">
      <c r="C588" s="22">
        <f t="shared" si="9"/>
        <v>581</v>
      </c>
      <c r="D588" s="184" t="s">
        <v>1794</v>
      </c>
      <c r="E588" s="23" t="s">
        <v>1136</v>
      </c>
      <c r="F588" s="23" t="s">
        <v>1137</v>
      </c>
      <c r="G588" s="29">
        <v>361</v>
      </c>
      <c r="H588" s="25" t="s">
        <v>1683</v>
      </c>
      <c r="I588" s="25" t="s">
        <v>407</v>
      </c>
      <c r="J588" s="26"/>
    </row>
    <row r="589" spans="3:10" s="13" customFormat="1" ht="30.95" customHeight="1">
      <c r="C589" s="22">
        <f t="shared" si="9"/>
        <v>582</v>
      </c>
      <c r="D589" s="184" t="s">
        <v>1795</v>
      </c>
      <c r="E589" s="23" t="s">
        <v>1136</v>
      </c>
      <c r="F589" s="23" t="s">
        <v>1137</v>
      </c>
      <c r="G589" s="29">
        <v>780</v>
      </c>
      <c r="H589" s="25" t="s">
        <v>1683</v>
      </c>
      <c r="I589" s="25" t="s">
        <v>407</v>
      </c>
      <c r="J589" s="26"/>
    </row>
    <row r="590" spans="3:10" s="13" customFormat="1" ht="30.95" customHeight="1">
      <c r="C590" s="22">
        <f t="shared" si="9"/>
        <v>583</v>
      </c>
      <c r="D590" s="184" t="s">
        <v>1796</v>
      </c>
      <c r="E590" s="23" t="s">
        <v>1136</v>
      </c>
      <c r="F590" s="23" t="s">
        <v>1137</v>
      </c>
      <c r="G590" s="29">
        <v>1496</v>
      </c>
      <c r="H590" s="25" t="s">
        <v>1683</v>
      </c>
      <c r="I590" s="25" t="s">
        <v>407</v>
      </c>
      <c r="J590" s="26"/>
    </row>
    <row r="591" spans="3:10" s="13" customFormat="1" ht="30.95" customHeight="1">
      <c r="C591" s="22">
        <f t="shared" si="9"/>
        <v>584</v>
      </c>
      <c r="D591" s="184" t="s">
        <v>1797</v>
      </c>
      <c r="E591" s="23" t="s">
        <v>1136</v>
      </c>
      <c r="F591" s="23" t="s">
        <v>1137</v>
      </c>
      <c r="G591" s="29">
        <v>5580</v>
      </c>
      <c r="H591" s="25" t="s">
        <v>1683</v>
      </c>
      <c r="I591" s="25" t="s">
        <v>407</v>
      </c>
      <c r="J591" s="26"/>
    </row>
    <row r="592" spans="3:10" s="13" customFormat="1" ht="30.95" customHeight="1">
      <c r="C592" s="22">
        <f t="shared" si="9"/>
        <v>585</v>
      </c>
      <c r="D592" s="184" t="s">
        <v>1798</v>
      </c>
      <c r="E592" s="23" t="s">
        <v>1136</v>
      </c>
      <c r="F592" s="23" t="s">
        <v>1137</v>
      </c>
      <c r="G592" s="29">
        <v>246</v>
      </c>
      <c r="H592" s="25" t="s">
        <v>1683</v>
      </c>
      <c r="I592" s="25" t="s">
        <v>407</v>
      </c>
      <c r="J592" s="26"/>
    </row>
    <row r="593" spans="3:10" s="13" customFormat="1" ht="30.95" customHeight="1">
      <c r="C593" s="22">
        <f t="shared" si="9"/>
        <v>586</v>
      </c>
      <c r="D593" s="184" t="s">
        <v>1799</v>
      </c>
      <c r="E593" s="23" t="s">
        <v>1136</v>
      </c>
      <c r="F593" s="23" t="s">
        <v>1137</v>
      </c>
      <c r="G593" s="29">
        <v>617</v>
      </c>
      <c r="H593" s="25" t="s">
        <v>1683</v>
      </c>
      <c r="I593" s="25" t="s">
        <v>407</v>
      </c>
      <c r="J593" s="26"/>
    </row>
    <row r="594" spans="3:10" s="13" customFormat="1" ht="30.95" customHeight="1">
      <c r="C594" s="22">
        <f t="shared" si="9"/>
        <v>587</v>
      </c>
      <c r="D594" s="184" t="s">
        <v>1800</v>
      </c>
      <c r="E594" s="23" t="s">
        <v>1136</v>
      </c>
      <c r="F594" s="23" t="s">
        <v>1137</v>
      </c>
      <c r="G594" s="29">
        <v>229</v>
      </c>
      <c r="H594" s="25" t="s">
        <v>1683</v>
      </c>
      <c r="I594" s="25" t="s">
        <v>407</v>
      </c>
      <c r="J594" s="26"/>
    </row>
    <row r="595" spans="3:10" s="13" customFormat="1" ht="30.95" customHeight="1">
      <c r="C595" s="22">
        <f t="shared" si="9"/>
        <v>588</v>
      </c>
      <c r="D595" s="184" t="s">
        <v>1801</v>
      </c>
      <c r="E595" s="23" t="s">
        <v>1136</v>
      </c>
      <c r="F595" s="23" t="s">
        <v>1137</v>
      </c>
      <c r="G595" s="29">
        <v>1373</v>
      </c>
      <c r="H595" s="25" t="s">
        <v>1683</v>
      </c>
      <c r="I595" s="25" t="s">
        <v>407</v>
      </c>
      <c r="J595" s="26"/>
    </row>
    <row r="596" spans="3:10" s="13" customFormat="1" ht="30.95" customHeight="1">
      <c r="C596" s="22">
        <f t="shared" si="9"/>
        <v>589</v>
      </c>
      <c r="D596" s="184" t="s">
        <v>1802</v>
      </c>
      <c r="E596" s="23" t="s">
        <v>1136</v>
      </c>
      <c r="F596" s="23" t="s">
        <v>1137</v>
      </c>
      <c r="G596" s="29">
        <v>182</v>
      </c>
      <c r="H596" s="25" t="s">
        <v>1683</v>
      </c>
      <c r="I596" s="25" t="s">
        <v>407</v>
      </c>
      <c r="J596" s="26"/>
    </row>
    <row r="597" spans="3:10" s="13" customFormat="1" ht="30.95" customHeight="1">
      <c r="C597" s="22">
        <f t="shared" si="9"/>
        <v>590</v>
      </c>
      <c r="D597" s="184" t="s">
        <v>1803</v>
      </c>
      <c r="E597" s="23" t="s">
        <v>1136</v>
      </c>
      <c r="F597" s="23" t="s">
        <v>1137</v>
      </c>
      <c r="G597" s="29">
        <v>589</v>
      </c>
      <c r="H597" s="25" t="s">
        <v>1683</v>
      </c>
      <c r="I597" s="25" t="s">
        <v>407</v>
      </c>
      <c r="J597" s="26"/>
    </row>
    <row r="598" spans="3:10" s="13" customFormat="1" ht="30.95" customHeight="1">
      <c r="C598" s="22">
        <f t="shared" si="9"/>
        <v>591</v>
      </c>
      <c r="D598" s="184" t="s">
        <v>1804</v>
      </c>
      <c r="E598" s="23" t="s">
        <v>1136</v>
      </c>
      <c r="F598" s="23" t="s">
        <v>1137</v>
      </c>
      <c r="G598" s="29">
        <v>184</v>
      </c>
      <c r="H598" s="25" t="s">
        <v>1683</v>
      </c>
      <c r="I598" s="25" t="s">
        <v>407</v>
      </c>
      <c r="J598" s="26"/>
    </row>
    <row r="599" spans="3:10" s="13" customFormat="1" ht="30.95" customHeight="1">
      <c r="C599" s="22">
        <f t="shared" si="9"/>
        <v>592</v>
      </c>
      <c r="D599" s="184" t="s">
        <v>1805</v>
      </c>
      <c r="E599" s="23" t="s">
        <v>1136</v>
      </c>
      <c r="F599" s="23" t="s">
        <v>1137</v>
      </c>
      <c r="G599" s="29">
        <v>386</v>
      </c>
      <c r="H599" s="25" t="s">
        <v>1683</v>
      </c>
      <c r="I599" s="25" t="s">
        <v>407</v>
      </c>
      <c r="J599" s="26"/>
    </row>
    <row r="600" spans="3:10" s="13" customFormat="1" ht="30.95" customHeight="1">
      <c r="C600" s="22">
        <f t="shared" si="9"/>
        <v>593</v>
      </c>
      <c r="D600" s="184" t="s">
        <v>1806</v>
      </c>
      <c r="E600" s="23" t="s">
        <v>1136</v>
      </c>
      <c r="F600" s="23" t="s">
        <v>1137</v>
      </c>
      <c r="G600" s="29">
        <v>656</v>
      </c>
      <c r="H600" s="25" t="s">
        <v>1683</v>
      </c>
      <c r="I600" s="25" t="s">
        <v>407</v>
      </c>
      <c r="J600" s="26"/>
    </row>
    <row r="601" spans="3:10" s="13" customFormat="1" ht="30.95" customHeight="1">
      <c r="C601" s="22">
        <f t="shared" si="9"/>
        <v>594</v>
      </c>
      <c r="D601" s="184" t="s">
        <v>1807</v>
      </c>
      <c r="E601" s="23" t="s">
        <v>1136</v>
      </c>
      <c r="F601" s="23" t="s">
        <v>1137</v>
      </c>
      <c r="G601" s="29">
        <v>519</v>
      </c>
      <c r="H601" s="25" t="s">
        <v>1683</v>
      </c>
      <c r="I601" s="25" t="s">
        <v>407</v>
      </c>
      <c r="J601" s="26"/>
    </row>
    <row r="602" spans="3:10" s="13" customFormat="1" ht="30.95" customHeight="1">
      <c r="C602" s="22">
        <f t="shared" si="9"/>
        <v>595</v>
      </c>
      <c r="D602" s="184" t="s">
        <v>1808</v>
      </c>
      <c r="E602" s="23" t="s">
        <v>1136</v>
      </c>
      <c r="F602" s="23" t="s">
        <v>1137</v>
      </c>
      <c r="G602" s="29">
        <v>905</v>
      </c>
      <c r="H602" s="25" t="s">
        <v>1683</v>
      </c>
      <c r="I602" s="25" t="s">
        <v>407</v>
      </c>
      <c r="J602" s="26"/>
    </row>
    <row r="603" spans="3:10" s="13" customFormat="1" ht="30.95" customHeight="1">
      <c r="C603" s="22">
        <f t="shared" si="9"/>
        <v>596</v>
      </c>
      <c r="D603" s="184" t="s">
        <v>1809</v>
      </c>
      <c r="E603" s="23" t="s">
        <v>1136</v>
      </c>
      <c r="F603" s="23" t="s">
        <v>1137</v>
      </c>
      <c r="G603" s="29">
        <v>1194</v>
      </c>
      <c r="H603" s="25" t="s">
        <v>1685</v>
      </c>
      <c r="I603" s="25" t="s">
        <v>407</v>
      </c>
      <c r="J603" s="26"/>
    </row>
    <row r="604" spans="3:10" s="13" customFormat="1" ht="30.95" customHeight="1">
      <c r="C604" s="22">
        <f t="shared" si="9"/>
        <v>597</v>
      </c>
      <c r="D604" s="184" t="s">
        <v>1810</v>
      </c>
      <c r="E604" s="23" t="s">
        <v>1136</v>
      </c>
      <c r="F604" s="23" t="s">
        <v>1137</v>
      </c>
      <c r="G604" s="29">
        <v>1847</v>
      </c>
      <c r="H604" s="25" t="s">
        <v>1685</v>
      </c>
      <c r="I604" s="25" t="s">
        <v>407</v>
      </c>
      <c r="J604" s="26"/>
    </row>
    <row r="605" spans="3:10" s="13" customFormat="1" ht="30.95" customHeight="1">
      <c r="C605" s="22">
        <f t="shared" si="9"/>
        <v>598</v>
      </c>
      <c r="D605" s="184" t="s">
        <v>1811</v>
      </c>
      <c r="E605" s="23" t="s">
        <v>1136</v>
      </c>
      <c r="F605" s="23" t="s">
        <v>1137</v>
      </c>
      <c r="G605" s="29">
        <v>475</v>
      </c>
      <c r="H605" s="25" t="s">
        <v>1685</v>
      </c>
      <c r="I605" s="25" t="s">
        <v>407</v>
      </c>
      <c r="J605" s="26"/>
    </row>
    <row r="606" spans="3:10" s="13" customFormat="1" ht="30.95" customHeight="1">
      <c r="C606" s="22">
        <f t="shared" si="9"/>
        <v>599</v>
      </c>
      <c r="D606" s="184" t="s">
        <v>1812</v>
      </c>
      <c r="E606" s="23" t="s">
        <v>1136</v>
      </c>
      <c r="F606" s="23" t="s">
        <v>1137</v>
      </c>
      <c r="G606" s="29">
        <v>505</v>
      </c>
      <c r="H606" s="25" t="s">
        <v>1686</v>
      </c>
      <c r="I606" s="25" t="s">
        <v>407</v>
      </c>
      <c r="J606" s="26"/>
    </row>
    <row r="607" spans="3:10" s="13" customFormat="1" ht="30.95" customHeight="1">
      <c r="C607" s="22">
        <f t="shared" si="9"/>
        <v>600</v>
      </c>
      <c r="D607" s="184" t="s">
        <v>1813</v>
      </c>
      <c r="E607" s="23" t="s">
        <v>1136</v>
      </c>
      <c r="F607" s="23" t="s">
        <v>1137</v>
      </c>
      <c r="G607" s="29">
        <v>80</v>
      </c>
      <c r="H607" s="25" t="s">
        <v>1686</v>
      </c>
      <c r="I607" s="25" t="s">
        <v>407</v>
      </c>
      <c r="J607" s="26"/>
    </row>
    <row r="608" spans="3:10" s="13" customFormat="1" ht="30.95" customHeight="1">
      <c r="C608" s="22">
        <f t="shared" si="9"/>
        <v>601</v>
      </c>
      <c r="D608" s="184" t="s">
        <v>1814</v>
      </c>
      <c r="E608" s="23" t="s">
        <v>1136</v>
      </c>
      <c r="F608" s="23" t="s">
        <v>1137</v>
      </c>
      <c r="G608" s="29">
        <v>900</v>
      </c>
      <c r="H608" s="25" t="s">
        <v>1686</v>
      </c>
      <c r="I608" s="25" t="s">
        <v>407</v>
      </c>
      <c r="J608" s="26"/>
    </row>
    <row r="609" spans="3:10" s="13" customFormat="1" ht="30.95" customHeight="1">
      <c r="C609" s="22">
        <f t="shared" si="9"/>
        <v>602</v>
      </c>
      <c r="D609" s="184" t="s">
        <v>1815</v>
      </c>
      <c r="E609" s="23" t="s">
        <v>1136</v>
      </c>
      <c r="F609" s="23" t="s">
        <v>1137</v>
      </c>
      <c r="G609" s="29">
        <v>290</v>
      </c>
      <c r="H609" s="25" t="s">
        <v>1687</v>
      </c>
      <c r="I609" s="25" t="s">
        <v>407</v>
      </c>
      <c r="J609" s="26"/>
    </row>
    <row r="610" spans="3:10" s="13" customFormat="1" ht="30.95" customHeight="1">
      <c r="C610" s="22">
        <f t="shared" si="9"/>
        <v>603</v>
      </c>
      <c r="D610" s="184" t="s">
        <v>1816</v>
      </c>
      <c r="E610" s="23" t="s">
        <v>1136</v>
      </c>
      <c r="F610" s="23" t="s">
        <v>1137</v>
      </c>
      <c r="G610" s="29">
        <v>700</v>
      </c>
      <c r="H610" s="25" t="s">
        <v>1687</v>
      </c>
      <c r="I610" s="25" t="s">
        <v>407</v>
      </c>
      <c r="J610" s="26"/>
    </row>
    <row r="611" spans="3:10" s="13" customFormat="1" ht="30.95" customHeight="1">
      <c r="C611" s="22">
        <f t="shared" si="9"/>
        <v>604</v>
      </c>
      <c r="D611" s="184" t="s">
        <v>1817</v>
      </c>
      <c r="E611" s="23" t="s">
        <v>1136</v>
      </c>
      <c r="F611" s="23" t="s">
        <v>1137</v>
      </c>
      <c r="G611" s="29">
        <v>730</v>
      </c>
      <c r="H611" s="25" t="s">
        <v>1687</v>
      </c>
      <c r="I611" s="25" t="s">
        <v>407</v>
      </c>
      <c r="J611" s="26"/>
    </row>
    <row r="612" spans="3:10" s="13" customFormat="1" ht="30.95" customHeight="1">
      <c r="C612" s="22">
        <f t="shared" si="9"/>
        <v>605</v>
      </c>
      <c r="D612" s="184" t="s">
        <v>1818</v>
      </c>
      <c r="E612" s="23" t="s">
        <v>1136</v>
      </c>
      <c r="F612" s="23" t="s">
        <v>1137</v>
      </c>
      <c r="G612" s="29">
        <v>631</v>
      </c>
      <c r="H612" s="25" t="s">
        <v>1687</v>
      </c>
      <c r="I612" s="25" t="s">
        <v>407</v>
      </c>
      <c r="J612" s="26"/>
    </row>
    <row r="613" spans="3:10" s="13" customFormat="1" ht="30.95" customHeight="1">
      <c r="C613" s="22">
        <f t="shared" si="9"/>
        <v>606</v>
      </c>
      <c r="D613" s="184" t="s">
        <v>1819</v>
      </c>
      <c r="E613" s="23" t="s">
        <v>1136</v>
      </c>
      <c r="F613" s="23" t="s">
        <v>1137</v>
      </c>
      <c r="G613" s="29">
        <v>725</v>
      </c>
      <c r="H613" s="25" t="s">
        <v>1687</v>
      </c>
      <c r="I613" s="25" t="s">
        <v>407</v>
      </c>
      <c r="J613" s="26"/>
    </row>
    <row r="614" spans="3:10" s="13" customFormat="1" ht="30.95" customHeight="1">
      <c r="C614" s="22">
        <f t="shared" si="9"/>
        <v>607</v>
      </c>
      <c r="D614" s="184" t="s">
        <v>1820</v>
      </c>
      <c r="E614" s="23" t="s">
        <v>1136</v>
      </c>
      <c r="F614" s="23" t="s">
        <v>1137</v>
      </c>
      <c r="G614" s="29">
        <v>534</v>
      </c>
      <c r="H614" s="25" t="s">
        <v>1688</v>
      </c>
      <c r="I614" s="25" t="s">
        <v>407</v>
      </c>
      <c r="J614" s="26"/>
    </row>
    <row r="615" spans="3:10" s="13" customFormat="1" ht="30.95" customHeight="1">
      <c r="C615" s="22">
        <f t="shared" si="9"/>
        <v>608</v>
      </c>
      <c r="D615" s="184" t="s">
        <v>1821</v>
      </c>
      <c r="E615" s="23" t="s">
        <v>1136</v>
      </c>
      <c r="F615" s="23" t="s">
        <v>1137</v>
      </c>
      <c r="G615" s="29">
        <v>579</v>
      </c>
      <c r="H615" s="25" t="s">
        <v>1688</v>
      </c>
      <c r="I615" s="25" t="s">
        <v>407</v>
      </c>
      <c r="J615" s="26"/>
    </row>
    <row r="616" spans="3:10" s="13" customFormat="1" ht="30.95" customHeight="1">
      <c r="C616" s="22">
        <f t="shared" si="9"/>
        <v>609</v>
      </c>
      <c r="D616" s="184" t="s">
        <v>1822</v>
      </c>
      <c r="E616" s="23" t="s">
        <v>1136</v>
      </c>
      <c r="F616" s="23" t="s">
        <v>1137</v>
      </c>
      <c r="G616" s="29">
        <v>640</v>
      </c>
      <c r="H616" s="25" t="s">
        <v>1688</v>
      </c>
      <c r="I616" s="25" t="s">
        <v>407</v>
      </c>
      <c r="J616" s="26"/>
    </row>
    <row r="617" spans="3:10" s="13" customFormat="1" ht="30.95" customHeight="1">
      <c r="C617" s="22">
        <f t="shared" si="9"/>
        <v>610</v>
      </c>
      <c r="D617" s="184" t="s">
        <v>1823</v>
      </c>
      <c r="E617" s="23" t="s">
        <v>1136</v>
      </c>
      <c r="F617" s="23" t="s">
        <v>1137</v>
      </c>
      <c r="G617" s="29">
        <v>658</v>
      </c>
      <c r="H617" s="25" t="s">
        <v>1688</v>
      </c>
      <c r="I617" s="25" t="s">
        <v>407</v>
      </c>
      <c r="J617" s="26"/>
    </row>
    <row r="618" spans="3:10" s="13" customFormat="1" ht="30.95" customHeight="1">
      <c r="C618" s="22">
        <f t="shared" si="9"/>
        <v>611</v>
      </c>
      <c r="D618" s="184" t="s">
        <v>1824</v>
      </c>
      <c r="E618" s="23" t="s">
        <v>1136</v>
      </c>
      <c r="F618" s="23" t="s">
        <v>1137</v>
      </c>
      <c r="G618" s="29">
        <v>638</v>
      </c>
      <c r="H618" s="25" t="s">
        <v>1688</v>
      </c>
      <c r="I618" s="25" t="s">
        <v>407</v>
      </c>
      <c r="J618" s="26"/>
    </row>
    <row r="619" spans="3:10" s="13" customFormat="1" ht="30.95" customHeight="1">
      <c r="C619" s="22">
        <f t="shared" si="9"/>
        <v>612</v>
      </c>
      <c r="D619" s="184" t="s">
        <v>1825</v>
      </c>
      <c r="E619" s="23" t="s">
        <v>1136</v>
      </c>
      <c r="F619" s="23" t="s">
        <v>1137</v>
      </c>
      <c r="G619" s="29">
        <v>787</v>
      </c>
      <c r="H619" s="25" t="s">
        <v>1688</v>
      </c>
      <c r="I619" s="25" t="s">
        <v>407</v>
      </c>
      <c r="J619" s="26"/>
    </row>
    <row r="620" spans="3:10" s="13" customFormat="1" ht="30.95" customHeight="1">
      <c r="C620" s="22">
        <f t="shared" si="9"/>
        <v>613</v>
      </c>
      <c r="D620" s="184" t="s">
        <v>1826</v>
      </c>
      <c r="E620" s="23" t="s">
        <v>1136</v>
      </c>
      <c r="F620" s="23" t="s">
        <v>1137</v>
      </c>
      <c r="G620" s="29">
        <v>470</v>
      </c>
      <c r="H620" s="25" t="s">
        <v>1689</v>
      </c>
      <c r="I620" s="25" t="s">
        <v>407</v>
      </c>
      <c r="J620" s="26"/>
    </row>
    <row r="621" spans="3:10" s="13" customFormat="1" ht="30.95" customHeight="1">
      <c r="C621" s="22">
        <f t="shared" si="9"/>
        <v>614</v>
      </c>
      <c r="D621" s="184" t="s">
        <v>1827</v>
      </c>
      <c r="E621" s="23" t="s">
        <v>1136</v>
      </c>
      <c r="F621" s="23" t="s">
        <v>1137</v>
      </c>
      <c r="G621" s="29">
        <v>682</v>
      </c>
      <c r="H621" s="25" t="s">
        <v>1689</v>
      </c>
      <c r="I621" s="25" t="s">
        <v>407</v>
      </c>
      <c r="J621" s="26"/>
    </row>
    <row r="622" spans="3:10" s="13" customFormat="1" ht="30.95" customHeight="1">
      <c r="C622" s="22">
        <f t="shared" si="9"/>
        <v>615</v>
      </c>
      <c r="D622" s="184" t="s">
        <v>1828</v>
      </c>
      <c r="E622" s="23" t="s">
        <v>1136</v>
      </c>
      <c r="F622" s="23" t="s">
        <v>1137</v>
      </c>
      <c r="G622" s="29">
        <v>740</v>
      </c>
      <c r="H622" s="25" t="s">
        <v>1689</v>
      </c>
      <c r="I622" s="25" t="s">
        <v>407</v>
      </c>
      <c r="J622" s="26"/>
    </row>
    <row r="623" spans="3:10" s="13" customFormat="1" ht="30.95" customHeight="1">
      <c r="C623" s="22">
        <f t="shared" si="9"/>
        <v>616</v>
      </c>
      <c r="D623" s="184" t="s">
        <v>1829</v>
      </c>
      <c r="E623" s="23" t="s">
        <v>1136</v>
      </c>
      <c r="F623" s="23" t="s">
        <v>1137</v>
      </c>
      <c r="G623" s="29">
        <v>595</v>
      </c>
      <c r="H623" s="25" t="s">
        <v>1689</v>
      </c>
      <c r="I623" s="25" t="s">
        <v>407</v>
      </c>
      <c r="J623" s="26"/>
    </row>
    <row r="624" spans="3:10" s="13" customFormat="1" ht="30.95" customHeight="1">
      <c r="C624" s="22">
        <f t="shared" si="9"/>
        <v>617</v>
      </c>
      <c r="D624" s="184" t="s">
        <v>1830</v>
      </c>
      <c r="E624" s="23" t="s">
        <v>1136</v>
      </c>
      <c r="F624" s="23" t="s">
        <v>1137</v>
      </c>
      <c r="G624" s="29">
        <v>655</v>
      </c>
      <c r="H624" s="25" t="s">
        <v>1689</v>
      </c>
      <c r="I624" s="25" t="s">
        <v>407</v>
      </c>
      <c r="J624" s="26"/>
    </row>
    <row r="625" spans="3:10" s="13" customFormat="1" ht="30.95" customHeight="1">
      <c r="C625" s="22">
        <f t="shared" si="9"/>
        <v>618</v>
      </c>
      <c r="D625" s="184" t="s">
        <v>1831</v>
      </c>
      <c r="E625" s="23" t="s">
        <v>1136</v>
      </c>
      <c r="F625" s="23" t="s">
        <v>1137</v>
      </c>
      <c r="G625" s="29">
        <v>1612</v>
      </c>
      <c r="H625" s="25" t="s">
        <v>1690</v>
      </c>
      <c r="I625" s="25" t="s">
        <v>407</v>
      </c>
      <c r="J625" s="26"/>
    </row>
    <row r="626" spans="3:10" s="13" customFormat="1" ht="30.95" customHeight="1">
      <c r="C626" s="22">
        <f t="shared" si="9"/>
        <v>619</v>
      </c>
      <c r="D626" s="184" t="s">
        <v>1832</v>
      </c>
      <c r="E626" s="23" t="s">
        <v>1136</v>
      </c>
      <c r="F626" s="23" t="s">
        <v>1137</v>
      </c>
      <c r="G626" s="29">
        <v>900</v>
      </c>
      <c r="H626" s="25" t="s">
        <v>1690</v>
      </c>
      <c r="I626" s="25" t="s">
        <v>407</v>
      </c>
      <c r="J626" s="26"/>
    </row>
    <row r="627" spans="3:10" s="13" customFormat="1" ht="30.95" customHeight="1">
      <c r="C627" s="22">
        <f t="shared" si="9"/>
        <v>620</v>
      </c>
      <c r="D627" s="184" t="s">
        <v>1833</v>
      </c>
      <c r="E627" s="23" t="s">
        <v>1136</v>
      </c>
      <c r="F627" s="23" t="s">
        <v>1137</v>
      </c>
      <c r="G627" s="29">
        <v>850</v>
      </c>
      <c r="H627" s="25" t="s">
        <v>1690</v>
      </c>
      <c r="I627" s="25" t="s">
        <v>407</v>
      </c>
      <c r="J627" s="26"/>
    </row>
    <row r="628" spans="3:10" s="13" customFormat="1" ht="30.95" customHeight="1">
      <c r="C628" s="22">
        <f t="shared" si="9"/>
        <v>621</v>
      </c>
      <c r="D628" s="184" t="s">
        <v>1834</v>
      </c>
      <c r="E628" s="23" t="s">
        <v>1136</v>
      </c>
      <c r="F628" s="23" t="s">
        <v>1137</v>
      </c>
      <c r="G628" s="29">
        <v>974</v>
      </c>
      <c r="H628" s="25" t="s">
        <v>1690</v>
      </c>
      <c r="I628" s="25" t="s">
        <v>407</v>
      </c>
      <c r="J628" s="26"/>
    </row>
    <row r="629" spans="3:10" s="13" customFormat="1" ht="30.95" customHeight="1">
      <c r="C629" s="22">
        <f t="shared" si="9"/>
        <v>622</v>
      </c>
      <c r="D629" s="184" t="s">
        <v>1835</v>
      </c>
      <c r="E629" s="23" t="s">
        <v>1136</v>
      </c>
      <c r="F629" s="23" t="s">
        <v>1137</v>
      </c>
      <c r="G629" s="29">
        <v>467</v>
      </c>
      <c r="H629" s="25" t="s">
        <v>1691</v>
      </c>
      <c r="I629" s="25" t="s">
        <v>407</v>
      </c>
      <c r="J629" s="26"/>
    </row>
    <row r="630" spans="3:10" s="13" customFormat="1" ht="30.95" customHeight="1">
      <c r="C630" s="22">
        <f t="shared" si="9"/>
        <v>623</v>
      </c>
      <c r="D630" s="184" t="s">
        <v>1836</v>
      </c>
      <c r="E630" s="23" t="s">
        <v>1136</v>
      </c>
      <c r="F630" s="23" t="s">
        <v>1137</v>
      </c>
      <c r="G630" s="29">
        <v>805</v>
      </c>
      <c r="H630" s="25" t="s">
        <v>1691</v>
      </c>
      <c r="I630" s="25" t="s">
        <v>407</v>
      </c>
      <c r="J630" s="26"/>
    </row>
    <row r="631" spans="3:10" s="13" customFormat="1" ht="30.95" customHeight="1">
      <c r="C631" s="22">
        <f t="shared" si="9"/>
        <v>624</v>
      </c>
      <c r="D631" s="184" t="s">
        <v>1837</v>
      </c>
      <c r="E631" s="23" t="s">
        <v>1136</v>
      </c>
      <c r="F631" s="23" t="s">
        <v>1137</v>
      </c>
      <c r="G631" s="29">
        <v>580</v>
      </c>
      <c r="H631" s="25" t="s">
        <v>1691</v>
      </c>
      <c r="I631" s="25" t="s">
        <v>407</v>
      </c>
      <c r="J631" s="26"/>
    </row>
    <row r="632" spans="3:10" s="13" customFormat="1" ht="30.95" customHeight="1">
      <c r="C632" s="22">
        <f t="shared" si="9"/>
        <v>625</v>
      </c>
      <c r="D632" s="184" t="s">
        <v>1838</v>
      </c>
      <c r="E632" s="23" t="s">
        <v>1136</v>
      </c>
      <c r="F632" s="23" t="s">
        <v>1137</v>
      </c>
      <c r="G632" s="29">
        <v>785</v>
      </c>
      <c r="H632" s="25" t="s">
        <v>1691</v>
      </c>
      <c r="I632" s="25" t="s">
        <v>407</v>
      </c>
      <c r="J632" s="26"/>
    </row>
    <row r="633" spans="3:10" s="13" customFormat="1" ht="30.95" customHeight="1">
      <c r="C633" s="22">
        <f t="shared" si="9"/>
        <v>626</v>
      </c>
      <c r="D633" s="184" t="s">
        <v>1839</v>
      </c>
      <c r="E633" s="23" t="s">
        <v>1136</v>
      </c>
      <c r="F633" s="23" t="s">
        <v>1137</v>
      </c>
      <c r="G633" s="29">
        <v>606</v>
      </c>
      <c r="H633" s="25" t="s">
        <v>1691</v>
      </c>
      <c r="I633" s="25" t="s">
        <v>407</v>
      </c>
      <c r="J633" s="26"/>
    </row>
    <row r="634" spans="3:10" s="13" customFormat="1" ht="30.95" customHeight="1">
      <c r="C634" s="22">
        <f t="shared" si="9"/>
        <v>627</v>
      </c>
      <c r="D634" s="184" t="s">
        <v>1840</v>
      </c>
      <c r="E634" s="23" t="s">
        <v>1136</v>
      </c>
      <c r="F634" s="23" t="s">
        <v>1137</v>
      </c>
      <c r="G634" s="29">
        <v>785</v>
      </c>
      <c r="H634" s="25" t="s">
        <v>1691</v>
      </c>
      <c r="I634" s="25" t="s">
        <v>407</v>
      </c>
      <c r="J634" s="26"/>
    </row>
    <row r="635" spans="3:10" s="13" customFormat="1" ht="30.95" customHeight="1">
      <c r="C635" s="22">
        <f t="shared" si="9"/>
        <v>628</v>
      </c>
      <c r="D635" s="184" t="s">
        <v>1841</v>
      </c>
      <c r="E635" s="23" t="s">
        <v>1136</v>
      </c>
      <c r="F635" s="23" t="s">
        <v>1137</v>
      </c>
      <c r="G635" s="29">
        <v>785</v>
      </c>
      <c r="H635" s="25" t="s">
        <v>1691</v>
      </c>
      <c r="I635" s="25" t="s">
        <v>407</v>
      </c>
      <c r="J635" s="26"/>
    </row>
    <row r="636" spans="3:10" s="13" customFormat="1" ht="30.95" customHeight="1">
      <c r="C636" s="22">
        <f t="shared" si="9"/>
        <v>629</v>
      </c>
      <c r="D636" s="184" t="s">
        <v>1842</v>
      </c>
      <c r="E636" s="23" t="s">
        <v>1136</v>
      </c>
      <c r="F636" s="23" t="s">
        <v>1137</v>
      </c>
      <c r="G636" s="29">
        <v>650</v>
      </c>
      <c r="H636" s="25" t="s">
        <v>1692</v>
      </c>
      <c r="I636" s="25" t="s">
        <v>407</v>
      </c>
      <c r="J636" s="26"/>
    </row>
    <row r="637" spans="3:10" s="13" customFormat="1" ht="30.95" customHeight="1">
      <c r="C637" s="22">
        <f t="shared" si="9"/>
        <v>630</v>
      </c>
      <c r="D637" s="184" t="s">
        <v>1843</v>
      </c>
      <c r="E637" s="23" t="s">
        <v>1136</v>
      </c>
      <c r="F637" s="23" t="s">
        <v>1137</v>
      </c>
      <c r="G637" s="29">
        <v>2460</v>
      </c>
      <c r="H637" s="25" t="s">
        <v>1692</v>
      </c>
      <c r="I637" s="25" t="s">
        <v>407</v>
      </c>
      <c r="J637" s="26"/>
    </row>
    <row r="638" spans="3:10" s="13" customFormat="1" ht="30.95" customHeight="1">
      <c r="C638" s="22">
        <f t="shared" si="9"/>
        <v>631</v>
      </c>
      <c r="D638" s="184" t="s">
        <v>1844</v>
      </c>
      <c r="E638" s="23" t="s">
        <v>1136</v>
      </c>
      <c r="F638" s="23" t="s">
        <v>1137</v>
      </c>
      <c r="G638" s="29">
        <v>2780</v>
      </c>
      <c r="H638" s="25" t="s">
        <v>1692</v>
      </c>
      <c r="I638" s="25" t="s">
        <v>407</v>
      </c>
      <c r="J638" s="26"/>
    </row>
    <row r="639" spans="3:10" s="13" customFormat="1" ht="30.95" customHeight="1">
      <c r="C639" s="22">
        <f t="shared" si="9"/>
        <v>632</v>
      </c>
      <c r="D639" s="184" t="s">
        <v>1845</v>
      </c>
      <c r="E639" s="23" t="s">
        <v>1136</v>
      </c>
      <c r="F639" s="23" t="s">
        <v>1137</v>
      </c>
      <c r="G639" s="29">
        <v>1660</v>
      </c>
      <c r="H639" s="25" t="s">
        <v>1692</v>
      </c>
      <c r="I639" s="25" t="s">
        <v>407</v>
      </c>
      <c r="J639" s="26"/>
    </row>
    <row r="640" spans="3:10" s="13" customFormat="1" ht="30.95" customHeight="1">
      <c r="C640" s="22">
        <f t="shared" si="9"/>
        <v>633</v>
      </c>
      <c r="D640" s="184" t="s">
        <v>1846</v>
      </c>
      <c r="E640" s="23" t="s">
        <v>1136</v>
      </c>
      <c r="F640" s="23" t="s">
        <v>1137</v>
      </c>
      <c r="G640" s="29">
        <v>2460</v>
      </c>
      <c r="H640" s="25" t="s">
        <v>1692</v>
      </c>
      <c r="I640" s="25" t="s">
        <v>407</v>
      </c>
      <c r="J640" s="26"/>
    </row>
    <row r="641" spans="3:10" s="13" customFormat="1" ht="30.95" customHeight="1">
      <c r="C641" s="22">
        <f t="shared" si="9"/>
        <v>634</v>
      </c>
      <c r="D641" s="184" t="s">
        <v>1847</v>
      </c>
      <c r="E641" s="23" t="s">
        <v>1136</v>
      </c>
      <c r="F641" s="23" t="s">
        <v>1137</v>
      </c>
      <c r="G641" s="29">
        <v>600</v>
      </c>
      <c r="H641" s="25" t="s">
        <v>1692</v>
      </c>
      <c r="I641" s="25" t="s">
        <v>407</v>
      </c>
      <c r="J641" s="26"/>
    </row>
    <row r="642" spans="3:10" s="13" customFormat="1" ht="30.95" customHeight="1">
      <c r="C642" s="22">
        <f t="shared" si="9"/>
        <v>635</v>
      </c>
      <c r="D642" s="184" t="s">
        <v>1848</v>
      </c>
      <c r="E642" s="23" t="s">
        <v>1136</v>
      </c>
      <c r="F642" s="23" t="s">
        <v>1137</v>
      </c>
      <c r="G642" s="29">
        <v>130</v>
      </c>
      <c r="H642" s="25" t="s">
        <v>1692</v>
      </c>
      <c r="I642" s="25" t="s">
        <v>407</v>
      </c>
      <c r="J642" s="26"/>
    </row>
    <row r="643" spans="3:10" s="13" customFormat="1" ht="30.95" customHeight="1">
      <c r="C643" s="22">
        <f t="shared" si="9"/>
        <v>636</v>
      </c>
      <c r="D643" s="184" t="s">
        <v>1849</v>
      </c>
      <c r="E643" s="23" t="s">
        <v>1136</v>
      </c>
      <c r="F643" s="23" t="s">
        <v>1137</v>
      </c>
      <c r="G643" s="29">
        <v>600</v>
      </c>
      <c r="H643" s="25" t="s">
        <v>1692</v>
      </c>
      <c r="I643" s="25" t="s">
        <v>407</v>
      </c>
      <c r="J643" s="26"/>
    </row>
    <row r="644" spans="3:10" s="13" customFormat="1" ht="30.95" customHeight="1">
      <c r="C644" s="22">
        <f t="shared" si="9"/>
        <v>637</v>
      </c>
      <c r="D644" s="184" t="s">
        <v>1850</v>
      </c>
      <c r="E644" s="23" t="s">
        <v>1136</v>
      </c>
      <c r="F644" s="23" t="s">
        <v>1137</v>
      </c>
      <c r="G644" s="29">
        <v>2424</v>
      </c>
      <c r="H644" s="25" t="s">
        <v>1692</v>
      </c>
      <c r="I644" s="25" t="s">
        <v>407</v>
      </c>
      <c r="J644" s="26"/>
    </row>
    <row r="645" spans="3:10" s="13" customFormat="1" ht="30.95" customHeight="1">
      <c r="C645" s="22">
        <f t="shared" si="9"/>
        <v>638</v>
      </c>
      <c r="D645" s="184" t="s">
        <v>1851</v>
      </c>
      <c r="E645" s="23" t="s">
        <v>1136</v>
      </c>
      <c r="F645" s="23" t="s">
        <v>1137</v>
      </c>
      <c r="G645" s="29">
        <v>1932</v>
      </c>
      <c r="H645" s="25" t="s">
        <v>1692</v>
      </c>
      <c r="I645" s="25" t="s">
        <v>407</v>
      </c>
      <c r="J645" s="26"/>
    </row>
    <row r="646" spans="3:10" s="13" customFormat="1" ht="30.95" customHeight="1">
      <c r="C646" s="22">
        <f t="shared" si="9"/>
        <v>639</v>
      </c>
      <c r="D646" s="184" t="s">
        <v>1852</v>
      </c>
      <c r="E646" s="23" t="s">
        <v>1136</v>
      </c>
      <c r="F646" s="23" t="s">
        <v>1137</v>
      </c>
      <c r="G646" s="29">
        <v>700</v>
      </c>
      <c r="H646" s="25" t="s">
        <v>1692</v>
      </c>
      <c r="I646" s="25" t="s">
        <v>407</v>
      </c>
      <c r="J646" s="26"/>
    </row>
    <row r="647" spans="3:10" s="13" customFormat="1" ht="30.95" customHeight="1">
      <c r="C647" s="22">
        <f t="shared" si="9"/>
        <v>640</v>
      </c>
      <c r="D647" s="184" t="s">
        <v>1853</v>
      </c>
      <c r="E647" s="23" t="s">
        <v>1136</v>
      </c>
      <c r="F647" s="23" t="s">
        <v>1137</v>
      </c>
      <c r="G647" s="29">
        <v>900</v>
      </c>
      <c r="H647" s="25" t="s">
        <v>1692</v>
      </c>
      <c r="I647" s="25" t="s">
        <v>407</v>
      </c>
      <c r="J647" s="26"/>
    </row>
    <row r="648" spans="3:10" s="13" customFormat="1" ht="30.95" customHeight="1">
      <c r="C648" s="22">
        <f t="shared" si="9"/>
        <v>641</v>
      </c>
      <c r="D648" s="184" t="s">
        <v>1854</v>
      </c>
      <c r="E648" s="23" t="s">
        <v>1136</v>
      </c>
      <c r="F648" s="23" t="s">
        <v>1137</v>
      </c>
      <c r="G648" s="29">
        <v>250</v>
      </c>
      <c r="H648" s="25" t="s">
        <v>1692</v>
      </c>
      <c r="I648" s="25" t="s">
        <v>407</v>
      </c>
      <c r="J648" s="26"/>
    </row>
    <row r="649" spans="3:10" s="13" customFormat="1" ht="30.95" customHeight="1">
      <c r="C649" s="22">
        <f t="shared" si="9"/>
        <v>642</v>
      </c>
      <c r="D649" s="184" t="s">
        <v>1855</v>
      </c>
      <c r="E649" s="23" t="s">
        <v>1136</v>
      </c>
      <c r="F649" s="23" t="s">
        <v>1137</v>
      </c>
      <c r="G649" s="29">
        <v>180</v>
      </c>
      <c r="H649" s="25" t="s">
        <v>1692</v>
      </c>
      <c r="I649" s="25" t="s">
        <v>407</v>
      </c>
      <c r="J649" s="26"/>
    </row>
    <row r="650" spans="3:10" s="13" customFormat="1" ht="30.95" customHeight="1">
      <c r="C650" s="22">
        <f t="shared" ref="C650:C713" si="10">C649+1</f>
        <v>643</v>
      </c>
      <c r="D650" s="184" t="s">
        <v>1856</v>
      </c>
      <c r="E650" s="23" t="s">
        <v>1136</v>
      </c>
      <c r="F650" s="23" t="s">
        <v>1137</v>
      </c>
      <c r="G650" s="29">
        <v>160</v>
      </c>
      <c r="H650" s="25" t="s">
        <v>1694</v>
      </c>
      <c r="I650" s="25" t="s">
        <v>407</v>
      </c>
      <c r="J650" s="26"/>
    </row>
    <row r="651" spans="3:10" s="13" customFormat="1" ht="30.95" customHeight="1">
      <c r="C651" s="22">
        <f t="shared" si="10"/>
        <v>644</v>
      </c>
      <c r="D651" s="184" t="s">
        <v>1857</v>
      </c>
      <c r="E651" s="23" t="s">
        <v>1136</v>
      </c>
      <c r="F651" s="23" t="s">
        <v>1137</v>
      </c>
      <c r="G651" s="29">
        <v>1102</v>
      </c>
      <c r="H651" s="25" t="s">
        <v>1694</v>
      </c>
      <c r="I651" s="25" t="s">
        <v>407</v>
      </c>
      <c r="J651" s="26"/>
    </row>
    <row r="652" spans="3:10" s="13" customFormat="1" ht="30.95" customHeight="1">
      <c r="C652" s="22">
        <f t="shared" si="10"/>
        <v>645</v>
      </c>
      <c r="D652" s="184" t="s">
        <v>1858</v>
      </c>
      <c r="E652" s="23" t="s">
        <v>1136</v>
      </c>
      <c r="F652" s="23" t="s">
        <v>1137</v>
      </c>
      <c r="G652" s="29">
        <v>1295</v>
      </c>
      <c r="H652" s="25" t="s">
        <v>1702</v>
      </c>
      <c r="I652" s="25" t="s">
        <v>407</v>
      </c>
      <c r="J652" s="26"/>
    </row>
    <row r="653" spans="3:10" s="13" customFormat="1" ht="30.95" customHeight="1">
      <c r="C653" s="22">
        <f t="shared" si="10"/>
        <v>646</v>
      </c>
      <c r="D653" s="184" t="s">
        <v>1859</v>
      </c>
      <c r="E653" s="23" t="s">
        <v>1136</v>
      </c>
      <c r="F653" s="23" t="s">
        <v>1137</v>
      </c>
      <c r="G653" s="29">
        <v>1630</v>
      </c>
      <c r="H653" s="25" t="s">
        <v>1702</v>
      </c>
      <c r="I653" s="25" t="s">
        <v>407</v>
      </c>
      <c r="J653" s="26"/>
    </row>
    <row r="654" spans="3:10" s="13" customFormat="1" ht="30.95" customHeight="1">
      <c r="C654" s="22">
        <f t="shared" si="10"/>
        <v>647</v>
      </c>
      <c r="D654" s="184" t="s">
        <v>1860</v>
      </c>
      <c r="E654" s="23" t="s">
        <v>1136</v>
      </c>
      <c r="F654" s="23" t="s">
        <v>1137</v>
      </c>
      <c r="G654" s="29">
        <v>600</v>
      </c>
      <c r="H654" s="25" t="s">
        <v>1702</v>
      </c>
      <c r="I654" s="25" t="s">
        <v>407</v>
      </c>
      <c r="J654" s="26"/>
    </row>
    <row r="655" spans="3:10" s="13" customFormat="1" ht="30.95" customHeight="1">
      <c r="C655" s="22">
        <f t="shared" si="10"/>
        <v>648</v>
      </c>
      <c r="D655" s="184" t="s">
        <v>1861</v>
      </c>
      <c r="E655" s="23" t="s">
        <v>1136</v>
      </c>
      <c r="F655" s="23" t="s">
        <v>1137</v>
      </c>
      <c r="G655" s="29">
        <v>1389</v>
      </c>
      <c r="H655" s="25" t="s">
        <v>1702</v>
      </c>
      <c r="I655" s="25" t="s">
        <v>407</v>
      </c>
      <c r="J655" s="26"/>
    </row>
    <row r="656" spans="3:10" s="13" customFormat="1" ht="30.95" customHeight="1">
      <c r="C656" s="22">
        <f t="shared" si="10"/>
        <v>649</v>
      </c>
      <c r="D656" s="184" t="s">
        <v>1862</v>
      </c>
      <c r="E656" s="23" t="s">
        <v>1136</v>
      </c>
      <c r="F656" s="23" t="s">
        <v>1137</v>
      </c>
      <c r="G656" s="29">
        <v>1982</v>
      </c>
      <c r="H656" s="25" t="s">
        <v>1702</v>
      </c>
      <c r="I656" s="25" t="s">
        <v>407</v>
      </c>
      <c r="J656" s="26"/>
    </row>
    <row r="657" spans="3:10" s="13" customFormat="1" ht="30.95" customHeight="1">
      <c r="C657" s="22">
        <f t="shared" si="10"/>
        <v>650</v>
      </c>
      <c r="D657" s="184" t="s">
        <v>1863</v>
      </c>
      <c r="E657" s="23" t="s">
        <v>1136</v>
      </c>
      <c r="F657" s="23" t="s">
        <v>1137</v>
      </c>
      <c r="G657" s="29">
        <v>1966</v>
      </c>
      <c r="H657" s="25" t="s">
        <v>1702</v>
      </c>
      <c r="I657" s="25" t="s">
        <v>407</v>
      </c>
      <c r="J657" s="26"/>
    </row>
    <row r="658" spans="3:10" s="13" customFormat="1" ht="30.95" customHeight="1">
      <c r="C658" s="22">
        <f t="shared" si="10"/>
        <v>651</v>
      </c>
      <c r="D658" s="184" t="s">
        <v>1864</v>
      </c>
      <c r="E658" s="23" t="s">
        <v>1136</v>
      </c>
      <c r="F658" s="23" t="s">
        <v>1137</v>
      </c>
      <c r="G658" s="29">
        <v>1120</v>
      </c>
      <c r="H658" s="25" t="s">
        <v>1702</v>
      </c>
      <c r="I658" s="25" t="s">
        <v>407</v>
      </c>
      <c r="J658" s="26"/>
    </row>
    <row r="659" spans="3:10" s="13" customFormat="1" ht="30.95" customHeight="1">
      <c r="C659" s="22">
        <f t="shared" si="10"/>
        <v>652</v>
      </c>
      <c r="D659" s="184" t="s">
        <v>1865</v>
      </c>
      <c r="E659" s="23" t="s">
        <v>1136</v>
      </c>
      <c r="F659" s="23" t="s">
        <v>1137</v>
      </c>
      <c r="G659" s="29">
        <v>1300</v>
      </c>
      <c r="H659" s="25" t="s">
        <v>1702</v>
      </c>
      <c r="I659" s="25" t="s">
        <v>407</v>
      </c>
      <c r="J659" s="26"/>
    </row>
    <row r="660" spans="3:10" s="13" customFormat="1" ht="30.95" customHeight="1">
      <c r="C660" s="22">
        <f t="shared" si="10"/>
        <v>653</v>
      </c>
      <c r="D660" s="184" t="s">
        <v>1866</v>
      </c>
      <c r="E660" s="23" t="s">
        <v>1136</v>
      </c>
      <c r="F660" s="23" t="s">
        <v>1137</v>
      </c>
      <c r="G660" s="29">
        <v>581</v>
      </c>
      <c r="H660" s="25" t="s">
        <v>1702</v>
      </c>
      <c r="I660" s="25" t="s">
        <v>407</v>
      </c>
      <c r="J660" s="26"/>
    </row>
    <row r="661" spans="3:10" s="13" customFormat="1" ht="30.95" customHeight="1">
      <c r="C661" s="22">
        <f t="shared" si="10"/>
        <v>654</v>
      </c>
      <c r="D661" s="184" t="s">
        <v>1867</v>
      </c>
      <c r="E661" s="23" t="s">
        <v>1136</v>
      </c>
      <c r="F661" s="23" t="s">
        <v>1137</v>
      </c>
      <c r="G661" s="29">
        <v>265</v>
      </c>
      <c r="H661" s="25" t="s">
        <v>1702</v>
      </c>
      <c r="I661" s="25" t="s">
        <v>407</v>
      </c>
      <c r="J661" s="26"/>
    </row>
    <row r="662" spans="3:10" s="13" customFormat="1" ht="30.95" customHeight="1">
      <c r="C662" s="22">
        <f t="shared" si="10"/>
        <v>655</v>
      </c>
      <c r="D662" s="184" t="s">
        <v>1868</v>
      </c>
      <c r="E662" s="23" t="s">
        <v>1136</v>
      </c>
      <c r="F662" s="23" t="s">
        <v>1137</v>
      </c>
      <c r="G662" s="29">
        <v>710</v>
      </c>
      <c r="H662" s="25" t="s">
        <v>1702</v>
      </c>
      <c r="I662" s="25" t="s">
        <v>407</v>
      </c>
      <c r="J662" s="26"/>
    </row>
    <row r="663" spans="3:10" s="13" customFormat="1" ht="30.95" customHeight="1">
      <c r="C663" s="22">
        <f t="shared" si="10"/>
        <v>656</v>
      </c>
      <c r="D663" s="184" t="s">
        <v>1869</v>
      </c>
      <c r="E663" s="23" t="s">
        <v>1136</v>
      </c>
      <c r="F663" s="23" t="s">
        <v>1137</v>
      </c>
      <c r="G663" s="29">
        <v>317</v>
      </c>
      <c r="H663" s="25" t="s">
        <v>1702</v>
      </c>
      <c r="I663" s="25" t="s">
        <v>407</v>
      </c>
      <c r="J663" s="26"/>
    </row>
    <row r="664" spans="3:10" s="13" customFormat="1" ht="30.95" customHeight="1">
      <c r="C664" s="22">
        <f t="shared" si="10"/>
        <v>657</v>
      </c>
      <c r="D664" s="184" t="s">
        <v>1870</v>
      </c>
      <c r="E664" s="23" t="s">
        <v>1136</v>
      </c>
      <c r="F664" s="23" t="s">
        <v>1137</v>
      </c>
      <c r="G664" s="29">
        <v>780</v>
      </c>
      <c r="H664" s="25" t="s">
        <v>1702</v>
      </c>
      <c r="I664" s="25" t="s">
        <v>407</v>
      </c>
      <c r="J664" s="26"/>
    </row>
    <row r="665" spans="3:10" s="13" customFormat="1" ht="30.95" customHeight="1">
      <c r="C665" s="22">
        <f t="shared" si="10"/>
        <v>658</v>
      </c>
      <c r="D665" s="184" t="s">
        <v>1871</v>
      </c>
      <c r="E665" s="23" t="s">
        <v>1136</v>
      </c>
      <c r="F665" s="23" t="s">
        <v>1137</v>
      </c>
      <c r="G665" s="29">
        <v>827</v>
      </c>
      <c r="H665" s="25" t="s">
        <v>1702</v>
      </c>
      <c r="I665" s="25" t="s">
        <v>407</v>
      </c>
      <c r="J665" s="26"/>
    </row>
    <row r="666" spans="3:10" s="13" customFormat="1" ht="30.95" customHeight="1">
      <c r="C666" s="22">
        <f t="shared" si="10"/>
        <v>659</v>
      </c>
      <c r="D666" s="184" t="s">
        <v>1872</v>
      </c>
      <c r="E666" s="23" t="s">
        <v>1136</v>
      </c>
      <c r="F666" s="23" t="s">
        <v>1137</v>
      </c>
      <c r="G666" s="29">
        <v>774</v>
      </c>
      <c r="H666" s="25" t="s">
        <v>1702</v>
      </c>
      <c r="I666" s="25" t="s">
        <v>407</v>
      </c>
      <c r="J666" s="26"/>
    </row>
    <row r="667" spans="3:10" s="13" customFormat="1" ht="30.95" customHeight="1">
      <c r="C667" s="22">
        <f t="shared" si="10"/>
        <v>660</v>
      </c>
      <c r="D667" s="184" t="s">
        <v>1873</v>
      </c>
      <c r="E667" s="23" t="s">
        <v>1136</v>
      </c>
      <c r="F667" s="23" t="s">
        <v>1137</v>
      </c>
      <c r="G667" s="29">
        <v>824</v>
      </c>
      <c r="H667" s="25" t="s">
        <v>1702</v>
      </c>
      <c r="I667" s="25" t="s">
        <v>407</v>
      </c>
      <c r="J667" s="26"/>
    </row>
    <row r="668" spans="3:10" s="13" customFormat="1" ht="30.95" customHeight="1">
      <c r="C668" s="22">
        <f t="shared" si="10"/>
        <v>661</v>
      </c>
      <c r="D668" s="184" t="s">
        <v>1874</v>
      </c>
      <c r="E668" s="23" t="s">
        <v>1136</v>
      </c>
      <c r="F668" s="23" t="s">
        <v>1137</v>
      </c>
      <c r="G668" s="29">
        <v>460</v>
      </c>
      <c r="H668" s="25" t="s">
        <v>1702</v>
      </c>
      <c r="I668" s="25" t="s">
        <v>407</v>
      </c>
      <c r="J668" s="26"/>
    </row>
    <row r="669" spans="3:10" s="13" customFormat="1" ht="30.95" customHeight="1">
      <c r="C669" s="22">
        <f t="shared" si="10"/>
        <v>662</v>
      </c>
      <c r="D669" s="184" t="s">
        <v>1875</v>
      </c>
      <c r="E669" s="23" t="s">
        <v>1136</v>
      </c>
      <c r="F669" s="23" t="s">
        <v>1137</v>
      </c>
      <c r="G669" s="29">
        <v>455</v>
      </c>
      <c r="H669" s="25" t="s">
        <v>1702</v>
      </c>
      <c r="I669" s="25" t="s">
        <v>407</v>
      </c>
      <c r="J669" s="26"/>
    </row>
    <row r="670" spans="3:10" s="13" customFormat="1" ht="30.95" customHeight="1">
      <c r="C670" s="22">
        <f t="shared" si="10"/>
        <v>663</v>
      </c>
      <c r="D670" s="184" t="s">
        <v>1876</v>
      </c>
      <c r="E670" s="23" t="s">
        <v>1136</v>
      </c>
      <c r="F670" s="23" t="s">
        <v>1137</v>
      </c>
      <c r="G670" s="29">
        <v>288</v>
      </c>
      <c r="H670" s="25" t="s">
        <v>1702</v>
      </c>
      <c r="I670" s="25" t="s">
        <v>407</v>
      </c>
      <c r="J670" s="26"/>
    </row>
    <row r="671" spans="3:10" s="13" customFormat="1" ht="30.95" customHeight="1">
      <c r="C671" s="22">
        <f t="shared" si="10"/>
        <v>664</v>
      </c>
      <c r="D671" s="184" t="s">
        <v>1877</v>
      </c>
      <c r="E671" s="23" t="s">
        <v>1136</v>
      </c>
      <c r="F671" s="23" t="s">
        <v>1137</v>
      </c>
      <c r="G671" s="29">
        <v>505</v>
      </c>
      <c r="H671" s="25" t="s">
        <v>1702</v>
      </c>
      <c r="I671" s="25" t="s">
        <v>407</v>
      </c>
      <c r="J671" s="26"/>
    </row>
    <row r="672" spans="3:10" s="13" customFormat="1" ht="30.95" customHeight="1">
      <c r="C672" s="22">
        <f t="shared" si="10"/>
        <v>665</v>
      </c>
      <c r="D672" s="184" t="s">
        <v>1878</v>
      </c>
      <c r="E672" s="23" t="s">
        <v>1136</v>
      </c>
      <c r="F672" s="23" t="s">
        <v>1137</v>
      </c>
      <c r="G672" s="29">
        <v>480</v>
      </c>
      <c r="H672" s="25" t="s">
        <v>1702</v>
      </c>
      <c r="I672" s="25" t="s">
        <v>407</v>
      </c>
      <c r="J672" s="26"/>
    </row>
    <row r="673" spans="3:10" s="13" customFormat="1" ht="30.95" customHeight="1">
      <c r="C673" s="22">
        <f t="shared" si="10"/>
        <v>666</v>
      </c>
      <c r="D673" s="184" t="s">
        <v>1879</v>
      </c>
      <c r="E673" s="23" t="s">
        <v>1136</v>
      </c>
      <c r="F673" s="23" t="s">
        <v>1137</v>
      </c>
      <c r="G673" s="29">
        <v>520</v>
      </c>
      <c r="H673" s="25" t="s">
        <v>1702</v>
      </c>
      <c r="I673" s="25" t="s">
        <v>407</v>
      </c>
      <c r="J673" s="26"/>
    </row>
    <row r="674" spans="3:10" s="13" customFormat="1" ht="30.95" customHeight="1">
      <c r="C674" s="22">
        <f t="shared" si="10"/>
        <v>667</v>
      </c>
      <c r="D674" s="184" t="s">
        <v>1880</v>
      </c>
      <c r="E674" s="23" t="s">
        <v>1136</v>
      </c>
      <c r="F674" s="23" t="s">
        <v>1137</v>
      </c>
      <c r="G674" s="29">
        <v>333</v>
      </c>
      <c r="H674" s="25" t="s">
        <v>1702</v>
      </c>
      <c r="I674" s="25" t="s">
        <v>407</v>
      </c>
      <c r="J674" s="26"/>
    </row>
    <row r="675" spans="3:10" s="13" customFormat="1" ht="30.95" customHeight="1">
      <c r="C675" s="22">
        <f t="shared" si="10"/>
        <v>668</v>
      </c>
      <c r="D675" s="184" t="s">
        <v>1881</v>
      </c>
      <c r="E675" s="23" t="s">
        <v>1136</v>
      </c>
      <c r="F675" s="23" t="s">
        <v>1137</v>
      </c>
      <c r="G675" s="29">
        <v>250</v>
      </c>
      <c r="H675" s="25" t="s">
        <v>1702</v>
      </c>
      <c r="I675" s="25" t="s">
        <v>407</v>
      </c>
      <c r="J675" s="26"/>
    </row>
    <row r="676" spans="3:10" s="13" customFormat="1" ht="30.95" customHeight="1">
      <c r="C676" s="22">
        <f t="shared" si="10"/>
        <v>669</v>
      </c>
      <c r="D676" s="184" t="s">
        <v>1882</v>
      </c>
      <c r="E676" s="23" t="s">
        <v>1136</v>
      </c>
      <c r="F676" s="23" t="s">
        <v>1137</v>
      </c>
      <c r="G676" s="29">
        <v>184</v>
      </c>
      <c r="H676" s="25" t="s">
        <v>1702</v>
      </c>
      <c r="I676" s="25" t="s">
        <v>407</v>
      </c>
      <c r="J676" s="26"/>
    </row>
    <row r="677" spans="3:10" s="13" customFormat="1" ht="30.95" customHeight="1">
      <c r="C677" s="22">
        <f t="shared" si="10"/>
        <v>670</v>
      </c>
      <c r="D677" s="184" t="s">
        <v>1883</v>
      </c>
      <c r="E677" s="23" t="s">
        <v>1136</v>
      </c>
      <c r="F677" s="23" t="s">
        <v>1137</v>
      </c>
      <c r="G677" s="29">
        <v>202</v>
      </c>
      <c r="H677" s="25" t="s">
        <v>1702</v>
      </c>
      <c r="I677" s="25" t="s">
        <v>407</v>
      </c>
      <c r="J677" s="26"/>
    </row>
    <row r="678" spans="3:10" s="13" customFormat="1" ht="30.95" customHeight="1">
      <c r="C678" s="22">
        <f t="shared" si="10"/>
        <v>671</v>
      </c>
      <c r="D678" s="184" t="s">
        <v>1884</v>
      </c>
      <c r="E678" s="23" t="s">
        <v>1136</v>
      </c>
      <c r="F678" s="23" t="s">
        <v>1137</v>
      </c>
      <c r="G678" s="29">
        <v>1228</v>
      </c>
      <c r="H678" s="25" t="s">
        <v>1702</v>
      </c>
      <c r="I678" s="25" t="s">
        <v>407</v>
      </c>
      <c r="J678" s="26"/>
    </row>
    <row r="679" spans="3:10" s="13" customFormat="1" ht="30.95" customHeight="1">
      <c r="C679" s="22">
        <f t="shared" si="10"/>
        <v>672</v>
      </c>
      <c r="D679" s="184" t="s">
        <v>1885</v>
      </c>
      <c r="E679" s="23" t="s">
        <v>1136</v>
      </c>
      <c r="F679" s="23" t="s">
        <v>1137</v>
      </c>
      <c r="G679" s="29">
        <v>538</v>
      </c>
      <c r="H679" s="25" t="s">
        <v>1712</v>
      </c>
      <c r="I679" s="25" t="s">
        <v>407</v>
      </c>
      <c r="J679" s="26"/>
    </row>
    <row r="680" spans="3:10" s="13" customFormat="1" ht="30.95" customHeight="1">
      <c r="C680" s="22">
        <f t="shared" si="10"/>
        <v>673</v>
      </c>
      <c r="D680" s="184" t="s">
        <v>1886</v>
      </c>
      <c r="E680" s="23" t="s">
        <v>1136</v>
      </c>
      <c r="F680" s="23" t="s">
        <v>1137</v>
      </c>
      <c r="G680" s="29">
        <v>310</v>
      </c>
      <c r="H680" s="25" t="s">
        <v>1712</v>
      </c>
      <c r="I680" s="25" t="s">
        <v>407</v>
      </c>
      <c r="J680" s="26"/>
    </row>
    <row r="681" spans="3:10" s="13" customFormat="1" ht="30.95" customHeight="1">
      <c r="C681" s="22">
        <f t="shared" si="10"/>
        <v>674</v>
      </c>
      <c r="D681" s="184" t="s">
        <v>1887</v>
      </c>
      <c r="E681" s="23" t="s">
        <v>1136</v>
      </c>
      <c r="F681" s="23" t="s">
        <v>1137</v>
      </c>
      <c r="G681" s="29">
        <v>380</v>
      </c>
      <c r="H681" s="25" t="s">
        <v>1713</v>
      </c>
      <c r="I681" s="25" t="s">
        <v>407</v>
      </c>
      <c r="J681" s="26"/>
    </row>
    <row r="682" spans="3:10" s="13" customFormat="1" ht="30.95" customHeight="1">
      <c r="C682" s="22">
        <f t="shared" si="10"/>
        <v>675</v>
      </c>
      <c r="D682" s="184" t="s">
        <v>1888</v>
      </c>
      <c r="E682" s="23" t="s">
        <v>1136</v>
      </c>
      <c r="F682" s="23" t="s">
        <v>1137</v>
      </c>
      <c r="G682" s="29">
        <v>355</v>
      </c>
      <c r="H682" s="25" t="s">
        <v>1713</v>
      </c>
      <c r="I682" s="25" t="s">
        <v>407</v>
      </c>
      <c r="J682" s="26"/>
    </row>
    <row r="683" spans="3:10" s="13" customFormat="1" ht="30.95" customHeight="1">
      <c r="C683" s="22">
        <f t="shared" si="10"/>
        <v>676</v>
      </c>
      <c r="D683" s="184" t="s">
        <v>1889</v>
      </c>
      <c r="E683" s="23" t="s">
        <v>1136</v>
      </c>
      <c r="F683" s="23" t="s">
        <v>1137</v>
      </c>
      <c r="G683" s="29">
        <v>371</v>
      </c>
      <c r="H683" s="25" t="s">
        <v>1713</v>
      </c>
      <c r="I683" s="25" t="s">
        <v>407</v>
      </c>
      <c r="J683" s="26"/>
    </row>
    <row r="684" spans="3:10" s="13" customFormat="1" ht="30.95" customHeight="1">
      <c r="C684" s="22">
        <f t="shared" si="10"/>
        <v>677</v>
      </c>
      <c r="D684" s="184" t="s">
        <v>1890</v>
      </c>
      <c r="E684" s="23" t="s">
        <v>1136</v>
      </c>
      <c r="F684" s="23" t="s">
        <v>1137</v>
      </c>
      <c r="G684" s="29">
        <v>560</v>
      </c>
      <c r="H684" s="25" t="s">
        <v>1713</v>
      </c>
      <c r="I684" s="25" t="s">
        <v>407</v>
      </c>
      <c r="J684" s="26"/>
    </row>
    <row r="685" spans="3:10" s="13" customFormat="1" ht="30.95" customHeight="1">
      <c r="C685" s="22">
        <f t="shared" si="10"/>
        <v>678</v>
      </c>
      <c r="D685" s="184" t="s">
        <v>1891</v>
      </c>
      <c r="E685" s="23" t="s">
        <v>1136</v>
      </c>
      <c r="F685" s="23" t="s">
        <v>1137</v>
      </c>
      <c r="G685" s="29">
        <v>350</v>
      </c>
      <c r="H685" s="25" t="s">
        <v>1713</v>
      </c>
      <c r="I685" s="25" t="s">
        <v>407</v>
      </c>
      <c r="J685" s="26"/>
    </row>
    <row r="686" spans="3:10" s="13" customFormat="1" ht="30.95" customHeight="1">
      <c r="C686" s="22">
        <f t="shared" si="10"/>
        <v>679</v>
      </c>
      <c r="D686" s="184" t="s">
        <v>1892</v>
      </c>
      <c r="E686" s="23" t="s">
        <v>1136</v>
      </c>
      <c r="F686" s="23" t="s">
        <v>1137</v>
      </c>
      <c r="G686" s="29">
        <v>210</v>
      </c>
      <c r="H686" s="25" t="s">
        <v>1715</v>
      </c>
      <c r="I686" s="25" t="s">
        <v>407</v>
      </c>
      <c r="J686" s="26"/>
    </row>
    <row r="687" spans="3:10" s="13" customFormat="1" ht="30.95" customHeight="1">
      <c r="C687" s="22">
        <f t="shared" si="10"/>
        <v>680</v>
      </c>
      <c r="D687" s="184" t="s">
        <v>1893</v>
      </c>
      <c r="E687" s="23" t="s">
        <v>1136</v>
      </c>
      <c r="F687" s="23" t="s">
        <v>1137</v>
      </c>
      <c r="G687" s="29">
        <v>335</v>
      </c>
      <c r="H687" s="25" t="s">
        <v>1715</v>
      </c>
      <c r="I687" s="25" t="s">
        <v>407</v>
      </c>
      <c r="J687" s="26"/>
    </row>
    <row r="688" spans="3:10" s="13" customFormat="1" ht="30.95" customHeight="1">
      <c r="C688" s="22">
        <f t="shared" si="10"/>
        <v>681</v>
      </c>
      <c r="D688" s="184" t="s">
        <v>1894</v>
      </c>
      <c r="E688" s="23" t="s">
        <v>1136</v>
      </c>
      <c r="F688" s="23" t="s">
        <v>1137</v>
      </c>
      <c r="G688" s="29">
        <v>885</v>
      </c>
      <c r="H688" s="25" t="s">
        <v>1715</v>
      </c>
      <c r="I688" s="25" t="s">
        <v>407</v>
      </c>
      <c r="J688" s="26"/>
    </row>
    <row r="689" spans="3:10" s="13" customFormat="1" ht="30.95" customHeight="1">
      <c r="C689" s="22">
        <f t="shared" si="10"/>
        <v>682</v>
      </c>
      <c r="D689" s="184" t="s">
        <v>1895</v>
      </c>
      <c r="E689" s="23" t="s">
        <v>1136</v>
      </c>
      <c r="F689" s="23" t="s">
        <v>1137</v>
      </c>
      <c r="G689" s="29">
        <v>515</v>
      </c>
      <c r="H689" s="25" t="s">
        <v>1715</v>
      </c>
      <c r="I689" s="25" t="s">
        <v>407</v>
      </c>
      <c r="J689" s="26"/>
    </row>
    <row r="690" spans="3:10" s="13" customFormat="1" ht="30.95" customHeight="1">
      <c r="C690" s="22">
        <f t="shared" si="10"/>
        <v>683</v>
      </c>
      <c r="D690" s="184" t="s">
        <v>1896</v>
      </c>
      <c r="E690" s="23" t="s">
        <v>1136</v>
      </c>
      <c r="F690" s="23" t="s">
        <v>1137</v>
      </c>
      <c r="G690" s="29">
        <v>482</v>
      </c>
      <c r="H690" s="25" t="s">
        <v>1715</v>
      </c>
      <c r="I690" s="25" t="s">
        <v>407</v>
      </c>
      <c r="J690" s="26"/>
    </row>
    <row r="691" spans="3:10" s="13" customFormat="1" ht="30.95" customHeight="1">
      <c r="C691" s="22">
        <f t="shared" si="10"/>
        <v>684</v>
      </c>
      <c r="D691" s="184" t="s">
        <v>1897</v>
      </c>
      <c r="E691" s="23" t="s">
        <v>1136</v>
      </c>
      <c r="F691" s="23" t="s">
        <v>1137</v>
      </c>
      <c r="G691" s="29">
        <v>930</v>
      </c>
      <c r="H691" s="25" t="s">
        <v>1716</v>
      </c>
      <c r="I691" s="25" t="s">
        <v>407</v>
      </c>
      <c r="J691" s="26"/>
    </row>
    <row r="692" spans="3:10" s="13" customFormat="1" ht="30.95" customHeight="1">
      <c r="C692" s="22">
        <f t="shared" si="10"/>
        <v>685</v>
      </c>
      <c r="D692" s="184" t="s">
        <v>1898</v>
      </c>
      <c r="E692" s="23" t="s">
        <v>1136</v>
      </c>
      <c r="F692" s="23" t="s">
        <v>1137</v>
      </c>
      <c r="G692" s="29">
        <v>205</v>
      </c>
      <c r="H692" s="25" t="s">
        <v>1716</v>
      </c>
      <c r="I692" s="25" t="s">
        <v>407</v>
      </c>
      <c r="J692" s="26"/>
    </row>
    <row r="693" spans="3:10" s="13" customFormat="1" ht="30.95" customHeight="1">
      <c r="C693" s="22">
        <f t="shared" si="10"/>
        <v>686</v>
      </c>
      <c r="D693" s="184" t="s">
        <v>1899</v>
      </c>
      <c r="E693" s="23" t="s">
        <v>1136</v>
      </c>
      <c r="F693" s="23" t="s">
        <v>1137</v>
      </c>
      <c r="G693" s="29">
        <v>200</v>
      </c>
      <c r="H693" s="25" t="s">
        <v>1716</v>
      </c>
      <c r="I693" s="25" t="s">
        <v>407</v>
      </c>
      <c r="J693" s="26"/>
    </row>
    <row r="694" spans="3:10" s="13" customFormat="1" ht="30.95" customHeight="1">
      <c r="C694" s="22">
        <f t="shared" si="10"/>
        <v>687</v>
      </c>
      <c r="D694" s="184" t="s">
        <v>1900</v>
      </c>
      <c r="E694" s="23" t="s">
        <v>1136</v>
      </c>
      <c r="F694" s="23" t="s">
        <v>1137</v>
      </c>
      <c r="G694" s="29">
        <v>300</v>
      </c>
      <c r="H694" s="25" t="s">
        <v>1716</v>
      </c>
      <c r="I694" s="25" t="s">
        <v>407</v>
      </c>
      <c r="J694" s="26"/>
    </row>
    <row r="695" spans="3:10" s="13" customFormat="1" ht="30.95" customHeight="1">
      <c r="C695" s="22">
        <f t="shared" si="10"/>
        <v>688</v>
      </c>
      <c r="D695" s="184" t="s">
        <v>1901</v>
      </c>
      <c r="E695" s="23" t="s">
        <v>1136</v>
      </c>
      <c r="F695" s="23" t="s">
        <v>1137</v>
      </c>
      <c r="G695" s="29">
        <v>748</v>
      </c>
      <c r="H695" s="25" t="s">
        <v>1716</v>
      </c>
      <c r="I695" s="25" t="s">
        <v>407</v>
      </c>
      <c r="J695" s="26"/>
    </row>
    <row r="696" spans="3:10" s="13" customFormat="1" ht="30.95" customHeight="1">
      <c r="C696" s="22">
        <f t="shared" si="10"/>
        <v>689</v>
      </c>
      <c r="D696" s="184" t="s">
        <v>1902</v>
      </c>
      <c r="E696" s="23" t="s">
        <v>1136</v>
      </c>
      <c r="F696" s="23" t="s">
        <v>1137</v>
      </c>
      <c r="G696" s="29">
        <v>560</v>
      </c>
      <c r="H696" s="25" t="s">
        <v>1716</v>
      </c>
      <c r="I696" s="25" t="s">
        <v>407</v>
      </c>
      <c r="J696" s="26"/>
    </row>
    <row r="697" spans="3:10" s="13" customFormat="1" ht="30.95" customHeight="1">
      <c r="C697" s="22">
        <f t="shared" si="10"/>
        <v>690</v>
      </c>
      <c r="D697" s="184" t="s">
        <v>1903</v>
      </c>
      <c r="E697" s="23" t="s">
        <v>1136</v>
      </c>
      <c r="F697" s="23" t="s">
        <v>1137</v>
      </c>
      <c r="G697" s="29">
        <v>439</v>
      </c>
      <c r="H697" s="25" t="s">
        <v>1716</v>
      </c>
      <c r="I697" s="25" t="s">
        <v>407</v>
      </c>
      <c r="J697" s="26"/>
    </row>
    <row r="698" spans="3:10" s="13" customFormat="1" ht="30.95" customHeight="1">
      <c r="C698" s="22">
        <f t="shared" si="10"/>
        <v>691</v>
      </c>
      <c r="D698" s="184" t="s">
        <v>1904</v>
      </c>
      <c r="E698" s="23" t="s">
        <v>1136</v>
      </c>
      <c r="F698" s="23" t="s">
        <v>1137</v>
      </c>
      <c r="G698" s="29">
        <v>437</v>
      </c>
      <c r="H698" s="25" t="s">
        <v>1716</v>
      </c>
      <c r="I698" s="25" t="s">
        <v>407</v>
      </c>
      <c r="J698" s="26"/>
    </row>
    <row r="699" spans="3:10" s="13" customFormat="1" ht="30.95" customHeight="1">
      <c r="C699" s="22">
        <f t="shared" si="10"/>
        <v>692</v>
      </c>
      <c r="D699" s="184" t="s">
        <v>1905</v>
      </c>
      <c r="E699" s="23" t="s">
        <v>1136</v>
      </c>
      <c r="F699" s="23" t="s">
        <v>1137</v>
      </c>
      <c r="G699" s="29">
        <v>444</v>
      </c>
      <c r="H699" s="25" t="s">
        <v>1716</v>
      </c>
      <c r="I699" s="25" t="s">
        <v>407</v>
      </c>
      <c r="J699" s="26"/>
    </row>
    <row r="700" spans="3:10" s="13" customFormat="1" ht="30.95" customHeight="1">
      <c r="C700" s="22">
        <f t="shared" si="10"/>
        <v>693</v>
      </c>
      <c r="D700" s="184" t="s">
        <v>1906</v>
      </c>
      <c r="E700" s="23" t="s">
        <v>1136</v>
      </c>
      <c r="F700" s="23" t="s">
        <v>1137</v>
      </c>
      <c r="G700" s="29">
        <v>453</v>
      </c>
      <c r="H700" s="25" t="s">
        <v>1716</v>
      </c>
      <c r="I700" s="25" t="s">
        <v>407</v>
      </c>
      <c r="J700" s="26"/>
    </row>
    <row r="701" spans="3:10" s="13" customFormat="1" ht="30.95" customHeight="1">
      <c r="C701" s="22">
        <f t="shared" si="10"/>
        <v>694</v>
      </c>
      <c r="D701" s="184" t="s">
        <v>1907</v>
      </c>
      <c r="E701" s="23" t="s">
        <v>1136</v>
      </c>
      <c r="F701" s="23" t="s">
        <v>1137</v>
      </c>
      <c r="G701" s="29">
        <v>445</v>
      </c>
      <c r="H701" s="25" t="s">
        <v>1716</v>
      </c>
      <c r="I701" s="25" t="s">
        <v>407</v>
      </c>
      <c r="J701" s="26"/>
    </row>
    <row r="702" spans="3:10" s="13" customFormat="1" ht="30.95" customHeight="1">
      <c r="C702" s="22">
        <f t="shared" si="10"/>
        <v>695</v>
      </c>
      <c r="D702" s="184" t="s">
        <v>1908</v>
      </c>
      <c r="E702" s="23" t="s">
        <v>1136</v>
      </c>
      <c r="F702" s="23" t="s">
        <v>1137</v>
      </c>
      <c r="G702" s="29">
        <v>1338</v>
      </c>
      <c r="H702" s="25" t="s">
        <v>1717</v>
      </c>
      <c r="I702" s="25" t="s">
        <v>407</v>
      </c>
      <c r="J702" s="26"/>
    </row>
    <row r="703" spans="3:10" s="13" customFormat="1" ht="30.95" customHeight="1">
      <c r="C703" s="22">
        <f t="shared" si="10"/>
        <v>696</v>
      </c>
      <c r="D703" s="184" t="s">
        <v>1909</v>
      </c>
      <c r="E703" s="23" t="s">
        <v>1136</v>
      </c>
      <c r="F703" s="23" t="s">
        <v>1137</v>
      </c>
      <c r="G703" s="29">
        <v>285</v>
      </c>
      <c r="H703" s="25" t="s">
        <v>1717</v>
      </c>
      <c r="I703" s="25" t="s">
        <v>407</v>
      </c>
      <c r="J703" s="26"/>
    </row>
    <row r="704" spans="3:10" s="13" customFormat="1" ht="30.95" customHeight="1">
      <c r="C704" s="22">
        <f t="shared" si="10"/>
        <v>697</v>
      </c>
      <c r="D704" s="184" t="s">
        <v>1910</v>
      </c>
      <c r="E704" s="23" t="s">
        <v>1136</v>
      </c>
      <c r="F704" s="23" t="s">
        <v>1137</v>
      </c>
      <c r="G704" s="29">
        <v>271</v>
      </c>
      <c r="H704" s="25" t="s">
        <v>1717</v>
      </c>
      <c r="I704" s="25" t="s">
        <v>407</v>
      </c>
      <c r="J704" s="26"/>
    </row>
    <row r="705" spans="3:10" s="13" customFormat="1" ht="30.95" customHeight="1">
      <c r="C705" s="22">
        <f t="shared" si="10"/>
        <v>698</v>
      </c>
      <c r="D705" s="184" t="s">
        <v>1911</v>
      </c>
      <c r="E705" s="23" t="s">
        <v>1136</v>
      </c>
      <c r="F705" s="23" t="s">
        <v>1137</v>
      </c>
      <c r="G705" s="29">
        <v>300</v>
      </c>
      <c r="H705" s="25" t="s">
        <v>1717</v>
      </c>
      <c r="I705" s="25" t="s">
        <v>407</v>
      </c>
      <c r="J705" s="26"/>
    </row>
    <row r="706" spans="3:10" s="13" customFormat="1" ht="30.95" customHeight="1">
      <c r="C706" s="22">
        <f t="shared" si="10"/>
        <v>699</v>
      </c>
      <c r="D706" s="184" t="s">
        <v>1912</v>
      </c>
      <c r="E706" s="23" t="s">
        <v>1136</v>
      </c>
      <c r="F706" s="23" t="s">
        <v>1137</v>
      </c>
      <c r="G706" s="29">
        <v>343</v>
      </c>
      <c r="H706" s="25" t="s">
        <v>1717</v>
      </c>
      <c r="I706" s="25" t="s">
        <v>407</v>
      </c>
      <c r="J706" s="26"/>
    </row>
    <row r="707" spans="3:10" s="13" customFormat="1" ht="30.95" customHeight="1">
      <c r="C707" s="22">
        <f t="shared" si="10"/>
        <v>700</v>
      </c>
      <c r="D707" s="184" t="s">
        <v>1913</v>
      </c>
      <c r="E707" s="23" t="s">
        <v>1136</v>
      </c>
      <c r="F707" s="23" t="s">
        <v>1137</v>
      </c>
      <c r="G707" s="29">
        <v>310</v>
      </c>
      <c r="H707" s="25" t="s">
        <v>1717</v>
      </c>
      <c r="I707" s="25" t="s">
        <v>407</v>
      </c>
      <c r="J707" s="26"/>
    </row>
    <row r="708" spans="3:10" s="13" customFormat="1" ht="30.95" customHeight="1">
      <c r="C708" s="22">
        <f t="shared" si="10"/>
        <v>701</v>
      </c>
      <c r="D708" s="184" t="s">
        <v>1914</v>
      </c>
      <c r="E708" s="23" t="s">
        <v>1136</v>
      </c>
      <c r="F708" s="23" t="s">
        <v>1137</v>
      </c>
      <c r="G708" s="29">
        <v>335</v>
      </c>
      <c r="H708" s="25" t="s">
        <v>1707</v>
      </c>
      <c r="I708" s="25" t="s">
        <v>407</v>
      </c>
      <c r="J708" s="26"/>
    </row>
    <row r="709" spans="3:10" s="13" customFormat="1" ht="30.95" customHeight="1">
      <c r="C709" s="22">
        <f t="shared" si="10"/>
        <v>702</v>
      </c>
      <c r="D709" s="184" t="s">
        <v>1915</v>
      </c>
      <c r="E709" s="23" t="s">
        <v>1136</v>
      </c>
      <c r="F709" s="23" t="s">
        <v>1137</v>
      </c>
      <c r="G709" s="29">
        <v>310</v>
      </c>
      <c r="H709" s="25" t="s">
        <v>1707</v>
      </c>
      <c r="I709" s="25" t="s">
        <v>407</v>
      </c>
      <c r="J709" s="26"/>
    </row>
    <row r="710" spans="3:10" s="13" customFormat="1" ht="30.95" customHeight="1">
      <c r="C710" s="22">
        <f t="shared" si="10"/>
        <v>703</v>
      </c>
      <c r="D710" s="184" t="s">
        <v>1916</v>
      </c>
      <c r="E710" s="23" t="s">
        <v>1136</v>
      </c>
      <c r="F710" s="23" t="s">
        <v>1137</v>
      </c>
      <c r="G710" s="29">
        <v>580</v>
      </c>
      <c r="H710" s="25" t="s">
        <v>1707</v>
      </c>
      <c r="I710" s="25" t="s">
        <v>407</v>
      </c>
      <c r="J710" s="26"/>
    </row>
    <row r="711" spans="3:10" s="13" customFormat="1" ht="30.95" customHeight="1">
      <c r="C711" s="22">
        <f t="shared" si="10"/>
        <v>704</v>
      </c>
      <c r="D711" s="184" t="s">
        <v>1917</v>
      </c>
      <c r="E711" s="23" t="s">
        <v>1136</v>
      </c>
      <c r="F711" s="23" t="s">
        <v>1137</v>
      </c>
      <c r="G711" s="29">
        <v>214</v>
      </c>
      <c r="H711" s="25" t="s">
        <v>1707</v>
      </c>
      <c r="I711" s="25" t="s">
        <v>407</v>
      </c>
      <c r="J711" s="26"/>
    </row>
    <row r="712" spans="3:10" s="13" customFormat="1" ht="30.95" customHeight="1">
      <c r="C712" s="22">
        <f t="shared" si="10"/>
        <v>705</v>
      </c>
      <c r="D712" s="184" t="s">
        <v>1918</v>
      </c>
      <c r="E712" s="23" t="s">
        <v>1136</v>
      </c>
      <c r="F712" s="23" t="s">
        <v>1137</v>
      </c>
      <c r="G712" s="29">
        <v>205</v>
      </c>
      <c r="H712" s="25" t="s">
        <v>1708</v>
      </c>
      <c r="I712" s="25" t="s">
        <v>407</v>
      </c>
      <c r="J712" s="26"/>
    </row>
    <row r="713" spans="3:10" s="13" customFormat="1" ht="30.95" customHeight="1">
      <c r="C713" s="22">
        <f t="shared" si="10"/>
        <v>706</v>
      </c>
      <c r="D713" s="184" t="s">
        <v>1919</v>
      </c>
      <c r="E713" s="23" t="s">
        <v>1136</v>
      </c>
      <c r="F713" s="23" t="s">
        <v>1137</v>
      </c>
      <c r="G713" s="29">
        <v>490</v>
      </c>
      <c r="H713" s="25" t="s">
        <v>1709</v>
      </c>
      <c r="I713" s="25" t="s">
        <v>407</v>
      </c>
      <c r="J713" s="26"/>
    </row>
    <row r="714" spans="3:10" s="13" customFormat="1" ht="30.95" customHeight="1">
      <c r="C714" s="22">
        <f t="shared" ref="C714:C777" si="11">C713+1</f>
        <v>707</v>
      </c>
      <c r="D714" s="184" t="s">
        <v>1920</v>
      </c>
      <c r="E714" s="23" t="s">
        <v>1136</v>
      </c>
      <c r="F714" s="23" t="s">
        <v>1137</v>
      </c>
      <c r="G714" s="29">
        <v>260</v>
      </c>
      <c r="H714" s="25" t="s">
        <v>1709</v>
      </c>
      <c r="I714" s="25" t="s">
        <v>407</v>
      </c>
      <c r="J714" s="26"/>
    </row>
    <row r="715" spans="3:10" s="13" customFormat="1" ht="30.95" customHeight="1">
      <c r="C715" s="22">
        <f t="shared" si="11"/>
        <v>708</v>
      </c>
      <c r="D715" s="184" t="s">
        <v>1921</v>
      </c>
      <c r="E715" s="23" t="s">
        <v>1136</v>
      </c>
      <c r="F715" s="23" t="s">
        <v>1137</v>
      </c>
      <c r="G715" s="29">
        <v>725</v>
      </c>
      <c r="H715" s="25" t="s">
        <v>1709</v>
      </c>
      <c r="I715" s="25" t="s">
        <v>407</v>
      </c>
      <c r="J715" s="26"/>
    </row>
    <row r="716" spans="3:10" s="13" customFormat="1" ht="30.95" customHeight="1">
      <c r="C716" s="22">
        <f t="shared" si="11"/>
        <v>709</v>
      </c>
      <c r="D716" s="184" t="s">
        <v>1922</v>
      </c>
      <c r="E716" s="23" t="s">
        <v>1136</v>
      </c>
      <c r="F716" s="23" t="s">
        <v>1137</v>
      </c>
      <c r="G716" s="29">
        <v>512</v>
      </c>
      <c r="H716" s="25" t="s">
        <v>1709</v>
      </c>
      <c r="I716" s="25" t="s">
        <v>407</v>
      </c>
      <c r="J716" s="26"/>
    </row>
    <row r="717" spans="3:10" s="13" customFormat="1" ht="30.95" customHeight="1">
      <c r="C717" s="22">
        <f t="shared" si="11"/>
        <v>710</v>
      </c>
      <c r="D717" s="184" t="s">
        <v>1923</v>
      </c>
      <c r="E717" s="23" t="s">
        <v>1136</v>
      </c>
      <c r="F717" s="23" t="s">
        <v>1137</v>
      </c>
      <c r="G717" s="29">
        <v>675</v>
      </c>
      <c r="H717" s="25" t="s">
        <v>1709</v>
      </c>
      <c r="I717" s="25" t="s">
        <v>407</v>
      </c>
      <c r="J717" s="26"/>
    </row>
    <row r="718" spans="3:10" s="13" customFormat="1" ht="30.95" customHeight="1">
      <c r="C718" s="22">
        <f t="shared" si="11"/>
        <v>711</v>
      </c>
      <c r="D718" s="184" t="s">
        <v>1924</v>
      </c>
      <c r="E718" s="23" t="s">
        <v>1136</v>
      </c>
      <c r="F718" s="23" t="s">
        <v>1137</v>
      </c>
      <c r="G718" s="29">
        <v>860</v>
      </c>
      <c r="H718" s="25" t="s">
        <v>1709</v>
      </c>
      <c r="I718" s="25" t="s">
        <v>407</v>
      </c>
      <c r="J718" s="26"/>
    </row>
    <row r="719" spans="3:10" s="13" customFormat="1" ht="30.95" customHeight="1">
      <c r="C719" s="22">
        <f t="shared" si="11"/>
        <v>712</v>
      </c>
      <c r="D719" s="184" t="s">
        <v>1925</v>
      </c>
      <c r="E719" s="23" t="s">
        <v>1136</v>
      </c>
      <c r="F719" s="23" t="s">
        <v>1137</v>
      </c>
      <c r="G719" s="29">
        <v>388</v>
      </c>
      <c r="H719" s="25" t="s">
        <v>1724</v>
      </c>
      <c r="I719" s="25" t="s">
        <v>407</v>
      </c>
      <c r="J719" s="26"/>
    </row>
    <row r="720" spans="3:10" s="13" customFormat="1" ht="30.95" customHeight="1">
      <c r="C720" s="22">
        <f t="shared" si="11"/>
        <v>713</v>
      </c>
      <c r="D720" s="184" t="s">
        <v>1926</v>
      </c>
      <c r="E720" s="23" t="s">
        <v>1136</v>
      </c>
      <c r="F720" s="23" t="s">
        <v>1137</v>
      </c>
      <c r="G720" s="29">
        <v>60</v>
      </c>
      <c r="H720" s="25" t="s">
        <v>1671</v>
      </c>
      <c r="I720" s="25" t="s">
        <v>407</v>
      </c>
      <c r="J720" s="26"/>
    </row>
    <row r="721" spans="3:10" s="13" customFormat="1" ht="30.95" customHeight="1">
      <c r="C721" s="22">
        <f t="shared" si="11"/>
        <v>714</v>
      </c>
      <c r="D721" s="184" t="s">
        <v>1927</v>
      </c>
      <c r="E721" s="23" t="s">
        <v>1136</v>
      </c>
      <c r="F721" s="23" t="s">
        <v>1137</v>
      </c>
      <c r="G721" s="29">
        <v>222</v>
      </c>
      <c r="H721" s="25" t="s">
        <v>1672</v>
      </c>
      <c r="I721" s="25" t="s">
        <v>407</v>
      </c>
      <c r="J721" s="26"/>
    </row>
    <row r="722" spans="3:10" s="13" customFormat="1" ht="30.95" customHeight="1">
      <c r="C722" s="22">
        <f t="shared" si="11"/>
        <v>715</v>
      </c>
      <c r="D722" s="184" t="s">
        <v>1928</v>
      </c>
      <c r="E722" s="23" t="s">
        <v>1136</v>
      </c>
      <c r="F722" s="23" t="s">
        <v>1137</v>
      </c>
      <c r="G722" s="29">
        <v>50</v>
      </c>
      <c r="H722" s="25" t="s">
        <v>1729</v>
      </c>
      <c r="I722" s="25" t="s">
        <v>407</v>
      </c>
      <c r="J722" s="26"/>
    </row>
    <row r="723" spans="3:10" s="13" customFormat="1" ht="30.95" customHeight="1">
      <c r="C723" s="22">
        <f t="shared" si="11"/>
        <v>716</v>
      </c>
      <c r="D723" s="184" t="s">
        <v>1929</v>
      </c>
      <c r="E723" s="23" t="s">
        <v>1136</v>
      </c>
      <c r="F723" s="23" t="s">
        <v>1137</v>
      </c>
      <c r="G723" s="29">
        <v>266</v>
      </c>
      <c r="H723" s="25" t="s">
        <v>1729</v>
      </c>
      <c r="I723" s="25" t="s">
        <v>407</v>
      </c>
      <c r="J723" s="26"/>
    </row>
    <row r="724" spans="3:10" s="13" customFormat="1" ht="30.95" customHeight="1">
      <c r="C724" s="22">
        <f t="shared" si="11"/>
        <v>717</v>
      </c>
      <c r="D724" s="184" t="s">
        <v>1930</v>
      </c>
      <c r="E724" s="23" t="s">
        <v>1136</v>
      </c>
      <c r="F724" s="23" t="s">
        <v>1137</v>
      </c>
      <c r="G724" s="29">
        <v>50</v>
      </c>
      <c r="H724" s="25" t="s">
        <v>1729</v>
      </c>
      <c r="I724" s="25" t="s">
        <v>407</v>
      </c>
      <c r="J724" s="26"/>
    </row>
    <row r="725" spans="3:10" s="13" customFormat="1" ht="30.95" customHeight="1">
      <c r="C725" s="22">
        <f t="shared" si="11"/>
        <v>718</v>
      </c>
      <c r="D725" s="184" t="s">
        <v>1931</v>
      </c>
      <c r="E725" s="23" t="s">
        <v>1136</v>
      </c>
      <c r="F725" s="23" t="s">
        <v>1137</v>
      </c>
      <c r="G725" s="29">
        <v>124</v>
      </c>
      <c r="H725" s="25" t="s">
        <v>1729</v>
      </c>
      <c r="I725" s="25" t="s">
        <v>407</v>
      </c>
      <c r="J725" s="26"/>
    </row>
    <row r="726" spans="3:10" s="13" customFormat="1" ht="30.95" customHeight="1">
      <c r="C726" s="22">
        <f t="shared" si="11"/>
        <v>719</v>
      </c>
      <c r="D726" s="184" t="s">
        <v>1932</v>
      </c>
      <c r="E726" s="23" t="s">
        <v>1136</v>
      </c>
      <c r="F726" s="23" t="s">
        <v>1137</v>
      </c>
      <c r="G726" s="29">
        <v>100</v>
      </c>
      <c r="H726" s="25" t="s">
        <v>1729</v>
      </c>
      <c r="I726" s="25" t="s">
        <v>407</v>
      </c>
      <c r="J726" s="26"/>
    </row>
    <row r="727" spans="3:10" s="13" customFormat="1" ht="30.95" customHeight="1">
      <c r="C727" s="22">
        <f t="shared" si="11"/>
        <v>720</v>
      </c>
      <c r="D727" s="184" t="s">
        <v>1933</v>
      </c>
      <c r="E727" s="23" t="s">
        <v>1136</v>
      </c>
      <c r="F727" s="23" t="s">
        <v>1137</v>
      </c>
      <c r="G727" s="29">
        <v>346</v>
      </c>
      <c r="H727" s="25" t="s">
        <v>1729</v>
      </c>
      <c r="I727" s="25" t="s">
        <v>407</v>
      </c>
      <c r="J727" s="26"/>
    </row>
    <row r="728" spans="3:10" s="13" customFormat="1" ht="30.95" customHeight="1">
      <c r="C728" s="22">
        <f t="shared" si="11"/>
        <v>721</v>
      </c>
      <c r="D728" s="184" t="s">
        <v>1934</v>
      </c>
      <c r="E728" s="23" t="s">
        <v>1136</v>
      </c>
      <c r="F728" s="23" t="s">
        <v>1137</v>
      </c>
      <c r="G728" s="29">
        <v>340</v>
      </c>
      <c r="H728" s="25" t="s">
        <v>1729</v>
      </c>
      <c r="I728" s="25" t="s">
        <v>407</v>
      </c>
      <c r="J728" s="26"/>
    </row>
    <row r="729" spans="3:10" s="13" customFormat="1" ht="30.95" customHeight="1">
      <c r="C729" s="22">
        <f t="shared" si="11"/>
        <v>722</v>
      </c>
      <c r="D729" s="184" t="s">
        <v>1935</v>
      </c>
      <c r="E729" s="23" t="s">
        <v>1136</v>
      </c>
      <c r="F729" s="23" t="s">
        <v>1137</v>
      </c>
      <c r="G729" s="29">
        <v>380</v>
      </c>
      <c r="H729" s="25" t="s">
        <v>1729</v>
      </c>
      <c r="I729" s="25" t="s">
        <v>407</v>
      </c>
      <c r="J729" s="26"/>
    </row>
    <row r="730" spans="3:10" s="13" customFormat="1" ht="30.95" customHeight="1">
      <c r="C730" s="22">
        <f t="shared" si="11"/>
        <v>723</v>
      </c>
      <c r="D730" s="184" t="s">
        <v>1936</v>
      </c>
      <c r="E730" s="23" t="s">
        <v>1136</v>
      </c>
      <c r="F730" s="23" t="s">
        <v>1137</v>
      </c>
      <c r="G730" s="29">
        <v>460</v>
      </c>
      <c r="H730" s="25" t="s">
        <v>1742</v>
      </c>
      <c r="I730" s="25" t="s">
        <v>407</v>
      </c>
      <c r="J730" s="26"/>
    </row>
    <row r="731" spans="3:10" s="13" customFormat="1" ht="30.95" customHeight="1">
      <c r="C731" s="22">
        <f t="shared" si="11"/>
        <v>724</v>
      </c>
      <c r="D731" s="184" t="s">
        <v>1937</v>
      </c>
      <c r="E731" s="23" t="s">
        <v>1136</v>
      </c>
      <c r="F731" s="23" t="s">
        <v>1137</v>
      </c>
      <c r="G731" s="29">
        <v>893</v>
      </c>
      <c r="H731" s="25" t="s">
        <v>1743</v>
      </c>
      <c r="I731" s="25" t="s">
        <v>407</v>
      </c>
      <c r="J731" s="26"/>
    </row>
    <row r="732" spans="3:10" s="13" customFormat="1" ht="30.95" customHeight="1">
      <c r="C732" s="22">
        <f t="shared" si="11"/>
        <v>725</v>
      </c>
      <c r="D732" s="184" t="s">
        <v>1938</v>
      </c>
      <c r="E732" s="23" t="s">
        <v>1136</v>
      </c>
      <c r="F732" s="23" t="s">
        <v>1137</v>
      </c>
      <c r="G732" s="29">
        <v>475</v>
      </c>
      <c r="H732" s="25" t="s">
        <v>1745</v>
      </c>
      <c r="I732" s="25" t="s">
        <v>407</v>
      </c>
      <c r="J732" s="26"/>
    </row>
    <row r="733" spans="3:10" s="13" customFormat="1" ht="30.95" customHeight="1">
      <c r="C733" s="22">
        <f t="shared" si="11"/>
        <v>726</v>
      </c>
      <c r="D733" s="184" t="s">
        <v>1939</v>
      </c>
      <c r="E733" s="23" t="s">
        <v>1136</v>
      </c>
      <c r="F733" s="23" t="s">
        <v>1137</v>
      </c>
      <c r="G733" s="29">
        <v>1377</v>
      </c>
      <c r="H733" s="25" t="s">
        <v>1748</v>
      </c>
      <c r="I733" s="25" t="s">
        <v>407</v>
      </c>
      <c r="J733" s="26"/>
    </row>
    <row r="734" spans="3:10" s="13" customFormat="1" ht="30.95" customHeight="1">
      <c r="C734" s="22">
        <f t="shared" si="11"/>
        <v>727</v>
      </c>
      <c r="D734" s="184" t="s">
        <v>1940</v>
      </c>
      <c r="E734" s="23" t="s">
        <v>1136</v>
      </c>
      <c r="F734" s="23" t="s">
        <v>1137</v>
      </c>
      <c r="G734" s="29">
        <v>300</v>
      </c>
      <c r="H734" s="25" t="s">
        <v>1748</v>
      </c>
      <c r="I734" s="25" t="s">
        <v>407</v>
      </c>
      <c r="J734" s="26"/>
    </row>
    <row r="735" spans="3:10" s="13" customFormat="1" ht="30.95" customHeight="1">
      <c r="C735" s="22">
        <f t="shared" si="11"/>
        <v>728</v>
      </c>
      <c r="D735" s="184" t="s">
        <v>1941</v>
      </c>
      <c r="E735" s="23" t="s">
        <v>1136</v>
      </c>
      <c r="F735" s="23" t="s">
        <v>1137</v>
      </c>
      <c r="G735" s="29">
        <v>68</v>
      </c>
      <c r="H735" s="25" t="s">
        <v>1748</v>
      </c>
      <c r="I735" s="25" t="s">
        <v>407</v>
      </c>
      <c r="J735" s="26"/>
    </row>
    <row r="736" spans="3:10" s="13" customFormat="1" ht="30.95" customHeight="1">
      <c r="C736" s="22">
        <f t="shared" si="11"/>
        <v>729</v>
      </c>
      <c r="D736" s="184" t="s">
        <v>1942</v>
      </c>
      <c r="E736" s="23" t="s">
        <v>1136</v>
      </c>
      <c r="F736" s="23" t="s">
        <v>1137</v>
      </c>
      <c r="G736" s="29">
        <v>376</v>
      </c>
      <c r="H736" s="25" t="s">
        <v>1748</v>
      </c>
      <c r="I736" s="25" t="s">
        <v>407</v>
      </c>
      <c r="J736" s="26"/>
    </row>
    <row r="737" spans="3:10" s="13" customFormat="1" ht="30.95" customHeight="1">
      <c r="C737" s="22">
        <f t="shared" si="11"/>
        <v>730</v>
      </c>
      <c r="D737" s="184" t="s">
        <v>1943</v>
      </c>
      <c r="E737" s="23" t="s">
        <v>1136</v>
      </c>
      <c r="F737" s="23" t="s">
        <v>1137</v>
      </c>
      <c r="G737" s="29">
        <v>150</v>
      </c>
      <c r="H737" s="25" t="s">
        <v>1748</v>
      </c>
      <c r="I737" s="25" t="s">
        <v>407</v>
      </c>
      <c r="J737" s="26"/>
    </row>
    <row r="738" spans="3:10" s="13" customFormat="1" ht="30.95" customHeight="1">
      <c r="C738" s="22">
        <f t="shared" si="11"/>
        <v>731</v>
      </c>
      <c r="D738" s="184" t="s">
        <v>1944</v>
      </c>
      <c r="E738" s="23" t="s">
        <v>1136</v>
      </c>
      <c r="F738" s="23" t="s">
        <v>1137</v>
      </c>
      <c r="G738" s="29">
        <v>160</v>
      </c>
      <c r="H738" s="25" t="s">
        <v>1748</v>
      </c>
      <c r="I738" s="25" t="s">
        <v>407</v>
      </c>
      <c r="J738" s="26"/>
    </row>
    <row r="739" spans="3:10" s="13" customFormat="1" ht="30.95" customHeight="1">
      <c r="C739" s="22">
        <f t="shared" si="11"/>
        <v>732</v>
      </c>
      <c r="D739" s="184" t="s">
        <v>1945</v>
      </c>
      <c r="E739" s="23" t="s">
        <v>1136</v>
      </c>
      <c r="F739" s="23" t="s">
        <v>1137</v>
      </c>
      <c r="G739" s="29">
        <v>250</v>
      </c>
      <c r="H739" s="25" t="s">
        <v>1751</v>
      </c>
      <c r="I739" s="25" t="s">
        <v>407</v>
      </c>
      <c r="J739" s="26"/>
    </row>
    <row r="740" spans="3:10" s="13" customFormat="1" ht="30.95" customHeight="1">
      <c r="C740" s="22">
        <f t="shared" si="11"/>
        <v>733</v>
      </c>
      <c r="D740" s="184" t="s">
        <v>1946</v>
      </c>
      <c r="E740" s="23" t="s">
        <v>1136</v>
      </c>
      <c r="F740" s="23" t="s">
        <v>1137</v>
      </c>
      <c r="G740" s="29">
        <v>260</v>
      </c>
      <c r="H740" s="25" t="s">
        <v>1751</v>
      </c>
      <c r="I740" s="25" t="s">
        <v>407</v>
      </c>
      <c r="J740" s="26"/>
    </row>
    <row r="741" spans="3:10" s="13" customFormat="1" ht="30.95" customHeight="1">
      <c r="C741" s="22">
        <f t="shared" si="11"/>
        <v>734</v>
      </c>
      <c r="D741" s="184" t="s">
        <v>1947</v>
      </c>
      <c r="E741" s="23" t="s">
        <v>1136</v>
      </c>
      <c r="F741" s="23" t="s">
        <v>1137</v>
      </c>
      <c r="G741" s="29">
        <v>375</v>
      </c>
      <c r="H741" s="25" t="s">
        <v>1751</v>
      </c>
      <c r="I741" s="25" t="s">
        <v>407</v>
      </c>
      <c r="J741" s="26"/>
    </row>
    <row r="742" spans="3:10" s="13" customFormat="1" ht="30.95" customHeight="1">
      <c r="C742" s="22">
        <f t="shared" si="11"/>
        <v>735</v>
      </c>
      <c r="D742" s="184" t="s">
        <v>1948</v>
      </c>
      <c r="E742" s="23" t="s">
        <v>1136</v>
      </c>
      <c r="F742" s="23" t="s">
        <v>1137</v>
      </c>
      <c r="G742" s="29">
        <v>4050</v>
      </c>
      <c r="H742" s="25" t="s">
        <v>1751</v>
      </c>
      <c r="I742" s="25" t="s">
        <v>407</v>
      </c>
      <c r="J742" s="26"/>
    </row>
    <row r="743" spans="3:10" s="13" customFormat="1" ht="30.95" customHeight="1">
      <c r="C743" s="22">
        <f t="shared" si="11"/>
        <v>736</v>
      </c>
      <c r="D743" s="184" t="s">
        <v>1949</v>
      </c>
      <c r="E743" s="23" t="s">
        <v>1136</v>
      </c>
      <c r="F743" s="23" t="s">
        <v>1137</v>
      </c>
      <c r="G743" s="29">
        <v>1850</v>
      </c>
      <c r="H743" s="25" t="s">
        <v>1751</v>
      </c>
      <c r="I743" s="25" t="s">
        <v>407</v>
      </c>
      <c r="J743" s="26"/>
    </row>
    <row r="744" spans="3:10" s="13" customFormat="1" ht="30.95" customHeight="1">
      <c r="C744" s="22">
        <f t="shared" si="11"/>
        <v>737</v>
      </c>
      <c r="D744" s="184" t="s">
        <v>1950</v>
      </c>
      <c r="E744" s="23" t="s">
        <v>1136</v>
      </c>
      <c r="F744" s="23" t="s">
        <v>1137</v>
      </c>
      <c r="G744" s="29">
        <v>1300</v>
      </c>
      <c r="H744" s="25" t="s">
        <v>1751</v>
      </c>
      <c r="I744" s="25" t="s">
        <v>407</v>
      </c>
      <c r="J744" s="26"/>
    </row>
    <row r="745" spans="3:10" s="13" customFormat="1" ht="30.95" customHeight="1">
      <c r="C745" s="22">
        <f t="shared" si="11"/>
        <v>738</v>
      </c>
      <c r="D745" s="184" t="s">
        <v>1951</v>
      </c>
      <c r="E745" s="23" t="s">
        <v>1136</v>
      </c>
      <c r="F745" s="23" t="s">
        <v>1137</v>
      </c>
      <c r="G745" s="29">
        <v>1300</v>
      </c>
      <c r="H745" s="25" t="s">
        <v>1751</v>
      </c>
      <c r="I745" s="25" t="s">
        <v>407</v>
      </c>
      <c r="J745" s="26"/>
    </row>
    <row r="746" spans="3:10" s="13" customFormat="1" ht="30.95" customHeight="1">
      <c r="C746" s="22">
        <f t="shared" si="11"/>
        <v>739</v>
      </c>
      <c r="D746" s="184" t="s">
        <v>1952</v>
      </c>
      <c r="E746" s="23" t="s">
        <v>1136</v>
      </c>
      <c r="F746" s="23" t="s">
        <v>1137</v>
      </c>
      <c r="G746" s="29">
        <v>715</v>
      </c>
      <c r="H746" s="25" t="s">
        <v>1751</v>
      </c>
      <c r="I746" s="25" t="s">
        <v>407</v>
      </c>
      <c r="J746" s="26"/>
    </row>
    <row r="747" spans="3:10" s="13" customFormat="1" ht="30.95" customHeight="1">
      <c r="C747" s="22">
        <f t="shared" si="11"/>
        <v>740</v>
      </c>
      <c r="D747" s="184" t="s">
        <v>1953</v>
      </c>
      <c r="E747" s="23" t="s">
        <v>1136</v>
      </c>
      <c r="F747" s="23" t="s">
        <v>1137</v>
      </c>
      <c r="G747" s="29">
        <v>650</v>
      </c>
      <c r="H747" s="25" t="s">
        <v>1755</v>
      </c>
      <c r="I747" s="25" t="s">
        <v>407</v>
      </c>
      <c r="J747" s="26"/>
    </row>
    <row r="748" spans="3:10" s="13" customFormat="1" ht="30.95" customHeight="1">
      <c r="C748" s="22">
        <f t="shared" si="11"/>
        <v>741</v>
      </c>
      <c r="D748" s="184" t="s">
        <v>1954</v>
      </c>
      <c r="E748" s="23" t="s">
        <v>1136</v>
      </c>
      <c r="F748" s="23" t="s">
        <v>1137</v>
      </c>
      <c r="G748" s="29">
        <v>187</v>
      </c>
      <c r="H748" s="25" t="s">
        <v>1755</v>
      </c>
      <c r="I748" s="25" t="s">
        <v>407</v>
      </c>
      <c r="J748" s="26"/>
    </row>
    <row r="749" spans="3:10" s="13" customFormat="1" ht="30.95" customHeight="1">
      <c r="C749" s="22">
        <f t="shared" si="11"/>
        <v>742</v>
      </c>
      <c r="D749" s="184" t="s">
        <v>1955</v>
      </c>
      <c r="E749" s="23" t="s">
        <v>1136</v>
      </c>
      <c r="F749" s="23" t="s">
        <v>1137</v>
      </c>
      <c r="G749" s="29">
        <v>90</v>
      </c>
      <c r="H749" s="25" t="s">
        <v>1758</v>
      </c>
      <c r="I749" s="25" t="s">
        <v>407</v>
      </c>
      <c r="J749" s="26"/>
    </row>
    <row r="750" spans="3:10" s="13" customFormat="1" ht="30.95" customHeight="1">
      <c r="C750" s="22">
        <f t="shared" si="11"/>
        <v>743</v>
      </c>
      <c r="D750" s="184" t="s">
        <v>1956</v>
      </c>
      <c r="E750" s="23" t="s">
        <v>1136</v>
      </c>
      <c r="F750" s="23" t="s">
        <v>1137</v>
      </c>
      <c r="G750" s="29">
        <v>80</v>
      </c>
      <c r="H750" s="25" t="s">
        <v>1758</v>
      </c>
      <c r="I750" s="25" t="s">
        <v>407</v>
      </c>
      <c r="J750" s="26"/>
    </row>
    <row r="751" spans="3:10" s="13" customFormat="1" ht="30.95" customHeight="1">
      <c r="C751" s="22">
        <f t="shared" si="11"/>
        <v>744</v>
      </c>
      <c r="D751" s="184" t="s">
        <v>1957</v>
      </c>
      <c r="E751" s="23" t="s">
        <v>1136</v>
      </c>
      <c r="F751" s="23" t="s">
        <v>1137</v>
      </c>
      <c r="G751" s="29">
        <v>177</v>
      </c>
      <c r="H751" s="25" t="s">
        <v>1958</v>
      </c>
      <c r="I751" s="25" t="s">
        <v>407</v>
      </c>
      <c r="J751" s="26"/>
    </row>
    <row r="752" spans="3:10" s="13" customFormat="1" ht="30.95" customHeight="1">
      <c r="C752" s="22">
        <f t="shared" si="11"/>
        <v>745</v>
      </c>
      <c r="D752" s="184" t="s">
        <v>1959</v>
      </c>
      <c r="E752" s="23" t="s">
        <v>1136</v>
      </c>
      <c r="F752" s="23" t="s">
        <v>1137</v>
      </c>
      <c r="G752" s="29">
        <v>395</v>
      </c>
      <c r="H752" s="25" t="s">
        <v>1763</v>
      </c>
      <c r="I752" s="25" t="s">
        <v>407</v>
      </c>
      <c r="J752" s="26"/>
    </row>
    <row r="753" spans="3:10" s="13" customFormat="1" ht="30.95" customHeight="1">
      <c r="C753" s="22">
        <f t="shared" si="11"/>
        <v>746</v>
      </c>
      <c r="D753" s="184" t="s">
        <v>1960</v>
      </c>
      <c r="E753" s="23" t="s">
        <v>1136</v>
      </c>
      <c r="F753" s="23" t="s">
        <v>1137</v>
      </c>
      <c r="G753" s="29">
        <v>260</v>
      </c>
      <c r="H753" s="25" t="s">
        <v>1763</v>
      </c>
      <c r="I753" s="25" t="s">
        <v>407</v>
      </c>
      <c r="J753" s="26"/>
    </row>
    <row r="754" spans="3:10" s="13" customFormat="1" ht="30.95" customHeight="1">
      <c r="C754" s="22">
        <f t="shared" si="11"/>
        <v>747</v>
      </c>
      <c r="D754" s="184" t="s">
        <v>1961</v>
      </c>
      <c r="E754" s="23" t="s">
        <v>1136</v>
      </c>
      <c r="F754" s="23" t="s">
        <v>1137</v>
      </c>
      <c r="G754" s="29">
        <v>259</v>
      </c>
      <c r="H754" s="25" t="s">
        <v>1763</v>
      </c>
      <c r="I754" s="25" t="s">
        <v>407</v>
      </c>
      <c r="J754" s="26"/>
    </row>
    <row r="755" spans="3:10" s="13" customFormat="1" ht="30.95" customHeight="1">
      <c r="C755" s="22">
        <f t="shared" si="11"/>
        <v>748</v>
      </c>
      <c r="D755" s="184" t="s">
        <v>1962</v>
      </c>
      <c r="E755" s="23" t="s">
        <v>1136</v>
      </c>
      <c r="F755" s="23" t="s">
        <v>1137</v>
      </c>
      <c r="G755" s="29">
        <v>325</v>
      </c>
      <c r="H755" s="25" t="s">
        <v>1763</v>
      </c>
      <c r="I755" s="25" t="s">
        <v>407</v>
      </c>
      <c r="J755" s="26"/>
    </row>
    <row r="756" spans="3:10" s="13" customFormat="1" ht="30.95" customHeight="1">
      <c r="C756" s="22">
        <f t="shared" si="11"/>
        <v>749</v>
      </c>
      <c r="D756" s="184" t="s">
        <v>1963</v>
      </c>
      <c r="E756" s="23" t="s">
        <v>1136</v>
      </c>
      <c r="F756" s="23" t="s">
        <v>1137</v>
      </c>
      <c r="G756" s="29">
        <v>240</v>
      </c>
      <c r="H756" s="25" t="s">
        <v>1763</v>
      </c>
      <c r="I756" s="25" t="s">
        <v>407</v>
      </c>
      <c r="J756" s="26"/>
    </row>
    <row r="757" spans="3:10" s="13" customFormat="1" ht="30.95" customHeight="1">
      <c r="C757" s="22">
        <f t="shared" si="11"/>
        <v>750</v>
      </c>
      <c r="D757" s="184" t="s">
        <v>1964</v>
      </c>
      <c r="E757" s="23" t="s">
        <v>1136</v>
      </c>
      <c r="F757" s="23" t="s">
        <v>1137</v>
      </c>
      <c r="G757" s="29">
        <v>170</v>
      </c>
      <c r="H757" s="25" t="s">
        <v>1763</v>
      </c>
      <c r="I757" s="25" t="s">
        <v>407</v>
      </c>
      <c r="J757" s="26"/>
    </row>
    <row r="758" spans="3:10" s="13" customFormat="1" ht="30.95" customHeight="1">
      <c r="C758" s="22">
        <f t="shared" si="11"/>
        <v>751</v>
      </c>
      <c r="D758" s="184" t="s">
        <v>1965</v>
      </c>
      <c r="E758" s="23" t="s">
        <v>1136</v>
      </c>
      <c r="F758" s="23" t="s">
        <v>1137</v>
      </c>
      <c r="G758" s="29">
        <v>235</v>
      </c>
      <c r="H758" s="25" t="s">
        <v>1763</v>
      </c>
      <c r="I758" s="25" t="s">
        <v>407</v>
      </c>
      <c r="J758" s="26"/>
    </row>
    <row r="759" spans="3:10" s="13" customFormat="1" ht="30.95" customHeight="1">
      <c r="C759" s="22">
        <f t="shared" si="11"/>
        <v>752</v>
      </c>
      <c r="D759" s="184" t="s">
        <v>1966</v>
      </c>
      <c r="E759" s="23" t="s">
        <v>1136</v>
      </c>
      <c r="F759" s="23" t="s">
        <v>1137</v>
      </c>
      <c r="G759" s="29">
        <v>334</v>
      </c>
      <c r="H759" s="25" t="s">
        <v>1778</v>
      </c>
      <c r="I759" s="25" t="s">
        <v>407</v>
      </c>
      <c r="J759" s="26"/>
    </row>
    <row r="760" spans="3:10" s="13" customFormat="1" ht="30.95" customHeight="1">
      <c r="C760" s="22">
        <f t="shared" si="11"/>
        <v>753</v>
      </c>
      <c r="D760" s="184" t="s">
        <v>1967</v>
      </c>
      <c r="E760" s="23" t="s">
        <v>1136</v>
      </c>
      <c r="F760" s="23" t="s">
        <v>1137</v>
      </c>
      <c r="G760" s="29">
        <v>280</v>
      </c>
      <c r="H760" s="25" t="s">
        <v>1778</v>
      </c>
      <c r="I760" s="25" t="s">
        <v>407</v>
      </c>
      <c r="J760" s="26"/>
    </row>
    <row r="761" spans="3:10" s="13" customFormat="1" ht="30.95" customHeight="1">
      <c r="C761" s="22">
        <f t="shared" si="11"/>
        <v>754</v>
      </c>
      <c r="D761" s="184" t="s">
        <v>1968</v>
      </c>
      <c r="E761" s="23" t="s">
        <v>1136</v>
      </c>
      <c r="F761" s="23" t="s">
        <v>1137</v>
      </c>
      <c r="G761" s="29">
        <v>70</v>
      </c>
      <c r="H761" s="25" t="s">
        <v>1790</v>
      </c>
      <c r="I761" s="25" t="s">
        <v>407</v>
      </c>
      <c r="J761" s="26"/>
    </row>
    <row r="762" spans="3:10" s="13" customFormat="1" ht="30.95" customHeight="1">
      <c r="C762" s="22">
        <f t="shared" si="11"/>
        <v>755</v>
      </c>
      <c r="D762" s="184" t="s">
        <v>1969</v>
      </c>
      <c r="E762" s="23" t="s">
        <v>1136</v>
      </c>
      <c r="F762" s="23" t="s">
        <v>1137</v>
      </c>
      <c r="G762" s="29">
        <v>390</v>
      </c>
      <c r="H762" s="25" t="s">
        <v>1790</v>
      </c>
      <c r="I762" s="25" t="s">
        <v>407</v>
      </c>
      <c r="J762" s="26"/>
    </row>
    <row r="763" spans="3:10" s="13" customFormat="1" ht="30.95" customHeight="1">
      <c r="C763" s="22">
        <f t="shared" si="11"/>
        <v>756</v>
      </c>
      <c r="D763" s="184" t="s">
        <v>1970</v>
      </c>
      <c r="E763" s="23" t="s">
        <v>1136</v>
      </c>
      <c r="F763" s="23" t="s">
        <v>1137</v>
      </c>
      <c r="G763" s="29">
        <v>161</v>
      </c>
      <c r="H763" s="25" t="s">
        <v>1790</v>
      </c>
      <c r="I763" s="25" t="s">
        <v>407</v>
      </c>
      <c r="J763" s="26"/>
    </row>
    <row r="764" spans="3:10" s="13" customFormat="1" ht="30.95" customHeight="1">
      <c r="C764" s="22">
        <f t="shared" si="11"/>
        <v>757</v>
      </c>
      <c r="D764" s="184" t="s">
        <v>1971</v>
      </c>
      <c r="E764" s="23" t="s">
        <v>1136</v>
      </c>
      <c r="F764" s="23" t="s">
        <v>1137</v>
      </c>
      <c r="G764" s="29">
        <v>421</v>
      </c>
      <c r="H764" s="25" t="s">
        <v>1790</v>
      </c>
      <c r="I764" s="25" t="s">
        <v>407</v>
      </c>
      <c r="J764" s="26"/>
    </row>
    <row r="765" spans="3:10" s="13" customFormat="1" ht="30.95" customHeight="1">
      <c r="C765" s="22">
        <f t="shared" si="11"/>
        <v>758</v>
      </c>
      <c r="D765" s="184" t="s">
        <v>1972</v>
      </c>
      <c r="E765" s="23" t="s">
        <v>1136</v>
      </c>
      <c r="F765" s="23" t="s">
        <v>1137</v>
      </c>
      <c r="G765" s="29">
        <v>791</v>
      </c>
      <c r="H765" s="25" t="s">
        <v>1790</v>
      </c>
      <c r="I765" s="25" t="s">
        <v>407</v>
      </c>
      <c r="J765" s="26"/>
    </row>
    <row r="766" spans="3:10" s="13" customFormat="1" ht="30.95" customHeight="1">
      <c r="C766" s="22">
        <f t="shared" si="11"/>
        <v>759</v>
      </c>
      <c r="D766" s="184" t="s">
        <v>1973</v>
      </c>
      <c r="E766" s="23" t="s">
        <v>1136</v>
      </c>
      <c r="F766" s="23" t="s">
        <v>1137</v>
      </c>
      <c r="G766" s="29">
        <v>327</v>
      </c>
      <c r="H766" s="25" t="s">
        <v>1790</v>
      </c>
      <c r="I766" s="25" t="s">
        <v>407</v>
      </c>
      <c r="J766" s="26"/>
    </row>
    <row r="767" spans="3:10" s="13" customFormat="1" ht="30.95" customHeight="1">
      <c r="C767" s="22">
        <f t="shared" si="11"/>
        <v>760</v>
      </c>
      <c r="D767" s="184" t="s">
        <v>1974</v>
      </c>
      <c r="E767" s="23" t="s">
        <v>1136</v>
      </c>
      <c r="F767" s="23" t="s">
        <v>1137</v>
      </c>
      <c r="G767" s="29">
        <v>135</v>
      </c>
      <c r="H767" s="25" t="s">
        <v>1799</v>
      </c>
      <c r="I767" s="25" t="s">
        <v>407</v>
      </c>
      <c r="J767" s="26"/>
    </row>
    <row r="768" spans="3:10" s="13" customFormat="1" ht="30.95" customHeight="1">
      <c r="C768" s="22">
        <f t="shared" si="11"/>
        <v>761</v>
      </c>
      <c r="D768" s="184" t="s">
        <v>1975</v>
      </c>
      <c r="E768" s="23" t="s">
        <v>1136</v>
      </c>
      <c r="F768" s="23" t="s">
        <v>1137</v>
      </c>
      <c r="G768" s="29">
        <v>425</v>
      </c>
      <c r="H768" s="25" t="s">
        <v>1799</v>
      </c>
      <c r="I768" s="25" t="s">
        <v>407</v>
      </c>
      <c r="J768" s="26"/>
    </row>
    <row r="769" spans="3:10" s="13" customFormat="1" ht="30.95" customHeight="1">
      <c r="C769" s="22">
        <f t="shared" si="11"/>
        <v>762</v>
      </c>
      <c r="D769" s="184" t="s">
        <v>1976</v>
      </c>
      <c r="E769" s="23" t="s">
        <v>1136</v>
      </c>
      <c r="F769" s="23" t="s">
        <v>1137</v>
      </c>
      <c r="G769" s="29">
        <v>120</v>
      </c>
      <c r="H769" s="25" t="s">
        <v>1799</v>
      </c>
      <c r="I769" s="25" t="s">
        <v>407</v>
      </c>
      <c r="J769" s="26"/>
    </row>
    <row r="770" spans="3:10" s="13" customFormat="1" ht="30.95" customHeight="1">
      <c r="C770" s="22">
        <f t="shared" si="11"/>
        <v>763</v>
      </c>
      <c r="D770" s="184" t="s">
        <v>1977</v>
      </c>
      <c r="E770" s="23" t="s">
        <v>1136</v>
      </c>
      <c r="F770" s="23" t="s">
        <v>1137</v>
      </c>
      <c r="G770" s="29">
        <v>245</v>
      </c>
      <c r="H770" s="25" t="s">
        <v>1799</v>
      </c>
      <c r="I770" s="25" t="s">
        <v>407</v>
      </c>
      <c r="J770" s="26"/>
    </row>
    <row r="771" spans="3:10" s="13" customFormat="1" ht="30.95" customHeight="1">
      <c r="C771" s="22">
        <f t="shared" si="11"/>
        <v>764</v>
      </c>
      <c r="D771" s="184" t="s">
        <v>1978</v>
      </c>
      <c r="E771" s="23" t="s">
        <v>1136</v>
      </c>
      <c r="F771" s="23" t="s">
        <v>1137</v>
      </c>
      <c r="G771" s="29">
        <v>20</v>
      </c>
      <c r="H771" s="25" t="s">
        <v>1802</v>
      </c>
      <c r="I771" s="25" t="s">
        <v>407</v>
      </c>
      <c r="J771" s="26"/>
    </row>
    <row r="772" spans="3:10" s="13" customFormat="1" ht="30.95" customHeight="1">
      <c r="C772" s="22">
        <f t="shared" si="11"/>
        <v>765</v>
      </c>
      <c r="D772" s="184" t="s">
        <v>1979</v>
      </c>
      <c r="E772" s="23" t="s">
        <v>1136</v>
      </c>
      <c r="F772" s="23" t="s">
        <v>1137</v>
      </c>
      <c r="G772" s="29">
        <v>38</v>
      </c>
      <c r="H772" s="25" t="s">
        <v>1802</v>
      </c>
      <c r="I772" s="25" t="s">
        <v>407</v>
      </c>
      <c r="J772" s="26"/>
    </row>
    <row r="773" spans="3:10" s="13" customFormat="1" ht="30.95" customHeight="1">
      <c r="C773" s="22">
        <f t="shared" si="11"/>
        <v>766</v>
      </c>
      <c r="D773" s="184" t="s">
        <v>1980</v>
      </c>
      <c r="E773" s="23" t="s">
        <v>1136</v>
      </c>
      <c r="F773" s="23" t="s">
        <v>1137</v>
      </c>
      <c r="G773" s="29">
        <v>350</v>
      </c>
      <c r="H773" s="25" t="s">
        <v>1803</v>
      </c>
      <c r="I773" s="25" t="s">
        <v>407</v>
      </c>
      <c r="J773" s="26"/>
    </row>
    <row r="774" spans="3:10" s="13" customFormat="1" ht="30.95" customHeight="1">
      <c r="C774" s="22">
        <f t="shared" si="11"/>
        <v>767</v>
      </c>
      <c r="D774" s="184" t="s">
        <v>1981</v>
      </c>
      <c r="E774" s="23" t="s">
        <v>1136</v>
      </c>
      <c r="F774" s="23" t="s">
        <v>1137</v>
      </c>
      <c r="G774" s="29">
        <v>360</v>
      </c>
      <c r="H774" s="25" t="s">
        <v>1803</v>
      </c>
      <c r="I774" s="25" t="s">
        <v>407</v>
      </c>
      <c r="J774" s="26"/>
    </row>
    <row r="775" spans="3:10" s="13" customFormat="1" ht="30.95" customHeight="1">
      <c r="C775" s="22">
        <f t="shared" si="11"/>
        <v>768</v>
      </c>
      <c r="D775" s="184" t="s">
        <v>1982</v>
      </c>
      <c r="E775" s="23" t="s">
        <v>1136</v>
      </c>
      <c r="F775" s="23" t="s">
        <v>1137</v>
      </c>
      <c r="G775" s="29">
        <v>360</v>
      </c>
      <c r="H775" s="25" t="s">
        <v>1803</v>
      </c>
      <c r="I775" s="25" t="s">
        <v>407</v>
      </c>
      <c r="J775" s="26"/>
    </row>
    <row r="776" spans="3:10" s="13" customFormat="1" ht="30.95" customHeight="1">
      <c r="C776" s="22">
        <f t="shared" si="11"/>
        <v>769</v>
      </c>
      <c r="D776" s="184" t="s">
        <v>1983</v>
      </c>
      <c r="E776" s="23" t="s">
        <v>1136</v>
      </c>
      <c r="F776" s="23" t="s">
        <v>1137</v>
      </c>
      <c r="G776" s="29">
        <v>410</v>
      </c>
      <c r="H776" s="25" t="s">
        <v>1803</v>
      </c>
      <c r="I776" s="25" t="s">
        <v>407</v>
      </c>
      <c r="J776" s="26"/>
    </row>
    <row r="777" spans="3:10" s="13" customFormat="1" ht="30.95" customHeight="1">
      <c r="C777" s="22">
        <f t="shared" si="11"/>
        <v>770</v>
      </c>
      <c r="D777" s="184" t="s">
        <v>1984</v>
      </c>
      <c r="E777" s="23" t="s">
        <v>1136</v>
      </c>
      <c r="F777" s="23" t="s">
        <v>1137</v>
      </c>
      <c r="G777" s="29">
        <v>480</v>
      </c>
      <c r="H777" s="25" t="s">
        <v>1803</v>
      </c>
      <c r="I777" s="25" t="s">
        <v>407</v>
      </c>
      <c r="J777" s="26"/>
    </row>
    <row r="778" spans="3:10" s="13" customFormat="1" ht="30.95" customHeight="1">
      <c r="C778" s="22">
        <f t="shared" ref="C778:C841" si="12">C777+1</f>
        <v>771</v>
      </c>
      <c r="D778" s="184" t="s">
        <v>1985</v>
      </c>
      <c r="E778" s="23" t="s">
        <v>1136</v>
      </c>
      <c r="F778" s="23" t="s">
        <v>1137</v>
      </c>
      <c r="G778" s="29">
        <v>364</v>
      </c>
      <c r="H778" s="25" t="s">
        <v>1807</v>
      </c>
      <c r="I778" s="25" t="s">
        <v>407</v>
      </c>
      <c r="J778" s="26"/>
    </row>
    <row r="779" spans="3:10" s="13" customFormat="1" ht="30.95" customHeight="1">
      <c r="C779" s="22">
        <f t="shared" si="12"/>
        <v>772</v>
      </c>
      <c r="D779" s="184" t="s">
        <v>1986</v>
      </c>
      <c r="E779" s="23" t="s">
        <v>1136</v>
      </c>
      <c r="F779" s="23" t="s">
        <v>1137</v>
      </c>
      <c r="G779" s="29">
        <v>365</v>
      </c>
      <c r="H779" s="25" t="s">
        <v>1807</v>
      </c>
      <c r="I779" s="25" t="s">
        <v>407</v>
      </c>
      <c r="J779" s="26"/>
    </row>
    <row r="780" spans="3:10" s="13" customFormat="1" ht="30.95" customHeight="1">
      <c r="C780" s="22">
        <f t="shared" si="12"/>
        <v>773</v>
      </c>
      <c r="D780" s="184" t="s">
        <v>1987</v>
      </c>
      <c r="E780" s="23" t="s">
        <v>1136</v>
      </c>
      <c r="F780" s="23" t="s">
        <v>1137</v>
      </c>
      <c r="G780" s="29">
        <v>480</v>
      </c>
      <c r="H780" s="25" t="s">
        <v>1807</v>
      </c>
      <c r="I780" s="25" t="s">
        <v>407</v>
      </c>
      <c r="J780" s="26"/>
    </row>
    <row r="781" spans="3:10" s="13" customFormat="1" ht="30.95" customHeight="1">
      <c r="C781" s="22">
        <f t="shared" si="12"/>
        <v>774</v>
      </c>
      <c r="D781" s="184" t="s">
        <v>1988</v>
      </c>
      <c r="E781" s="23" t="s">
        <v>1136</v>
      </c>
      <c r="F781" s="23" t="s">
        <v>1137</v>
      </c>
      <c r="G781" s="29">
        <v>231</v>
      </c>
      <c r="H781" s="25" t="s">
        <v>1807</v>
      </c>
      <c r="I781" s="25" t="s">
        <v>407</v>
      </c>
      <c r="J781" s="26"/>
    </row>
    <row r="782" spans="3:10" s="13" customFormat="1" ht="30.95" customHeight="1">
      <c r="C782" s="22">
        <f t="shared" si="12"/>
        <v>775</v>
      </c>
      <c r="D782" s="184" t="s">
        <v>1989</v>
      </c>
      <c r="E782" s="23" t="s">
        <v>1136</v>
      </c>
      <c r="F782" s="23" t="s">
        <v>1137</v>
      </c>
      <c r="G782" s="29">
        <v>430</v>
      </c>
      <c r="H782" s="25" t="s">
        <v>1791</v>
      </c>
      <c r="I782" s="25" t="s">
        <v>407</v>
      </c>
      <c r="J782" s="26"/>
    </row>
    <row r="783" spans="3:10" s="13" customFormat="1" ht="30.95" customHeight="1">
      <c r="C783" s="22">
        <f t="shared" si="12"/>
        <v>776</v>
      </c>
      <c r="D783" s="184" t="s">
        <v>1990</v>
      </c>
      <c r="E783" s="23" t="s">
        <v>1136</v>
      </c>
      <c r="F783" s="23" t="s">
        <v>1137</v>
      </c>
      <c r="G783" s="29">
        <v>427</v>
      </c>
      <c r="H783" s="25" t="s">
        <v>1791</v>
      </c>
      <c r="I783" s="25" t="s">
        <v>407</v>
      </c>
      <c r="J783" s="26"/>
    </row>
    <row r="784" spans="3:10" s="13" customFormat="1" ht="30.95" customHeight="1">
      <c r="C784" s="22">
        <f t="shared" si="12"/>
        <v>777</v>
      </c>
      <c r="D784" s="184" t="s">
        <v>1991</v>
      </c>
      <c r="E784" s="23" t="s">
        <v>1136</v>
      </c>
      <c r="F784" s="23" t="s">
        <v>1137</v>
      </c>
      <c r="G784" s="29">
        <v>60</v>
      </c>
      <c r="H784" s="25" t="s">
        <v>1793</v>
      </c>
      <c r="I784" s="25" t="s">
        <v>407</v>
      </c>
      <c r="J784" s="26"/>
    </row>
    <row r="785" spans="3:10" s="13" customFormat="1" ht="30.95" customHeight="1">
      <c r="C785" s="22">
        <f t="shared" si="12"/>
        <v>778</v>
      </c>
      <c r="D785" s="184" t="s">
        <v>1992</v>
      </c>
      <c r="E785" s="23" t="s">
        <v>1136</v>
      </c>
      <c r="F785" s="23" t="s">
        <v>1137</v>
      </c>
      <c r="G785" s="29">
        <v>140</v>
      </c>
      <c r="H785" s="25" t="s">
        <v>1793</v>
      </c>
      <c r="I785" s="25" t="s">
        <v>407</v>
      </c>
      <c r="J785" s="26"/>
    </row>
    <row r="786" spans="3:10" s="13" customFormat="1" ht="30.95" customHeight="1">
      <c r="C786" s="22">
        <f t="shared" si="12"/>
        <v>779</v>
      </c>
      <c r="D786" s="184" t="s">
        <v>1993</v>
      </c>
      <c r="E786" s="23" t="s">
        <v>1136</v>
      </c>
      <c r="F786" s="23" t="s">
        <v>1137</v>
      </c>
      <c r="G786" s="29">
        <v>900</v>
      </c>
      <c r="H786" s="25" t="s">
        <v>1793</v>
      </c>
      <c r="I786" s="25" t="s">
        <v>407</v>
      </c>
      <c r="J786" s="26"/>
    </row>
    <row r="787" spans="3:10" s="13" customFormat="1" ht="30.95" customHeight="1">
      <c r="C787" s="22">
        <f t="shared" si="12"/>
        <v>780</v>
      </c>
      <c r="D787" s="184" t="s">
        <v>1994</v>
      </c>
      <c r="E787" s="23" t="s">
        <v>1136</v>
      </c>
      <c r="F787" s="23" t="s">
        <v>1137</v>
      </c>
      <c r="G787" s="29">
        <v>1080</v>
      </c>
      <c r="H787" s="25" t="s">
        <v>1994</v>
      </c>
      <c r="I787" s="25" t="s">
        <v>407</v>
      </c>
      <c r="J787" s="26"/>
    </row>
    <row r="788" spans="3:10" s="13" customFormat="1" ht="30.95" customHeight="1">
      <c r="C788" s="22">
        <f t="shared" si="12"/>
        <v>781</v>
      </c>
      <c r="D788" s="184" t="s">
        <v>1798</v>
      </c>
      <c r="E788" s="23" t="s">
        <v>1136</v>
      </c>
      <c r="F788" s="23" t="s">
        <v>1137</v>
      </c>
      <c r="G788" s="29">
        <v>1405</v>
      </c>
      <c r="H788" s="25" t="s">
        <v>1798</v>
      </c>
      <c r="I788" s="25" t="s">
        <v>407</v>
      </c>
      <c r="J788" s="26"/>
    </row>
    <row r="789" spans="3:10" s="13" customFormat="1" ht="30.95" customHeight="1">
      <c r="C789" s="22">
        <f t="shared" si="12"/>
        <v>782</v>
      </c>
      <c r="D789" s="184" t="s">
        <v>1995</v>
      </c>
      <c r="E789" s="23" t="s">
        <v>1136</v>
      </c>
      <c r="F789" s="23" t="s">
        <v>1137</v>
      </c>
      <c r="G789" s="29">
        <v>551</v>
      </c>
      <c r="H789" s="25" t="s">
        <v>1793</v>
      </c>
      <c r="I789" s="25" t="s">
        <v>407</v>
      </c>
      <c r="J789" s="26"/>
    </row>
    <row r="790" spans="3:10" s="13" customFormat="1" ht="30.95" customHeight="1">
      <c r="C790" s="22">
        <f t="shared" si="12"/>
        <v>783</v>
      </c>
      <c r="D790" s="184" t="s">
        <v>1996</v>
      </c>
      <c r="E790" s="23" t="s">
        <v>1136</v>
      </c>
      <c r="F790" s="23" t="s">
        <v>1137</v>
      </c>
      <c r="G790" s="29">
        <v>910</v>
      </c>
      <c r="H790" s="25" t="s">
        <v>1994</v>
      </c>
      <c r="I790" s="25" t="s">
        <v>407</v>
      </c>
      <c r="J790" s="26"/>
    </row>
    <row r="791" spans="3:10" s="13" customFormat="1" ht="30.95" customHeight="1">
      <c r="C791" s="22">
        <f t="shared" si="12"/>
        <v>784</v>
      </c>
      <c r="D791" s="184" t="s">
        <v>1997</v>
      </c>
      <c r="E791" s="23" t="s">
        <v>1136</v>
      </c>
      <c r="F791" s="23" t="s">
        <v>1137</v>
      </c>
      <c r="G791" s="29">
        <v>910</v>
      </c>
      <c r="H791" s="25" t="s">
        <v>1994</v>
      </c>
      <c r="I791" s="25" t="s">
        <v>407</v>
      </c>
      <c r="J791" s="26"/>
    </row>
    <row r="792" spans="3:10" s="13" customFormat="1" ht="30.95" customHeight="1">
      <c r="C792" s="22">
        <f t="shared" si="12"/>
        <v>785</v>
      </c>
      <c r="D792" s="184" t="s">
        <v>1998</v>
      </c>
      <c r="E792" s="23" t="s">
        <v>1136</v>
      </c>
      <c r="F792" s="23" t="s">
        <v>1137</v>
      </c>
      <c r="G792" s="29">
        <v>1180</v>
      </c>
      <c r="H792" s="25" t="s">
        <v>1994</v>
      </c>
      <c r="I792" s="25" t="s">
        <v>407</v>
      </c>
      <c r="J792" s="26"/>
    </row>
    <row r="793" spans="3:10" s="13" customFormat="1" ht="30.95" customHeight="1">
      <c r="C793" s="22">
        <f t="shared" si="12"/>
        <v>786</v>
      </c>
      <c r="D793" s="184" t="s">
        <v>1999</v>
      </c>
      <c r="E793" s="23" t="s">
        <v>1136</v>
      </c>
      <c r="F793" s="23" t="s">
        <v>1137</v>
      </c>
      <c r="G793" s="29">
        <v>455</v>
      </c>
      <c r="H793" s="25" t="s">
        <v>1796</v>
      </c>
      <c r="I793" s="25" t="s">
        <v>407</v>
      </c>
      <c r="J793" s="26"/>
    </row>
    <row r="794" spans="3:10" s="13" customFormat="1" ht="30.95" customHeight="1">
      <c r="C794" s="22">
        <f t="shared" si="12"/>
        <v>787</v>
      </c>
      <c r="D794" s="184" t="s">
        <v>2000</v>
      </c>
      <c r="E794" s="23" t="s">
        <v>1136</v>
      </c>
      <c r="F794" s="23" t="s">
        <v>1137</v>
      </c>
      <c r="G794" s="29">
        <v>200</v>
      </c>
      <c r="H794" s="25" t="s">
        <v>1796</v>
      </c>
      <c r="I794" s="25" t="s">
        <v>407</v>
      </c>
      <c r="J794" s="26"/>
    </row>
    <row r="795" spans="3:10" s="13" customFormat="1" ht="30.95" customHeight="1">
      <c r="C795" s="22">
        <f t="shared" si="12"/>
        <v>788</v>
      </c>
      <c r="D795" s="184" t="s">
        <v>2001</v>
      </c>
      <c r="E795" s="23" t="s">
        <v>1136</v>
      </c>
      <c r="F795" s="23" t="s">
        <v>1137</v>
      </c>
      <c r="G795" s="29">
        <v>448</v>
      </c>
      <c r="H795" s="25" t="s">
        <v>1797</v>
      </c>
      <c r="I795" s="25" t="s">
        <v>407</v>
      </c>
      <c r="J795" s="26"/>
    </row>
    <row r="796" spans="3:10" s="13" customFormat="1" ht="30.95" customHeight="1">
      <c r="C796" s="22">
        <f t="shared" si="12"/>
        <v>789</v>
      </c>
      <c r="D796" s="184" t="s">
        <v>2002</v>
      </c>
      <c r="E796" s="23" t="s">
        <v>1136</v>
      </c>
      <c r="F796" s="23" t="s">
        <v>1137</v>
      </c>
      <c r="G796" s="29">
        <v>200</v>
      </c>
      <c r="H796" s="25" t="s">
        <v>1797</v>
      </c>
      <c r="I796" s="25" t="s">
        <v>407</v>
      </c>
      <c r="J796" s="26"/>
    </row>
    <row r="797" spans="3:10" s="13" customFormat="1" ht="30.95" customHeight="1">
      <c r="C797" s="22">
        <f t="shared" si="12"/>
        <v>790</v>
      </c>
      <c r="D797" s="184" t="s">
        <v>2003</v>
      </c>
      <c r="E797" s="23" t="s">
        <v>1136</v>
      </c>
      <c r="F797" s="23" t="s">
        <v>1137</v>
      </c>
      <c r="G797" s="29">
        <v>461</v>
      </c>
      <c r="H797" s="25" t="s">
        <v>1797</v>
      </c>
      <c r="I797" s="25" t="s">
        <v>407</v>
      </c>
      <c r="J797" s="26"/>
    </row>
    <row r="798" spans="3:10" s="13" customFormat="1" ht="30.95" customHeight="1">
      <c r="C798" s="22">
        <f t="shared" si="12"/>
        <v>791</v>
      </c>
      <c r="D798" s="184" t="s">
        <v>2004</v>
      </c>
      <c r="E798" s="23" t="s">
        <v>1136</v>
      </c>
      <c r="F798" s="23" t="s">
        <v>1137</v>
      </c>
      <c r="G798" s="29">
        <v>735</v>
      </c>
      <c r="H798" s="25" t="s">
        <v>1797</v>
      </c>
      <c r="I798" s="25" t="s">
        <v>407</v>
      </c>
      <c r="J798" s="26"/>
    </row>
    <row r="799" spans="3:10" s="13" customFormat="1" ht="30.95" customHeight="1">
      <c r="C799" s="22">
        <f t="shared" si="12"/>
        <v>792</v>
      </c>
      <c r="D799" s="184" t="s">
        <v>2005</v>
      </c>
      <c r="E799" s="23" t="s">
        <v>1136</v>
      </c>
      <c r="F799" s="23" t="s">
        <v>1137</v>
      </c>
      <c r="G799" s="29">
        <v>1420</v>
      </c>
      <c r="H799" s="25" t="s">
        <v>1797</v>
      </c>
      <c r="I799" s="25" t="s">
        <v>407</v>
      </c>
      <c r="J799" s="26"/>
    </row>
    <row r="800" spans="3:10" s="13" customFormat="1" ht="30.95" customHeight="1">
      <c r="C800" s="22">
        <f t="shared" si="12"/>
        <v>793</v>
      </c>
      <c r="D800" s="184" t="s">
        <v>2006</v>
      </c>
      <c r="E800" s="23" t="s">
        <v>1136</v>
      </c>
      <c r="F800" s="23" t="s">
        <v>1137</v>
      </c>
      <c r="G800" s="29">
        <v>910</v>
      </c>
      <c r="H800" s="25" t="s">
        <v>1797</v>
      </c>
      <c r="I800" s="25" t="s">
        <v>407</v>
      </c>
      <c r="J800" s="26"/>
    </row>
    <row r="801" spans="3:10" s="13" customFormat="1" ht="30.95" customHeight="1">
      <c r="C801" s="22">
        <f t="shared" si="12"/>
        <v>794</v>
      </c>
      <c r="D801" s="184" t="s">
        <v>2007</v>
      </c>
      <c r="E801" s="23" t="s">
        <v>1136</v>
      </c>
      <c r="F801" s="23" t="s">
        <v>1137</v>
      </c>
      <c r="G801" s="29">
        <v>410</v>
      </c>
      <c r="H801" s="25" t="s">
        <v>1797</v>
      </c>
      <c r="I801" s="25" t="s">
        <v>407</v>
      </c>
      <c r="J801" s="26"/>
    </row>
    <row r="802" spans="3:10" s="13" customFormat="1" ht="30.95" customHeight="1">
      <c r="C802" s="22">
        <f t="shared" si="12"/>
        <v>795</v>
      </c>
      <c r="D802" s="184" t="s">
        <v>2008</v>
      </c>
      <c r="E802" s="23" t="s">
        <v>1136</v>
      </c>
      <c r="F802" s="23" t="s">
        <v>1137</v>
      </c>
      <c r="G802" s="29">
        <v>363</v>
      </c>
      <c r="H802" s="25" t="s">
        <v>1806</v>
      </c>
      <c r="I802" s="25" t="s">
        <v>407</v>
      </c>
      <c r="J802" s="26"/>
    </row>
    <row r="803" spans="3:10" s="13" customFormat="1" ht="30.95" customHeight="1">
      <c r="C803" s="22">
        <f t="shared" si="12"/>
        <v>796</v>
      </c>
      <c r="D803" s="184" t="s">
        <v>2009</v>
      </c>
      <c r="E803" s="23" t="s">
        <v>1136</v>
      </c>
      <c r="F803" s="23" t="s">
        <v>1137</v>
      </c>
      <c r="G803" s="29">
        <v>245</v>
      </c>
      <c r="H803" s="25" t="s">
        <v>1806</v>
      </c>
      <c r="I803" s="25" t="s">
        <v>407</v>
      </c>
      <c r="J803" s="26"/>
    </row>
    <row r="804" spans="3:10" s="13" customFormat="1" ht="30.95" customHeight="1">
      <c r="C804" s="22">
        <f t="shared" si="12"/>
        <v>797</v>
      </c>
      <c r="D804" s="184" t="s">
        <v>2010</v>
      </c>
      <c r="E804" s="23" t="s">
        <v>1136</v>
      </c>
      <c r="F804" s="23" t="s">
        <v>1137</v>
      </c>
      <c r="G804" s="29">
        <v>158</v>
      </c>
      <c r="H804" s="25" t="s">
        <v>1806</v>
      </c>
      <c r="I804" s="25" t="s">
        <v>407</v>
      </c>
      <c r="J804" s="26"/>
    </row>
    <row r="805" spans="3:10" s="13" customFormat="1" ht="30.95" customHeight="1">
      <c r="C805" s="22">
        <f t="shared" si="12"/>
        <v>798</v>
      </c>
      <c r="D805" s="184" t="s">
        <v>2011</v>
      </c>
      <c r="E805" s="23" t="s">
        <v>1136</v>
      </c>
      <c r="F805" s="23" t="s">
        <v>1137</v>
      </c>
      <c r="G805" s="29">
        <v>209</v>
      </c>
      <c r="H805" s="25" t="s">
        <v>1806</v>
      </c>
      <c r="I805" s="25" t="s">
        <v>407</v>
      </c>
      <c r="J805" s="26"/>
    </row>
    <row r="806" spans="3:10" s="13" customFormat="1" ht="30.95" customHeight="1">
      <c r="C806" s="22">
        <f t="shared" si="12"/>
        <v>799</v>
      </c>
      <c r="D806" s="184" t="s">
        <v>2012</v>
      </c>
      <c r="E806" s="23" t="s">
        <v>1136</v>
      </c>
      <c r="F806" s="23" t="s">
        <v>1137</v>
      </c>
      <c r="G806" s="29">
        <v>740</v>
      </c>
      <c r="H806" s="25" t="s">
        <v>1808</v>
      </c>
      <c r="I806" s="25" t="s">
        <v>407</v>
      </c>
      <c r="J806" s="26"/>
    </row>
    <row r="807" spans="3:10" s="13" customFormat="1" ht="30.95" customHeight="1">
      <c r="C807" s="22">
        <f t="shared" si="12"/>
        <v>800</v>
      </c>
      <c r="D807" s="184" t="s">
        <v>2013</v>
      </c>
      <c r="E807" s="23" t="s">
        <v>1136</v>
      </c>
      <c r="F807" s="23" t="s">
        <v>1137</v>
      </c>
      <c r="G807" s="29">
        <v>480</v>
      </c>
      <c r="H807" s="25" t="s">
        <v>1808</v>
      </c>
      <c r="I807" s="25" t="s">
        <v>407</v>
      </c>
      <c r="J807" s="26"/>
    </row>
    <row r="808" spans="3:10" s="13" customFormat="1" ht="30.95" customHeight="1">
      <c r="C808" s="22">
        <f t="shared" si="12"/>
        <v>801</v>
      </c>
      <c r="D808" s="184" t="s">
        <v>2014</v>
      </c>
      <c r="E808" s="23" t="s">
        <v>1136</v>
      </c>
      <c r="F808" s="23" t="s">
        <v>1137</v>
      </c>
      <c r="G808" s="29">
        <v>493</v>
      </c>
      <c r="H808" s="25" t="s">
        <v>1809</v>
      </c>
      <c r="I808" s="25" t="s">
        <v>407</v>
      </c>
      <c r="J808" s="26"/>
    </row>
    <row r="809" spans="3:10" s="13" customFormat="1" ht="30.95" customHeight="1">
      <c r="C809" s="22">
        <f t="shared" si="12"/>
        <v>802</v>
      </c>
      <c r="D809" s="184" t="s">
        <v>2015</v>
      </c>
      <c r="E809" s="23" t="s">
        <v>1136</v>
      </c>
      <c r="F809" s="23" t="s">
        <v>1137</v>
      </c>
      <c r="G809" s="29">
        <v>498</v>
      </c>
      <c r="H809" s="25" t="s">
        <v>1809</v>
      </c>
      <c r="I809" s="25" t="s">
        <v>407</v>
      </c>
      <c r="J809" s="26"/>
    </row>
    <row r="810" spans="3:10" s="13" customFormat="1" ht="30.95" customHeight="1">
      <c r="C810" s="22">
        <f t="shared" si="12"/>
        <v>803</v>
      </c>
      <c r="D810" s="184" t="s">
        <v>2016</v>
      </c>
      <c r="E810" s="23" t="s">
        <v>1136</v>
      </c>
      <c r="F810" s="23" t="s">
        <v>1137</v>
      </c>
      <c r="G810" s="29">
        <v>339</v>
      </c>
      <c r="H810" s="25" t="s">
        <v>1809</v>
      </c>
      <c r="I810" s="25" t="s">
        <v>407</v>
      </c>
      <c r="J810" s="26"/>
    </row>
    <row r="811" spans="3:10" s="13" customFormat="1" ht="30.95" customHeight="1">
      <c r="C811" s="22">
        <f t="shared" si="12"/>
        <v>804</v>
      </c>
      <c r="D811" s="184" t="s">
        <v>2017</v>
      </c>
      <c r="E811" s="23" t="s">
        <v>1136</v>
      </c>
      <c r="F811" s="23" t="s">
        <v>1137</v>
      </c>
      <c r="G811" s="29">
        <v>222</v>
      </c>
      <c r="H811" s="25" t="s">
        <v>1809</v>
      </c>
      <c r="I811" s="25" t="s">
        <v>407</v>
      </c>
      <c r="J811" s="26"/>
    </row>
    <row r="812" spans="3:10" s="13" customFormat="1" ht="30.95" customHeight="1">
      <c r="C812" s="22">
        <f t="shared" si="12"/>
        <v>805</v>
      </c>
      <c r="D812" s="184" t="s">
        <v>2018</v>
      </c>
      <c r="E812" s="23" t="s">
        <v>1136</v>
      </c>
      <c r="F812" s="23" t="s">
        <v>1137</v>
      </c>
      <c r="G812" s="29">
        <v>630</v>
      </c>
      <c r="H812" s="25" t="s">
        <v>1810</v>
      </c>
      <c r="I812" s="25" t="s">
        <v>407</v>
      </c>
      <c r="J812" s="26"/>
    </row>
    <row r="813" spans="3:10" s="13" customFormat="1" ht="30.95" customHeight="1">
      <c r="C813" s="22">
        <f t="shared" si="12"/>
        <v>806</v>
      </c>
      <c r="D813" s="184" t="s">
        <v>2019</v>
      </c>
      <c r="E813" s="23" t="s">
        <v>1136</v>
      </c>
      <c r="F813" s="23" t="s">
        <v>1137</v>
      </c>
      <c r="G813" s="29">
        <v>439</v>
      </c>
      <c r="H813" s="25" t="s">
        <v>1810</v>
      </c>
      <c r="I813" s="25" t="s">
        <v>407</v>
      </c>
      <c r="J813" s="26"/>
    </row>
    <row r="814" spans="3:10" s="13" customFormat="1" ht="30.95" customHeight="1">
      <c r="C814" s="22">
        <f t="shared" si="12"/>
        <v>807</v>
      </c>
      <c r="D814" s="184" t="s">
        <v>2020</v>
      </c>
      <c r="E814" s="23" t="s">
        <v>1136</v>
      </c>
      <c r="F814" s="23" t="s">
        <v>1137</v>
      </c>
      <c r="G814" s="29">
        <v>280</v>
      </c>
      <c r="H814" s="25" t="s">
        <v>1810</v>
      </c>
      <c r="I814" s="25" t="s">
        <v>407</v>
      </c>
      <c r="J814" s="26"/>
    </row>
    <row r="815" spans="3:10" s="13" customFormat="1" ht="30.95" customHeight="1">
      <c r="C815" s="22">
        <f t="shared" si="12"/>
        <v>808</v>
      </c>
      <c r="D815" s="184" t="s">
        <v>2021</v>
      </c>
      <c r="E815" s="23" t="s">
        <v>1136</v>
      </c>
      <c r="F815" s="23" t="s">
        <v>1137</v>
      </c>
      <c r="G815" s="29">
        <v>405</v>
      </c>
      <c r="H815" s="25" t="s">
        <v>1812</v>
      </c>
      <c r="I815" s="25" t="s">
        <v>407</v>
      </c>
      <c r="J815" s="26"/>
    </row>
    <row r="816" spans="3:10" s="13" customFormat="1" ht="30.95" customHeight="1">
      <c r="C816" s="22">
        <f t="shared" si="12"/>
        <v>809</v>
      </c>
      <c r="D816" s="184" t="s">
        <v>2022</v>
      </c>
      <c r="E816" s="23" t="s">
        <v>1136</v>
      </c>
      <c r="F816" s="23" t="s">
        <v>1137</v>
      </c>
      <c r="G816" s="29">
        <v>1220</v>
      </c>
      <c r="H816" s="25" t="s">
        <v>1814</v>
      </c>
      <c r="I816" s="25" t="s">
        <v>407</v>
      </c>
      <c r="J816" s="26"/>
    </row>
    <row r="817" spans="3:10" s="13" customFormat="1" ht="30.95" customHeight="1">
      <c r="C817" s="22">
        <f t="shared" si="12"/>
        <v>810</v>
      </c>
      <c r="D817" s="184" t="s">
        <v>2023</v>
      </c>
      <c r="E817" s="23" t="s">
        <v>1136</v>
      </c>
      <c r="F817" s="23" t="s">
        <v>1137</v>
      </c>
      <c r="G817" s="29">
        <v>1260</v>
      </c>
      <c r="H817" s="25" t="s">
        <v>1814</v>
      </c>
      <c r="I817" s="25" t="s">
        <v>407</v>
      </c>
      <c r="J817" s="26"/>
    </row>
    <row r="818" spans="3:10" s="13" customFormat="1" ht="30.95" customHeight="1">
      <c r="C818" s="22">
        <f t="shared" si="12"/>
        <v>811</v>
      </c>
      <c r="D818" s="184" t="s">
        <v>2024</v>
      </c>
      <c r="E818" s="23" t="s">
        <v>1136</v>
      </c>
      <c r="F818" s="23" t="s">
        <v>1137</v>
      </c>
      <c r="G818" s="29">
        <v>186</v>
      </c>
      <c r="H818" s="25" t="s">
        <v>1825</v>
      </c>
      <c r="I818" s="25" t="s">
        <v>407</v>
      </c>
      <c r="J818" s="26"/>
    </row>
    <row r="819" spans="3:10" s="13" customFormat="1" ht="30.95" customHeight="1">
      <c r="C819" s="22">
        <f t="shared" si="12"/>
        <v>812</v>
      </c>
      <c r="D819" s="184" t="s">
        <v>2025</v>
      </c>
      <c r="E819" s="23" t="s">
        <v>1136</v>
      </c>
      <c r="F819" s="23" t="s">
        <v>1137</v>
      </c>
      <c r="G819" s="29">
        <v>188</v>
      </c>
      <c r="H819" s="25" t="s">
        <v>1825</v>
      </c>
      <c r="I819" s="25" t="s">
        <v>407</v>
      </c>
      <c r="J819" s="26"/>
    </row>
    <row r="820" spans="3:10" s="13" customFormat="1" ht="30.95" customHeight="1">
      <c r="C820" s="22">
        <f t="shared" si="12"/>
        <v>813</v>
      </c>
      <c r="D820" s="184" t="s">
        <v>2026</v>
      </c>
      <c r="E820" s="23" t="s">
        <v>1136</v>
      </c>
      <c r="F820" s="23" t="s">
        <v>1137</v>
      </c>
      <c r="G820" s="29">
        <v>838</v>
      </c>
      <c r="H820" s="25" t="s">
        <v>1831</v>
      </c>
      <c r="I820" s="25" t="s">
        <v>407</v>
      </c>
      <c r="J820" s="26"/>
    </row>
    <row r="821" spans="3:10" s="13" customFormat="1" ht="30.95" customHeight="1">
      <c r="C821" s="22">
        <f t="shared" si="12"/>
        <v>814</v>
      </c>
      <c r="D821" s="184" t="s">
        <v>2027</v>
      </c>
      <c r="E821" s="23" t="s">
        <v>1136</v>
      </c>
      <c r="F821" s="23" t="s">
        <v>1137</v>
      </c>
      <c r="G821" s="29">
        <v>840</v>
      </c>
      <c r="H821" s="25" t="s">
        <v>1831</v>
      </c>
      <c r="I821" s="25" t="s">
        <v>407</v>
      </c>
      <c r="J821" s="26"/>
    </row>
    <row r="822" spans="3:10" s="13" customFormat="1" ht="30.95" customHeight="1">
      <c r="C822" s="22">
        <f t="shared" si="12"/>
        <v>815</v>
      </c>
      <c r="D822" s="184" t="s">
        <v>2028</v>
      </c>
      <c r="E822" s="23" t="s">
        <v>1136</v>
      </c>
      <c r="F822" s="23" t="s">
        <v>1137</v>
      </c>
      <c r="G822" s="29">
        <v>381</v>
      </c>
      <c r="H822" s="25" t="s">
        <v>1831</v>
      </c>
      <c r="I822" s="25" t="s">
        <v>407</v>
      </c>
      <c r="J822" s="26"/>
    </row>
    <row r="823" spans="3:10" s="13" customFormat="1" ht="30.95" customHeight="1">
      <c r="C823" s="22">
        <f t="shared" si="12"/>
        <v>816</v>
      </c>
      <c r="D823" s="184" t="s">
        <v>2029</v>
      </c>
      <c r="E823" s="23" t="s">
        <v>1136</v>
      </c>
      <c r="F823" s="23" t="s">
        <v>1137</v>
      </c>
      <c r="G823" s="29">
        <v>590</v>
      </c>
      <c r="H823" s="25" t="s">
        <v>1831</v>
      </c>
      <c r="I823" s="25" t="s">
        <v>407</v>
      </c>
      <c r="J823" s="26"/>
    </row>
    <row r="824" spans="3:10" s="13" customFormat="1" ht="30.95" customHeight="1">
      <c r="C824" s="22">
        <f t="shared" si="12"/>
        <v>817</v>
      </c>
      <c r="D824" s="184" t="s">
        <v>2030</v>
      </c>
      <c r="E824" s="23" t="s">
        <v>1136</v>
      </c>
      <c r="F824" s="23" t="s">
        <v>1137</v>
      </c>
      <c r="G824" s="29">
        <v>239</v>
      </c>
      <c r="H824" s="25" t="s">
        <v>1831</v>
      </c>
      <c r="I824" s="25" t="s">
        <v>407</v>
      </c>
      <c r="J824" s="26"/>
    </row>
    <row r="825" spans="3:10" s="13" customFormat="1" ht="30.95" customHeight="1">
      <c r="C825" s="22">
        <f t="shared" si="12"/>
        <v>818</v>
      </c>
      <c r="D825" s="184" t="s">
        <v>2031</v>
      </c>
      <c r="E825" s="23" t="s">
        <v>1136</v>
      </c>
      <c r="F825" s="23" t="s">
        <v>1137</v>
      </c>
      <c r="G825" s="29">
        <v>656</v>
      </c>
      <c r="H825" s="25" t="s">
        <v>1831</v>
      </c>
      <c r="I825" s="25" t="s">
        <v>407</v>
      </c>
      <c r="J825" s="26"/>
    </row>
    <row r="826" spans="3:10" s="13" customFormat="1" ht="30.95" customHeight="1">
      <c r="C826" s="22">
        <f t="shared" si="12"/>
        <v>819</v>
      </c>
      <c r="D826" s="184" t="s">
        <v>2032</v>
      </c>
      <c r="E826" s="23" t="s">
        <v>1136</v>
      </c>
      <c r="F826" s="23" t="s">
        <v>1137</v>
      </c>
      <c r="G826" s="29">
        <v>300</v>
      </c>
      <c r="H826" s="25" t="s">
        <v>1831</v>
      </c>
      <c r="I826" s="25" t="s">
        <v>407</v>
      </c>
      <c r="J826" s="26"/>
    </row>
    <row r="827" spans="3:10" s="13" customFormat="1" ht="30.95" customHeight="1">
      <c r="C827" s="22">
        <f t="shared" si="12"/>
        <v>820</v>
      </c>
      <c r="D827" s="184" t="s">
        <v>2033</v>
      </c>
      <c r="E827" s="23" t="s">
        <v>1136</v>
      </c>
      <c r="F827" s="23" t="s">
        <v>1137</v>
      </c>
      <c r="G827" s="29">
        <v>550</v>
      </c>
      <c r="H827" s="25" t="s">
        <v>1832</v>
      </c>
      <c r="I827" s="25" t="s">
        <v>407</v>
      </c>
      <c r="J827" s="26"/>
    </row>
    <row r="828" spans="3:10" s="13" customFormat="1" ht="30.95" customHeight="1">
      <c r="C828" s="22">
        <f t="shared" si="12"/>
        <v>821</v>
      </c>
      <c r="D828" s="184" t="s">
        <v>2034</v>
      </c>
      <c r="E828" s="23" t="s">
        <v>1136</v>
      </c>
      <c r="F828" s="23" t="s">
        <v>1137</v>
      </c>
      <c r="G828" s="29">
        <v>413</v>
      </c>
      <c r="H828" s="25" t="s">
        <v>1832</v>
      </c>
      <c r="I828" s="25" t="s">
        <v>407</v>
      </c>
      <c r="J828" s="26"/>
    </row>
    <row r="829" spans="3:10" s="13" customFormat="1" ht="30.95" customHeight="1">
      <c r="C829" s="22">
        <f t="shared" si="12"/>
        <v>822</v>
      </c>
      <c r="D829" s="184" t="s">
        <v>2035</v>
      </c>
      <c r="E829" s="23" t="s">
        <v>1136</v>
      </c>
      <c r="F829" s="23" t="s">
        <v>1137</v>
      </c>
      <c r="G829" s="29">
        <v>490</v>
      </c>
      <c r="H829" s="25" t="s">
        <v>1832</v>
      </c>
      <c r="I829" s="25" t="s">
        <v>407</v>
      </c>
      <c r="J829" s="26"/>
    </row>
    <row r="830" spans="3:10" s="13" customFormat="1" ht="30.95" customHeight="1">
      <c r="C830" s="22">
        <f t="shared" si="12"/>
        <v>823</v>
      </c>
      <c r="D830" s="184" t="s">
        <v>2036</v>
      </c>
      <c r="E830" s="23" t="s">
        <v>1136</v>
      </c>
      <c r="F830" s="23" t="s">
        <v>1137</v>
      </c>
      <c r="G830" s="29">
        <v>400</v>
      </c>
      <c r="H830" s="25" t="s">
        <v>1832</v>
      </c>
      <c r="I830" s="25" t="s">
        <v>407</v>
      </c>
      <c r="J830" s="26"/>
    </row>
    <row r="831" spans="3:10" s="13" customFormat="1" ht="30.95" customHeight="1">
      <c r="C831" s="22">
        <f t="shared" si="12"/>
        <v>824</v>
      </c>
      <c r="D831" s="184" t="s">
        <v>2037</v>
      </c>
      <c r="E831" s="23" t="s">
        <v>1136</v>
      </c>
      <c r="F831" s="23" t="s">
        <v>1137</v>
      </c>
      <c r="G831" s="29">
        <v>180</v>
      </c>
      <c r="H831" s="25" t="s">
        <v>1833</v>
      </c>
      <c r="I831" s="25" t="s">
        <v>407</v>
      </c>
      <c r="J831" s="26"/>
    </row>
    <row r="832" spans="3:10" s="13" customFormat="1" ht="30.95" customHeight="1">
      <c r="C832" s="22">
        <f t="shared" si="12"/>
        <v>825</v>
      </c>
      <c r="D832" s="184" t="s">
        <v>2038</v>
      </c>
      <c r="E832" s="23" t="s">
        <v>1136</v>
      </c>
      <c r="F832" s="23" t="s">
        <v>1137</v>
      </c>
      <c r="G832" s="29">
        <v>510</v>
      </c>
      <c r="H832" s="25" t="s">
        <v>1833</v>
      </c>
      <c r="I832" s="25" t="s">
        <v>407</v>
      </c>
      <c r="J832" s="26"/>
    </row>
    <row r="833" spans="3:10" s="13" customFormat="1" ht="30.95" customHeight="1">
      <c r="C833" s="22">
        <f t="shared" si="12"/>
        <v>826</v>
      </c>
      <c r="D833" s="184" t="s">
        <v>2039</v>
      </c>
      <c r="E833" s="23" t="s">
        <v>1136</v>
      </c>
      <c r="F833" s="23" t="s">
        <v>1137</v>
      </c>
      <c r="G833" s="29">
        <v>510</v>
      </c>
      <c r="H833" s="25" t="s">
        <v>1833</v>
      </c>
      <c r="I833" s="25" t="s">
        <v>407</v>
      </c>
      <c r="J833" s="26"/>
    </row>
    <row r="834" spans="3:10" s="13" customFormat="1" ht="30.95" customHeight="1">
      <c r="C834" s="22">
        <f t="shared" si="12"/>
        <v>827</v>
      </c>
      <c r="D834" s="184" t="s">
        <v>2040</v>
      </c>
      <c r="E834" s="23" t="s">
        <v>1136</v>
      </c>
      <c r="F834" s="23" t="s">
        <v>1137</v>
      </c>
      <c r="G834" s="29">
        <v>442</v>
      </c>
      <c r="H834" s="25" t="s">
        <v>1833</v>
      </c>
      <c r="I834" s="25" t="s">
        <v>407</v>
      </c>
      <c r="J834" s="26"/>
    </row>
    <row r="835" spans="3:10" s="13" customFormat="1" ht="30.95" customHeight="1">
      <c r="C835" s="22">
        <f t="shared" si="12"/>
        <v>828</v>
      </c>
      <c r="D835" s="184" t="s">
        <v>2041</v>
      </c>
      <c r="E835" s="23" t="s">
        <v>1136</v>
      </c>
      <c r="F835" s="23" t="s">
        <v>1137</v>
      </c>
      <c r="G835" s="29">
        <v>220</v>
      </c>
      <c r="H835" s="25" t="s">
        <v>1834</v>
      </c>
      <c r="I835" s="25" t="s">
        <v>407</v>
      </c>
      <c r="J835" s="26"/>
    </row>
    <row r="836" spans="3:10" s="13" customFormat="1" ht="30.95" customHeight="1">
      <c r="C836" s="22">
        <f t="shared" si="12"/>
        <v>829</v>
      </c>
      <c r="D836" s="184" t="s">
        <v>2042</v>
      </c>
      <c r="E836" s="23" t="s">
        <v>1136</v>
      </c>
      <c r="F836" s="23" t="s">
        <v>1137</v>
      </c>
      <c r="G836" s="29">
        <v>900</v>
      </c>
      <c r="H836" s="25" t="s">
        <v>1834</v>
      </c>
      <c r="I836" s="25" t="s">
        <v>407</v>
      </c>
      <c r="J836" s="26"/>
    </row>
    <row r="837" spans="3:10" s="13" customFormat="1" ht="30.95" customHeight="1">
      <c r="C837" s="22">
        <f t="shared" si="12"/>
        <v>830</v>
      </c>
      <c r="D837" s="184" t="s">
        <v>2043</v>
      </c>
      <c r="E837" s="23" t="s">
        <v>1136</v>
      </c>
      <c r="F837" s="23" t="s">
        <v>1137</v>
      </c>
      <c r="G837" s="29">
        <v>640</v>
      </c>
      <c r="H837" s="25" t="s">
        <v>1834</v>
      </c>
      <c r="I837" s="25" t="s">
        <v>407</v>
      </c>
      <c r="J837" s="26"/>
    </row>
    <row r="838" spans="3:10" s="13" customFormat="1" ht="30.95" customHeight="1">
      <c r="C838" s="22">
        <f t="shared" si="12"/>
        <v>831</v>
      </c>
      <c r="D838" s="184" t="s">
        <v>2044</v>
      </c>
      <c r="E838" s="23" t="s">
        <v>1136</v>
      </c>
      <c r="F838" s="23" t="s">
        <v>1137</v>
      </c>
      <c r="G838" s="29">
        <v>500</v>
      </c>
      <c r="H838" s="25" t="s">
        <v>1834</v>
      </c>
      <c r="I838" s="25" t="s">
        <v>407</v>
      </c>
      <c r="J838" s="26"/>
    </row>
    <row r="839" spans="3:10" s="13" customFormat="1" ht="30.95" customHeight="1">
      <c r="C839" s="22">
        <f t="shared" si="12"/>
        <v>832</v>
      </c>
      <c r="D839" s="184" t="s">
        <v>2045</v>
      </c>
      <c r="E839" s="23" t="s">
        <v>1136</v>
      </c>
      <c r="F839" s="23" t="s">
        <v>1137</v>
      </c>
      <c r="G839" s="29">
        <v>2700</v>
      </c>
      <c r="H839" s="25" t="s">
        <v>1842</v>
      </c>
      <c r="I839" s="25" t="s">
        <v>407</v>
      </c>
      <c r="J839" s="26"/>
    </row>
    <row r="840" spans="3:10" s="13" customFormat="1" ht="30.95" customHeight="1">
      <c r="C840" s="22">
        <f t="shared" si="12"/>
        <v>833</v>
      </c>
      <c r="D840" s="184" t="s">
        <v>2046</v>
      </c>
      <c r="E840" s="23" t="s">
        <v>1136</v>
      </c>
      <c r="F840" s="23" t="s">
        <v>1137</v>
      </c>
      <c r="G840" s="29">
        <v>2200</v>
      </c>
      <c r="H840" s="25" t="s">
        <v>1842</v>
      </c>
      <c r="I840" s="25" t="s">
        <v>407</v>
      </c>
      <c r="J840" s="26"/>
    </row>
    <row r="841" spans="3:10" s="13" customFormat="1" ht="30.95" customHeight="1">
      <c r="C841" s="22">
        <f t="shared" si="12"/>
        <v>834</v>
      </c>
      <c r="D841" s="184" t="s">
        <v>2047</v>
      </c>
      <c r="E841" s="23" t="s">
        <v>1136</v>
      </c>
      <c r="F841" s="23" t="s">
        <v>1137</v>
      </c>
      <c r="G841" s="29">
        <v>734</v>
      </c>
      <c r="H841" s="25" t="s">
        <v>1842</v>
      </c>
      <c r="I841" s="25" t="s">
        <v>407</v>
      </c>
      <c r="J841" s="26"/>
    </row>
    <row r="842" spans="3:10" s="13" customFormat="1" ht="30.95" customHeight="1">
      <c r="C842" s="22">
        <f t="shared" ref="C842:C905" si="13">C841+1</f>
        <v>835</v>
      </c>
      <c r="D842" s="184" t="s">
        <v>2048</v>
      </c>
      <c r="E842" s="23" t="s">
        <v>1136</v>
      </c>
      <c r="F842" s="23" t="s">
        <v>1137</v>
      </c>
      <c r="G842" s="29">
        <v>410</v>
      </c>
      <c r="H842" s="25" t="s">
        <v>1843</v>
      </c>
      <c r="I842" s="25" t="s">
        <v>407</v>
      </c>
      <c r="J842" s="26"/>
    </row>
    <row r="843" spans="3:10" s="13" customFormat="1" ht="30.95" customHeight="1">
      <c r="C843" s="22">
        <f t="shared" si="13"/>
        <v>836</v>
      </c>
      <c r="D843" s="184" t="s">
        <v>2049</v>
      </c>
      <c r="E843" s="23" t="s">
        <v>1136</v>
      </c>
      <c r="F843" s="23" t="s">
        <v>1137</v>
      </c>
      <c r="G843" s="29">
        <v>358</v>
      </c>
      <c r="H843" s="25" t="s">
        <v>1843</v>
      </c>
      <c r="I843" s="25" t="s">
        <v>407</v>
      </c>
      <c r="J843" s="26"/>
    </row>
    <row r="844" spans="3:10" s="13" customFormat="1" ht="30.95" customHeight="1">
      <c r="C844" s="22">
        <f t="shared" si="13"/>
        <v>837</v>
      </c>
      <c r="D844" s="184" t="s">
        <v>2050</v>
      </c>
      <c r="E844" s="23" t="s">
        <v>1136</v>
      </c>
      <c r="F844" s="23" t="s">
        <v>1137</v>
      </c>
      <c r="G844" s="29">
        <v>548</v>
      </c>
      <c r="H844" s="25" t="s">
        <v>1843</v>
      </c>
      <c r="I844" s="25" t="s">
        <v>407</v>
      </c>
      <c r="J844" s="26"/>
    </row>
    <row r="845" spans="3:10" s="13" customFormat="1" ht="30.95" customHeight="1">
      <c r="C845" s="22">
        <f t="shared" si="13"/>
        <v>838</v>
      </c>
      <c r="D845" s="184" t="s">
        <v>2051</v>
      </c>
      <c r="E845" s="23" t="s">
        <v>1136</v>
      </c>
      <c r="F845" s="23" t="s">
        <v>1137</v>
      </c>
      <c r="G845" s="29">
        <v>1097</v>
      </c>
      <c r="H845" s="25" t="s">
        <v>1843</v>
      </c>
      <c r="I845" s="25" t="s">
        <v>407</v>
      </c>
      <c r="J845" s="26"/>
    </row>
    <row r="846" spans="3:10" s="13" customFormat="1" ht="30.95" customHeight="1">
      <c r="C846" s="22">
        <f t="shared" si="13"/>
        <v>839</v>
      </c>
      <c r="D846" s="184" t="s">
        <v>2052</v>
      </c>
      <c r="E846" s="23" t="s">
        <v>1136</v>
      </c>
      <c r="F846" s="23" t="s">
        <v>1137</v>
      </c>
      <c r="G846" s="29">
        <v>450</v>
      </c>
      <c r="H846" s="25" t="s">
        <v>1844</v>
      </c>
      <c r="I846" s="25" t="s">
        <v>407</v>
      </c>
      <c r="J846" s="26"/>
    </row>
    <row r="847" spans="3:10" s="13" customFormat="1" ht="30.95" customHeight="1">
      <c r="C847" s="22">
        <f t="shared" si="13"/>
        <v>840</v>
      </c>
      <c r="D847" s="184" t="s">
        <v>2053</v>
      </c>
      <c r="E847" s="23" t="s">
        <v>1136</v>
      </c>
      <c r="F847" s="23" t="s">
        <v>1137</v>
      </c>
      <c r="G847" s="29">
        <v>570</v>
      </c>
      <c r="H847" s="25" t="s">
        <v>1844</v>
      </c>
      <c r="I847" s="25" t="s">
        <v>407</v>
      </c>
      <c r="J847" s="26"/>
    </row>
    <row r="848" spans="3:10" s="13" customFormat="1" ht="30.95" customHeight="1">
      <c r="C848" s="22">
        <f t="shared" si="13"/>
        <v>841</v>
      </c>
      <c r="D848" s="184" t="s">
        <v>2054</v>
      </c>
      <c r="E848" s="23" t="s">
        <v>1136</v>
      </c>
      <c r="F848" s="23" t="s">
        <v>1137</v>
      </c>
      <c r="G848" s="29">
        <v>514</v>
      </c>
      <c r="H848" s="25" t="s">
        <v>1844</v>
      </c>
      <c r="I848" s="25" t="s">
        <v>407</v>
      </c>
      <c r="J848" s="26"/>
    </row>
    <row r="849" spans="3:10" s="13" customFormat="1" ht="30.95" customHeight="1">
      <c r="C849" s="22">
        <f t="shared" si="13"/>
        <v>842</v>
      </c>
      <c r="D849" s="184" t="s">
        <v>2055</v>
      </c>
      <c r="E849" s="23" t="s">
        <v>1136</v>
      </c>
      <c r="F849" s="23" t="s">
        <v>1137</v>
      </c>
      <c r="G849" s="29">
        <v>1100</v>
      </c>
      <c r="H849" s="25" t="s">
        <v>1844</v>
      </c>
      <c r="I849" s="25" t="s">
        <v>407</v>
      </c>
      <c r="J849" s="26"/>
    </row>
    <row r="850" spans="3:10" s="13" customFormat="1" ht="30.95" customHeight="1">
      <c r="C850" s="22">
        <f t="shared" si="13"/>
        <v>843</v>
      </c>
      <c r="D850" s="184" t="s">
        <v>2056</v>
      </c>
      <c r="E850" s="23" t="s">
        <v>1136</v>
      </c>
      <c r="F850" s="23" t="s">
        <v>1137</v>
      </c>
      <c r="G850" s="29">
        <v>800</v>
      </c>
      <c r="H850" s="25" t="s">
        <v>1844</v>
      </c>
      <c r="I850" s="25" t="s">
        <v>407</v>
      </c>
      <c r="J850" s="26"/>
    </row>
    <row r="851" spans="3:10" s="13" customFormat="1" ht="30.95" customHeight="1">
      <c r="C851" s="22">
        <f t="shared" si="13"/>
        <v>844</v>
      </c>
      <c r="D851" s="184" t="s">
        <v>2057</v>
      </c>
      <c r="E851" s="23" t="s">
        <v>1136</v>
      </c>
      <c r="F851" s="23" t="s">
        <v>1137</v>
      </c>
      <c r="G851" s="29">
        <v>528</v>
      </c>
      <c r="H851" s="25" t="s">
        <v>1845</v>
      </c>
      <c r="I851" s="25" t="s">
        <v>407</v>
      </c>
      <c r="J851" s="26"/>
    </row>
    <row r="852" spans="3:10" s="13" customFormat="1" ht="30.95" customHeight="1">
      <c r="C852" s="22">
        <f t="shared" si="13"/>
        <v>845</v>
      </c>
      <c r="D852" s="184" t="s">
        <v>2058</v>
      </c>
      <c r="E852" s="23" t="s">
        <v>1136</v>
      </c>
      <c r="F852" s="23" t="s">
        <v>1137</v>
      </c>
      <c r="G852" s="29">
        <v>150</v>
      </c>
      <c r="H852" s="25" t="s">
        <v>1845</v>
      </c>
      <c r="I852" s="25" t="s">
        <v>407</v>
      </c>
      <c r="J852" s="26"/>
    </row>
    <row r="853" spans="3:10" s="13" customFormat="1" ht="30.95" customHeight="1">
      <c r="C853" s="22">
        <f t="shared" si="13"/>
        <v>846</v>
      </c>
      <c r="D853" s="184" t="s">
        <v>2059</v>
      </c>
      <c r="E853" s="23" t="s">
        <v>1136</v>
      </c>
      <c r="F853" s="23" t="s">
        <v>1137</v>
      </c>
      <c r="G853" s="29">
        <v>560</v>
      </c>
      <c r="H853" s="25" t="s">
        <v>1845</v>
      </c>
      <c r="I853" s="25" t="s">
        <v>407</v>
      </c>
      <c r="J853" s="26"/>
    </row>
    <row r="854" spans="3:10" s="13" customFormat="1" ht="30.95" customHeight="1">
      <c r="C854" s="22">
        <f t="shared" si="13"/>
        <v>847</v>
      </c>
      <c r="D854" s="184" t="s">
        <v>2060</v>
      </c>
      <c r="E854" s="23" t="s">
        <v>1136</v>
      </c>
      <c r="F854" s="23" t="s">
        <v>1137</v>
      </c>
      <c r="G854" s="29">
        <v>850</v>
      </c>
      <c r="H854" s="25" t="s">
        <v>1846</v>
      </c>
      <c r="I854" s="25" t="s">
        <v>407</v>
      </c>
      <c r="J854" s="26"/>
    </row>
    <row r="855" spans="3:10" s="13" customFormat="1" ht="30.95" customHeight="1">
      <c r="C855" s="22">
        <f t="shared" si="13"/>
        <v>848</v>
      </c>
      <c r="D855" s="184" t="s">
        <v>2061</v>
      </c>
      <c r="E855" s="23" t="s">
        <v>1136</v>
      </c>
      <c r="F855" s="23" t="s">
        <v>1137</v>
      </c>
      <c r="G855" s="29">
        <v>880</v>
      </c>
      <c r="H855" s="25" t="s">
        <v>1846</v>
      </c>
      <c r="I855" s="25" t="s">
        <v>407</v>
      </c>
      <c r="J855" s="26"/>
    </row>
    <row r="856" spans="3:10" s="13" customFormat="1" ht="30.95" customHeight="1">
      <c r="C856" s="22">
        <f t="shared" si="13"/>
        <v>849</v>
      </c>
      <c r="D856" s="184" t="s">
        <v>2062</v>
      </c>
      <c r="E856" s="23" t="s">
        <v>1136</v>
      </c>
      <c r="F856" s="23" t="s">
        <v>1137</v>
      </c>
      <c r="G856" s="29">
        <v>896</v>
      </c>
      <c r="H856" s="25" t="s">
        <v>1850</v>
      </c>
      <c r="I856" s="25" t="s">
        <v>407</v>
      </c>
      <c r="J856" s="26"/>
    </row>
    <row r="857" spans="3:10" s="13" customFormat="1" ht="30.95" customHeight="1">
      <c r="C857" s="22">
        <f t="shared" si="13"/>
        <v>850</v>
      </c>
      <c r="D857" s="184" t="s">
        <v>2063</v>
      </c>
      <c r="E857" s="23" t="s">
        <v>1136</v>
      </c>
      <c r="F857" s="23" t="s">
        <v>1137</v>
      </c>
      <c r="G857" s="29">
        <v>582</v>
      </c>
      <c r="H857" s="25" t="s">
        <v>1850</v>
      </c>
      <c r="I857" s="25" t="s">
        <v>407</v>
      </c>
      <c r="J857" s="26"/>
    </row>
    <row r="858" spans="3:10" s="13" customFormat="1" ht="30.95" customHeight="1">
      <c r="C858" s="22">
        <f t="shared" si="13"/>
        <v>851</v>
      </c>
      <c r="D858" s="184" t="s">
        <v>2064</v>
      </c>
      <c r="E858" s="23" t="s">
        <v>1136</v>
      </c>
      <c r="F858" s="23" t="s">
        <v>1137</v>
      </c>
      <c r="G858" s="29">
        <v>690</v>
      </c>
      <c r="H858" s="25" t="s">
        <v>1850</v>
      </c>
      <c r="I858" s="25" t="s">
        <v>407</v>
      </c>
      <c r="J858" s="26"/>
    </row>
    <row r="859" spans="3:10" s="13" customFormat="1" ht="30.95" customHeight="1">
      <c r="C859" s="22">
        <f t="shared" si="13"/>
        <v>852</v>
      </c>
      <c r="D859" s="184" t="s">
        <v>2065</v>
      </c>
      <c r="E859" s="23" t="s">
        <v>1136</v>
      </c>
      <c r="F859" s="23" t="s">
        <v>1137</v>
      </c>
      <c r="G859" s="29">
        <v>500</v>
      </c>
      <c r="H859" s="25" t="s">
        <v>1850</v>
      </c>
      <c r="I859" s="25" t="s">
        <v>407</v>
      </c>
      <c r="J859" s="26"/>
    </row>
    <row r="860" spans="3:10" s="13" customFormat="1" ht="30.95" customHeight="1">
      <c r="C860" s="22">
        <f t="shared" si="13"/>
        <v>853</v>
      </c>
      <c r="D860" s="184" t="s">
        <v>2066</v>
      </c>
      <c r="E860" s="23" t="s">
        <v>1136</v>
      </c>
      <c r="F860" s="23" t="s">
        <v>1137</v>
      </c>
      <c r="G860" s="29">
        <v>649</v>
      </c>
      <c r="H860" s="25" t="s">
        <v>1851</v>
      </c>
      <c r="I860" s="25" t="s">
        <v>407</v>
      </c>
      <c r="J860" s="26"/>
    </row>
    <row r="861" spans="3:10" s="13" customFormat="1" ht="30.95" customHeight="1">
      <c r="C861" s="22">
        <f t="shared" si="13"/>
        <v>854</v>
      </c>
      <c r="D861" s="184" t="s">
        <v>2067</v>
      </c>
      <c r="E861" s="23" t="s">
        <v>1136</v>
      </c>
      <c r="F861" s="23" t="s">
        <v>1137</v>
      </c>
      <c r="G861" s="29">
        <v>720</v>
      </c>
      <c r="H861" s="25" t="s">
        <v>1852</v>
      </c>
      <c r="I861" s="25" t="s">
        <v>407</v>
      </c>
      <c r="J861" s="26"/>
    </row>
    <row r="862" spans="3:10" s="13" customFormat="1" ht="30.95" customHeight="1">
      <c r="C862" s="22">
        <f t="shared" si="13"/>
        <v>855</v>
      </c>
      <c r="D862" s="184" t="s">
        <v>2068</v>
      </c>
      <c r="E862" s="23" t="s">
        <v>1136</v>
      </c>
      <c r="F862" s="23" t="s">
        <v>1137</v>
      </c>
      <c r="G862" s="29">
        <v>720</v>
      </c>
      <c r="H862" s="25" t="s">
        <v>1852</v>
      </c>
      <c r="I862" s="25" t="s">
        <v>407</v>
      </c>
      <c r="J862" s="26"/>
    </row>
    <row r="863" spans="3:10" s="13" customFormat="1" ht="30.95" customHeight="1">
      <c r="C863" s="22">
        <f t="shared" si="13"/>
        <v>856</v>
      </c>
      <c r="D863" s="184" t="s">
        <v>2069</v>
      </c>
      <c r="E863" s="23" t="s">
        <v>1136</v>
      </c>
      <c r="F863" s="23" t="s">
        <v>1137</v>
      </c>
      <c r="G863" s="29">
        <v>938</v>
      </c>
      <c r="H863" s="25" t="s">
        <v>1852</v>
      </c>
      <c r="I863" s="25" t="s">
        <v>407</v>
      </c>
      <c r="J863" s="26"/>
    </row>
    <row r="864" spans="3:10" s="13" customFormat="1" ht="30.95" customHeight="1">
      <c r="C864" s="22">
        <f t="shared" si="13"/>
        <v>857</v>
      </c>
      <c r="D864" s="184" t="s">
        <v>2070</v>
      </c>
      <c r="E864" s="23" t="s">
        <v>1136</v>
      </c>
      <c r="F864" s="23" t="s">
        <v>1137</v>
      </c>
      <c r="G864" s="29">
        <v>286</v>
      </c>
      <c r="H864" s="25" t="s">
        <v>1859</v>
      </c>
      <c r="I864" s="25" t="s">
        <v>407</v>
      </c>
      <c r="J864" s="26"/>
    </row>
    <row r="865" spans="3:10" s="13" customFormat="1" ht="30.95" customHeight="1">
      <c r="C865" s="22">
        <f t="shared" si="13"/>
        <v>858</v>
      </c>
      <c r="D865" s="184" t="s">
        <v>2071</v>
      </c>
      <c r="E865" s="23" t="s">
        <v>1136</v>
      </c>
      <c r="F865" s="23" t="s">
        <v>1137</v>
      </c>
      <c r="G865" s="29">
        <v>240</v>
      </c>
      <c r="H865" s="25" t="s">
        <v>1859</v>
      </c>
      <c r="I865" s="25" t="s">
        <v>407</v>
      </c>
      <c r="J865" s="26"/>
    </row>
    <row r="866" spans="3:10" s="13" customFormat="1" ht="30.95" customHeight="1">
      <c r="C866" s="22">
        <f t="shared" si="13"/>
        <v>859</v>
      </c>
      <c r="D866" s="184" t="s">
        <v>2072</v>
      </c>
      <c r="E866" s="23" t="s">
        <v>1136</v>
      </c>
      <c r="F866" s="23" t="s">
        <v>1137</v>
      </c>
      <c r="G866" s="29">
        <v>100</v>
      </c>
      <c r="H866" s="25" t="s">
        <v>1859</v>
      </c>
      <c r="I866" s="25" t="s">
        <v>407</v>
      </c>
      <c r="J866" s="26"/>
    </row>
    <row r="867" spans="3:10" s="13" customFormat="1" ht="30.95" customHeight="1">
      <c r="C867" s="22">
        <f t="shared" si="13"/>
        <v>860</v>
      </c>
      <c r="D867" s="184" t="s">
        <v>2073</v>
      </c>
      <c r="E867" s="23" t="s">
        <v>1136</v>
      </c>
      <c r="F867" s="23" t="s">
        <v>1137</v>
      </c>
      <c r="G867" s="29">
        <v>144</v>
      </c>
      <c r="H867" s="25" t="s">
        <v>1860</v>
      </c>
      <c r="I867" s="25" t="s">
        <v>407</v>
      </c>
      <c r="J867" s="26"/>
    </row>
    <row r="868" spans="3:10" s="13" customFormat="1" ht="30.95" customHeight="1">
      <c r="C868" s="22">
        <f t="shared" si="13"/>
        <v>861</v>
      </c>
      <c r="D868" s="184" t="s">
        <v>2074</v>
      </c>
      <c r="E868" s="23" t="s">
        <v>1136</v>
      </c>
      <c r="F868" s="23" t="s">
        <v>1137</v>
      </c>
      <c r="G868" s="29">
        <v>150</v>
      </c>
      <c r="H868" s="25" t="s">
        <v>1860</v>
      </c>
      <c r="I868" s="25" t="s">
        <v>407</v>
      </c>
      <c r="J868" s="26"/>
    </row>
    <row r="869" spans="3:10" s="13" customFormat="1" ht="30.95" customHeight="1">
      <c r="C869" s="22">
        <f t="shared" si="13"/>
        <v>862</v>
      </c>
      <c r="D869" s="184" t="s">
        <v>2075</v>
      </c>
      <c r="E869" s="23" t="s">
        <v>1136</v>
      </c>
      <c r="F869" s="23" t="s">
        <v>1137</v>
      </c>
      <c r="G869" s="29">
        <v>267</v>
      </c>
      <c r="H869" s="25" t="s">
        <v>1860</v>
      </c>
      <c r="I869" s="25" t="s">
        <v>407</v>
      </c>
      <c r="J869" s="26"/>
    </row>
    <row r="870" spans="3:10" s="13" customFormat="1" ht="30.95" customHeight="1">
      <c r="C870" s="22">
        <f t="shared" si="13"/>
        <v>863</v>
      </c>
      <c r="D870" s="184" t="s">
        <v>2076</v>
      </c>
      <c r="E870" s="23" t="s">
        <v>1136</v>
      </c>
      <c r="F870" s="23" t="s">
        <v>1137</v>
      </c>
      <c r="G870" s="29">
        <v>250</v>
      </c>
      <c r="H870" s="25" t="s">
        <v>1858</v>
      </c>
      <c r="I870" s="25" t="s">
        <v>407</v>
      </c>
      <c r="J870" s="26"/>
    </row>
    <row r="871" spans="3:10" s="13" customFormat="1" ht="30.95" customHeight="1">
      <c r="C871" s="22">
        <f t="shared" si="13"/>
        <v>864</v>
      </c>
      <c r="D871" s="184" t="s">
        <v>2077</v>
      </c>
      <c r="E871" s="23" t="s">
        <v>1136</v>
      </c>
      <c r="F871" s="23" t="s">
        <v>1137</v>
      </c>
      <c r="G871" s="29">
        <v>360</v>
      </c>
      <c r="H871" s="25" t="s">
        <v>1858</v>
      </c>
      <c r="I871" s="25" t="s">
        <v>407</v>
      </c>
      <c r="J871" s="26"/>
    </row>
    <row r="872" spans="3:10" s="13" customFormat="1" ht="30.95" customHeight="1">
      <c r="C872" s="22">
        <f t="shared" si="13"/>
        <v>865</v>
      </c>
      <c r="D872" s="184" t="s">
        <v>2078</v>
      </c>
      <c r="E872" s="23" t="s">
        <v>1136</v>
      </c>
      <c r="F872" s="23" t="s">
        <v>1137</v>
      </c>
      <c r="G872" s="29">
        <v>206</v>
      </c>
      <c r="H872" s="25" t="s">
        <v>1858</v>
      </c>
      <c r="I872" s="25" t="s">
        <v>407</v>
      </c>
      <c r="J872" s="26"/>
    </row>
    <row r="873" spans="3:10" s="13" customFormat="1" ht="30.95" customHeight="1">
      <c r="C873" s="22">
        <f t="shared" si="13"/>
        <v>866</v>
      </c>
      <c r="D873" s="184" t="s">
        <v>2079</v>
      </c>
      <c r="E873" s="23" t="s">
        <v>1136</v>
      </c>
      <c r="F873" s="23" t="s">
        <v>1137</v>
      </c>
      <c r="G873" s="29">
        <v>347</v>
      </c>
      <c r="H873" s="25" t="s">
        <v>1858</v>
      </c>
      <c r="I873" s="25" t="s">
        <v>407</v>
      </c>
      <c r="J873" s="26"/>
    </row>
    <row r="874" spans="3:10" s="13" customFormat="1" ht="30.95" customHeight="1">
      <c r="C874" s="22">
        <f t="shared" si="13"/>
        <v>867</v>
      </c>
      <c r="D874" s="184" t="s">
        <v>2080</v>
      </c>
      <c r="E874" s="23" t="s">
        <v>1136</v>
      </c>
      <c r="F874" s="23" t="s">
        <v>1137</v>
      </c>
      <c r="G874" s="29">
        <v>400</v>
      </c>
      <c r="H874" s="25" t="s">
        <v>1858</v>
      </c>
      <c r="I874" s="25" t="s">
        <v>407</v>
      </c>
      <c r="J874" s="26"/>
    </row>
    <row r="875" spans="3:10" s="13" customFormat="1" ht="30.95" customHeight="1">
      <c r="C875" s="22">
        <f t="shared" si="13"/>
        <v>868</v>
      </c>
      <c r="D875" s="184" t="s">
        <v>2081</v>
      </c>
      <c r="E875" s="23" t="s">
        <v>1136</v>
      </c>
      <c r="F875" s="23" t="s">
        <v>1137</v>
      </c>
      <c r="G875" s="29">
        <v>332</v>
      </c>
      <c r="H875" s="25" t="s">
        <v>1858</v>
      </c>
      <c r="I875" s="25" t="s">
        <v>407</v>
      </c>
      <c r="J875" s="26"/>
    </row>
    <row r="876" spans="3:10" s="13" customFormat="1" ht="30.95" customHeight="1">
      <c r="C876" s="22">
        <f t="shared" si="13"/>
        <v>869</v>
      </c>
      <c r="D876" s="184" t="s">
        <v>2082</v>
      </c>
      <c r="E876" s="23" t="s">
        <v>1136</v>
      </c>
      <c r="F876" s="23" t="s">
        <v>1137</v>
      </c>
      <c r="G876" s="29">
        <v>337</v>
      </c>
      <c r="H876" s="25" t="s">
        <v>1858</v>
      </c>
      <c r="I876" s="25" t="s">
        <v>407</v>
      </c>
      <c r="J876" s="26"/>
    </row>
    <row r="877" spans="3:10" s="13" customFormat="1" ht="30.95" customHeight="1">
      <c r="C877" s="22">
        <f t="shared" si="13"/>
        <v>870</v>
      </c>
      <c r="D877" s="184" t="s">
        <v>2083</v>
      </c>
      <c r="E877" s="23" t="s">
        <v>1136</v>
      </c>
      <c r="F877" s="23" t="s">
        <v>1137</v>
      </c>
      <c r="G877" s="29">
        <v>321</v>
      </c>
      <c r="H877" s="25" t="s">
        <v>1861</v>
      </c>
      <c r="I877" s="25" t="s">
        <v>407</v>
      </c>
      <c r="J877" s="26"/>
    </row>
    <row r="878" spans="3:10" s="13" customFormat="1" ht="30.95" customHeight="1">
      <c r="C878" s="22">
        <f t="shared" si="13"/>
        <v>871</v>
      </c>
      <c r="D878" s="184" t="s">
        <v>2084</v>
      </c>
      <c r="E878" s="23" t="s">
        <v>1136</v>
      </c>
      <c r="F878" s="23" t="s">
        <v>1137</v>
      </c>
      <c r="G878" s="29">
        <v>735</v>
      </c>
      <c r="H878" s="25" t="s">
        <v>1861</v>
      </c>
      <c r="I878" s="25" t="s">
        <v>407</v>
      </c>
      <c r="J878" s="26"/>
    </row>
    <row r="879" spans="3:10" s="13" customFormat="1" ht="30.95" customHeight="1">
      <c r="C879" s="22">
        <f t="shared" si="13"/>
        <v>872</v>
      </c>
      <c r="D879" s="184" t="s">
        <v>2085</v>
      </c>
      <c r="E879" s="23" t="s">
        <v>1136</v>
      </c>
      <c r="F879" s="23" t="s">
        <v>1137</v>
      </c>
      <c r="G879" s="29">
        <v>268</v>
      </c>
      <c r="H879" s="25" t="s">
        <v>1861</v>
      </c>
      <c r="I879" s="25" t="s">
        <v>407</v>
      </c>
      <c r="J879" s="26"/>
    </row>
    <row r="880" spans="3:10" s="13" customFormat="1" ht="30.95" customHeight="1">
      <c r="C880" s="22">
        <f t="shared" si="13"/>
        <v>873</v>
      </c>
      <c r="D880" s="184" t="s">
        <v>2086</v>
      </c>
      <c r="E880" s="23" t="s">
        <v>1136</v>
      </c>
      <c r="F880" s="23" t="s">
        <v>1137</v>
      </c>
      <c r="G880" s="29">
        <v>716</v>
      </c>
      <c r="H880" s="25" t="s">
        <v>1861</v>
      </c>
      <c r="I880" s="25" t="s">
        <v>407</v>
      </c>
      <c r="J880" s="26"/>
    </row>
    <row r="881" spans="3:10" s="13" customFormat="1" ht="30.95" customHeight="1">
      <c r="C881" s="22">
        <f t="shared" si="13"/>
        <v>874</v>
      </c>
      <c r="D881" s="184" t="s">
        <v>2087</v>
      </c>
      <c r="E881" s="23" t="s">
        <v>1136</v>
      </c>
      <c r="F881" s="23" t="s">
        <v>1137</v>
      </c>
      <c r="G881" s="29">
        <v>424</v>
      </c>
      <c r="H881" s="25" t="s">
        <v>1861</v>
      </c>
      <c r="I881" s="25" t="s">
        <v>407</v>
      </c>
      <c r="J881" s="26"/>
    </row>
    <row r="882" spans="3:10" s="13" customFormat="1" ht="30.95" customHeight="1">
      <c r="C882" s="22">
        <f t="shared" si="13"/>
        <v>875</v>
      </c>
      <c r="D882" s="184" t="s">
        <v>2088</v>
      </c>
      <c r="E882" s="23" t="s">
        <v>1136</v>
      </c>
      <c r="F882" s="23" t="s">
        <v>1137</v>
      </c>
      <c r="G882" s="29">
        <v>321</v>
      </c>
      <c r="H882" s="25" t="s">
        <v>1861</v>
      </c>
      <c r="I882" s="25" t="s">
        <v>407</v>
      </c>
      <c r="J882" s="26"/>
    </row>
    <row r="883" spans="3:10" s="13" customFormat="1" ht="30.95" customHeight="1">
      <c r="C883" s="22">
        <f t="shared" si="13"/>
        <v>876</v>
      </c>
      <c r="D883" s="184" t="s">
        <v>2089</v>
      </c>
      <c r="E883" s="23" t="s">
        <v>1136</v>
      </c>
      <c r="F883" s="23" t="s">
        <v>1137</v>
      </c>
      <c r="G883" s="29">
        <v>620</v>
      </c>
      <c r="H883" s="25" t="s">
        <v>1862</v>
      </c>
      <c r="I883" s="25" t="s">
        <v>407</v>
      </c>
      <c r="J883" s="26"/>
    </row>
    <row r="884" spans="3:10" s="13" customFormat="1" ht="30.95" customHeight="1">
      <c r="C884" s="22">
        <f t="shared" si="13"/>
        <v>877</v>
      </c>
      <c r="D884" s="184" t="s">
        <v>2090</v>
      </c>
      <c r="E884" s="23" t="s">
        <v>1136</v>
      </c>
      <c r="F884" s="23" t="s">
        <v>1137</v>
      </c>
      <c r="G884" s="29">
        <v>320</v>
      </c>
      <c r="H884" s="25" t="s">
        <v>1862</v>
      </c>
      <c r="I884" s="25" t="s">
        <v>407</v>
      </c>
      <c r="J884" s="26"/>
    </row>
    <row r="885" spans="3:10" s="13" customFormat="1" ht="30.95" customHeight="1">
      <c r="C885" s="22">
        <f t="shared" si="13"/>
        <v>878</v>
      </c>
      <c r="D885" s="184" t="s">
        <v>2091</v>
      </c>
      <c r="E885" s="23" t="s">
        <v>1136</v>
      </c>
      <c r="F885" s="23" t="s">
        <v>1137</v>
      </c>
      <c r="G885" s="29">
        <v>50</v>
      </c>
      <c r="H885" s="25" t="s">
        <v>1868</v>
      </c>
      <c r="I885" s="25" t="s">
        <v>407</v>
      </c>
      <c r="J885" s="26"/>
    </row>
    <row r="886" spans="3:10" s="13" customFormat="1" ht="30.95" customHeight="1">
      <c r="C886" s="22">
        <f t="shared" si="13"/>
        <v>879</v>
      </c>
      <c r="D886" s="184" t="s">
        <v>2092</v>
      </c>
      <c r="E886" s="23" t="s">
        <v>1136</v>
      </c>
      <c r="F886" s="23" t="s">
        <v>1137</v>
      </c>
      <c r="G886" s="29">
        <v>130</v>
      </c>
      <c r="H886" s="25" t="s">
        <v>1868</v>
      </c>
      <c r="I886" s="25" t="s">
        <v>407</v>
      </c>
      <c r="J886" s="26"/>
    </row>
    <row r="887" spans="3:10" s="13" customFormat="1" ht="30.95" customHeight="1">
      <c r="C887" s="22">
        <f t="shared" si="13"/>
        <v>880</v>
      </c>
      <c r="D887" s="184" t="s">
        <v>2093</v>
      </c>
      <c r="E887" s="23" t="s">
        <v>1136</v>
      </c>
      <c r="F887" s="23" t="s">
        <v>1137</v>
      </c>
      <c r="G887" s="29">
        <v>185</v>
      </c>
      <c r="H887" s="25" t="s">
        <v>1868</v>
      </c>
      <c r="I887" s="25" t="s">
        <v>407</v>
      </c>
      <c r="J887" s="26"/>
    </row>
    <row r="888" spans="3:10" s="13" customFormat="1" ht="30.95" customHeight="1">
      <c r="C888" s="22">
        <f t="shared" si="13"/>
        <v>881</v>
      </c>
      <c r="D888" s="184" t="s">
        <v>2094</v>
      </c>
      <c r="E888" s="23" t="s">
        <v>1136</v>
      </c>
      <c r="F888" s="23" t="s">
        <v>1137</v>
      </c>
      <c r="G888" s="29">
        <v>150</v>
      </c>
      <c r="H888" s="25" t="s">
        <v>1868</v>
      </c>
      <c r="I888" s="25" t="s">
        <v>407</v>
      </c>
      <c r="J888" s="26"/>
    </row>
    <row r="889" spans="3:10" s="13" customFormat="1" ht="30.95" customHeight="1">
      <c r="C889" s="22">
        <f t="shared" si="13"/>
        <v>882</v>
      </c>
      <c r="D889" s="184" t="s">
        <v>2095</v>
      </c>
      <c r="E889" s="23" t="s">
        <v>1136</v>
      </c>
      <c r="F889" s="23" t="s">
        <v>1137</v>
      </c>
      <c r="G889" s="29">
        <v>268</v>
      </c>
      <c r="H889" s="25" t="s">
        <v>1868</v>
      </c>
      <c r="I889" s="25" t="s">
        <v>407</v>
      </c>
      <c r="J889" s="26"/>
    </row>
    <row r="890" spans="3:10" s="13" customFormat="1" ht="30.95" customHeight="1">
      <c r="C890" s="22">
        <f t="shared" si="13"/>
        <v>883</v>
      </c>
      <c r="D890" s="184" t="s">
        <v>2096</v>
      </c>
      <c r="E890" s="23" t="s">
        <v>1136</v>
      </c>
      <c r="F890" s="23" t="s">
        <v>1137</v>
      </c>
      <c r="G890" s="29">
        <v>200</v>
      </c>
      <c r="H890" s="25" t="s">
        <v>1870</v>
      </c>
      <c r="I890" s="25" t="s">
        <v>407</v>
      </c>
      <c r="J890" s="26"/>
    </row>
    <row r="891" spans="3:10" s="13" customFormat="1" ht="30.95" customHeight="1">
      <c r="C891" s="22">
        <f t="shared" si="13"/>
        <v>884</v>
      </c>
      <c r="D891" s="184" t="s">
        <v>2097</v>
      </c>
      <c r="E891" s="23" t="s">
        <v>1136</v>
      </c>
      <c r="F891" s="23" t="s">
        <v>1137</v>
      </c>
      <c r="G891" s="29">
        <v>140</v>
      </c>
      <c r="H891" s="25" t="s">
        <v>1870</v>
      </c>
      <c r="I891" s="25" t="s">
        <v>407</v>
      </c>
      <c r="J891" s="26"/>
    </row>
    <row r="892" spans="3:10" s="13" customFormat="1" ht="30.95" customHeight="1">
      <c r="C892" s="22">
        <f t="shared" si="13"/>
        <v>885</v>
      </c>
      <c r="D892" s="184" t="s">
        <v>2098</v>
      </c>
      <c r="E892" s="23" t="s">
        <v>1136</v>
      </c>
      <c r="F892" s="23" t="s">
        <v>1137</v>
      </c>
      <c r="G892" s="29">
        <v>150</v>
      </c>
      <c r="H892" s="25" t="s">
        <v>1870</v>
      </c>
      <c r="I892" s="25" t="s">
        <v>407</v>
      </c>
      <c r="J892" s="26"/>
    </row>
    <row r="893" spans="3:10" s="13" customFormat="1" ht="30.95" customHeight="1">
      <c r="C893" s="22">
        <f t="shared" si="13"/>
        <v>886</v>
      </c>
      <c r="D893" s="184" t="s">
        <v>2099</v>
      </c>
      <c r="E893" s="23" t="s">
        <v>1136</v>
      </c>
      <c r="F893" s="23" t="s">
        <v>1137</v>
      </c>
      <c r="G893" s="29">
        <v>100</v>
      </c>
      <c r="H893" s="25" t="s">
        <v>1870</v>
      </c>
      <c r="I893" s="25" t="s">
        <v>407</v>
      </c>
      <c r="J893" s="26"/>
    </row>
    <row r="894" spans="3:10" s="13" customFormat="1" ht="30.95" customHeight="1">
      <c r="C894" s="22">
        <f t="shared" si="13"/>
        <v>887</v>
      </c>
      <c r="D894" s="184" t="s">
        <v>2100</v>
      </c>
      <c r="E894" s="23" t="s">
        <v>1136</v>
      </c>
      <c r="F894" s="23" t="s">
        <v>1137</v>
      </c>
      <c r="G894" s="29">
        <v>200</v>
      </c>
      <c r="H894" s="25" t="s">
        <v>1870</v>
      </c>
      <c r="I894" s="25" t="s">
        <v>407</v>
      </c>
      <c r="J894" s="26"/>
    </row>
    <row r="895" spans="3:10" s="13" customFormat="1" ht="30.95" customHeight="1">
      <c r="C895" s="22">
        <f t="shared" si="13"/>
        <v>888</v>
      </c>
      <c r="D895" s="184" t="s">
        <v>2101</v>
      </c>
      <c r="E895" s="23" t="s">
        <v>1136</v>
      </c>
      <c r="F895" s="23" t="s">
        <v>1137</v>
      </c>
      <c r="G895" s="29">
        <v>675</v>
      </c>
      <c r="H895" s="25" t="s">
        <v>1863</v>
      </c>
      <c r="I895" s="25" t="s">
        <v>407</v>
      </c>
      <c r="J895" s="26"/>
    </row>
    <row r="896" spans="3:10" s="13" customFormat="1" ht="30.95" customHeight="1">
      <c r="C896" s="22">
        <f t="shared" si="13"/>
        <v>889</v>
      </c>
      <c r="D896" s="184" t="s">
        <v>2102</v>
      </c>
      <c r="E896" s="23" t="s">
        <v>1136</v>
      </c>
      <c r="F896" s="23" t="s">
        <v>1137</v>
      </c>
      <c r="G896" s="29">
        <v>250</v>
      </c>
      <c r="H896" s="25" t="s">
        <v>1863</v>
      </c>
      <c r="I896" s="25" t="s">
        <v>407</v>
      </c>
      <c r="J896" s="26"/>
    </row>
    <row r="897" spans="3:10" s="13" customFormat="1" ht="30.95" customHeight="1">
      <c r="C897" s="22">
        <f t="shared" si="13"/>
        <v>890</v>
      </c>
      <c r="D897" s="184" t="s">
        <v>2103</v>
      </c>
      <c r="E897" s="23" t="s">
        <v>1136</v>
      </c>
      <c r="F897" s="23" t="s">
        <v>1137</v>
      </c>
      <c r="G897" s="29">
        <v>250</v>
      </c>
      <c r="H897" s="25" t="s">
        <v>1880</v>
      </c>
      <c r="I897" s="25" t="s">
        <v>407</v>
      </c>
      <c r="J897" s="26"/>
    </row>
    <row r="898" spans="3:10" s="13" customFormat="1" ht="30.95" customHeight="1">
      <c r="C898" s="22">
        <f t="shared" si="13"/>
        <v>891</v>
      </c>
      <c r="D898" s="184" t="s">
        <v>2104</v>
      </c>
      <c r="E898" s="23" t="s">
        <v>1136</v>
      </c>
      <c r="F898" s="23" t="s">
        <v>1137</v>
      </c>
      <c r="G898" s="29">
        <v>1057</v>
      </c>
      <c r="H898" s="25" t="s">
        <v>1865</v>
      </c>
      <c r="I898" s="25" t="s">
        <v>407</v>
      </c>
      <c r="J898" s="26"/>
    </row>
    <row r="899" spans="3:10" s="13" customFormat="1" ht="30.95" customHeight="1">
      <c r="C899" s="22">
        <f t="shared" si="13"/>
        <v>892</v>
      </c>
      <c r="D899" s="184" t="s">
        <v>2105</v>
      </c>
      <c r="E899" s="23" t="s">
        <v>1136</v>
      </c>
      <c r="F899" s="23" t="s">
        <v>1137</v>
      </c>
      <c r="G899" s="29">
        <v>200</v>
      </c>
      <c r="H899" s="25" t="s">
        <v>1884</v>
      </c>
      <c r="I899" s="25" t="s">
        <v>407</v>
      </c>
      <c r="J899" s="26"/>
    </row>
    <row r="900" spans="3:10" s="13" customFormat="1" ht="30.95" customHeight="1">
      <c r="C900" s="22">
        <f t="shared" si="13"/>
        <v>893</v>
      </c>
      <c r="D900" s="184" t="s">
        <v>2106</v>
      </c>
      <c r="E900" s="23" t="s">
        <v>1136</v>
      </c>
      <c r="F900" s="23" t="s">
        <v>1137</v>
      </c>
      <c r="G900" s="29">
        <v>100</v>
      </c>
      <c r="H900" s="25" t="s">
        <v>1884</v>
      </c>
      <c r="I900" s="25" t="s">
        <v>407</v>
      </c>
      <c r="J900" s="26"/>
    </row>
    <row r="901" spans="3:10" s="13" customFormat="1" ht="30.95" customHeight="1">
      <c r="C901" s="22">
        <f t="shared" si="13"/>
        <v>894</v>
      </c>
      <c r="D901" s="184" t="s">
        <v>2107</v>
      </c>
      <c r="E901" s="23" t="s">
        <v>1136</v>
      </c>
      <c r="F901" s="23" t="s">
        <v>1137</v>
      </c>
      <c r="G901" s="29">
        <v>150</v>
      </c>
      <c r="H901" s="25" t="s">
        <v>1884</v>
      </c>
      <c r="I901" s="25" t="s">
        <v>407</v>
      </c>
      <c r="J901" s="26"/>
    </row>
    <row r="902" spans="3:10" s="13" customFormat="1" ht="30.95" customHeight="1">
      <c r="C902" s="22">
        <f t="shared" si="13"/>
        <v>895</v>
      </c>
      <c r="D902" s="184" t="s">
        <v>2108</v>
      </c>
      <c r="E902" s="23" t="s">
        <v>1136</v>
      </c>
      <c r="F902" s="23" t="s">
        <v>1137</v>
      </c>
      <c r="G902" s="29">
        <v>123</v>
      </c>
      <c r="H902" s="25" t="s">
        <v>1865</v>
      </c>
      <c r="I902" s="25" t="s">
        <v>407</v>
      </c>
      <c r="J902" s="26"/>
    </row>
    <row r="903" spans="3:10" s="13" customFormat="1" ht="30.95" customHeight="1">
      <c r="C903" s="22">
        <f t="shared" si="13"/>
        <v>896</v>
      </c>
      <c r="D903" s="184" t="s">
        <v>2109</v>
      </c>
      <c r="E903" s="23" t="s">
        <v>1136</v>
      </c>
      <c r="F903" s="23" t="s">
        <v>1137</v>
      </c>
      <c r="G903" s="29">
        <v>211</v>
      </c>
      <c r="H903" s="25" t="s">
        <v>1865</v>
      </c>
      <c r="I903" s="25" t="s">
        <v>407</v>
      </c>
      <c r="J903" s="26"/>
    </row>
    <row r="904" spans="3:10" s="13" customFormat="1" ht="30.95" customHeight="1">
      <c r="C904" s="22">
        <f t="shared" si="13"/>
        <v>897</v>
      </c>
      <c r="D904" s="184" t="s">
        <v>2110</v>
      </c>
      <c r="E904" s="23" t="s">
        <v>1136</v>
      </c>
      <c r="F904" s="23" t="s">
        <v>1137</v>
      </c>
      <c r="G904" s="29">
        <v>262</v>
      </c>
      <c r="H904" s="25" t="s">
        <v>1865</v>
      </c>
      <c r="I904" s="25" t="s">
        <v>407</v>
      </c>
      <c r="J904" s="26"/>
    </row>
    <row r="905" spans="3:10" s="13" customFormat="1" ht="30.95" customHeight="1">
      <c r="C905" s="22">
        <f t="shared" si="13"/>
        <v>898</v>
      </c>
      <c r="D905" s="184" t="s">
        <v>2111</v>
      </c>
      <c r="E905" s="23" t="s">
        <v>1136</v>
      </c>
      <c r="F905" s="23" t="s">
        <v>1137</v>
      </c>
      <c r="G905" s="29">
        <v>300</v>
      </c>
      <c r="H905" s="25" t="s">
        <v>1885</v>
      </c>
      <c r="I905" s="25" t="s">
        <v>407</v>
      </c>
      <c r="J905" s="26"/>
    </row>
    <row r="906" spans="3:10" s="13" customFormat="1" ht="30.95" customHeight="1">
      <c r="C906" s="22">
        <f t="shared" ref="C906:C969" si="14">C905+1</f>
        <v>899</v>
      </c>
      <c r="D906" s="184" t="s">
        <v>2112</v>
      </c>
      <c r="E906" s="23" t="s">
        <v>1136</v>
      </c>
      <c r="F906" s="23" t="s">
        <v>1137</v>
      </c>
      <c r="G906" s="29">
        <v>375</v>
      </c>
      <c r="H906" s="25" t="s">
        <v>1885</v>
      </c>
      <c r="I906" s="25" t="s">
        <v>407</v>
      </c>
      <c r="J906" s="26"/>
    </row>
    <row r="907" spans="3:10" s="13" customFormat="1" ht="30.95" customHeight="1">
      <c r="C907" s="22">
        <f t="shared" si="14"/>
        <v>900</v>
      </c>
      <c r="D907" s="184" t="s">
        <v>2113</v>
      </c>
      <c r="E907" s="23" t="s">
        <v>1136</v>
      </c>
      <c r="F907" s="23" t="s">
        <v>1137</v>
      </c>
      <c r="G907" s="29">
        <v>250</v>
      </c>
      <c r="H907" s="25" t="s">
        <v>1896</v>
      </c>
      <c r="I907" s="25" t="s">
        <v>407</v>
      </c>
      <c r="J907" s="26"/>
    </row>
    <row r="908" spans="3:10" s="13" customFormat="1" ht="30.95" customHeight="1">
      <c r="C908" s="22">
        <f t="shared" si="14"/>
        <v>901</v>
      </c>
      <c r="D908" s="184" t="s">
        <v>2114</v>
      </c>
      <c r="E908" s="23" t="s">
        <v>1136</v>
      </c>
      <c r="F908" s="23" t="s">
        <v>1137</v>
      </c>
      <c r="G908" s="29">
        <v>610</v>
      </c>
      <c r="H908" s="25" t="s">
        <v>1899</v>
      </c>
      <c r="I908" s="25" t="s">
        <v>407</v>
      </c>
      <c r="J908" s="26"/>
    </row>
    <row r="909" spans="3:10" s="13" customFormat="1" ht="30.95" customHeight="1">
      <c r="C909" s="22">
        <f t="shared" si="14"/>
        <v>902</v>
      </c>
      <c r="D909" s="184" t="s">
        <v>2115</v>
      </c>
      <c r="E909" s="23" t="s">
        <v>1136</v>
      </c>
      <c r="F909" s="23" t="s">
        <v>1137</v>
      </c>
      <c r="G909" s="29">
        <v>500</v>
      </c>
      <c r="H909" s="25" t="s">
        <v>1914</v>
      </c>
      <c r="I909" s="25" t="s">
        <v>407</v>
      </c>
      <c r="J909" s="26"/>
    </row>
    <row r="910" spans="3:10" s="13" customFormat="1" ht="30.95" customHeight="1">
      <c r="C910" s="22">
        <f t="shared" si="14"/>
        <v>903</v>
      </c>
      <c r="D910" s="184" t="s">
        <v>2116</v>
      </c>
      <c r="E910" s="23" t="s">
        <v>1136</v>
      </c>
      <c r="F910" s="23" t="s">
        <v>1137</v>
      </c>
      <c r="G910" s="29">
        <v>655</v>
      </c>
      <c r="H910" s="25" t="s">
        <v>1918</v>
      </c>
      <c r="I910" s="25" t="s">
        <v>407</v>
      </c>
      <c r="J910" s="26"/>
    </row>
    <row r="911" spans="3:10" s="13" customFormat="1" ht="30.95" customHeight="1">
      <c r="C911" s="22">
        <f t="shared" si="14"/>
        <v>904</v>
      </c>
      <c r="D911" s="184" t="s">
        <v>2117</v>
      </c>
      <c r="E911" s="23" t="s">
        <v>1136</v>
      </c>
      <c r="F911" s="23" t="s">
        <v>1137</v>
      </c>
      <c r="G911" s="29">
        <v>280</v>
      </c>
      <c r="H911" s="25" t="s">
        <v>1920</v>
      </c>
      <c r="I911" s="25" t="s">
        <v>407</v>
      </c>
      <c r="J911" s="26"/>
    </row>
    <row r="912" spans="3:10" s="13" customFormat="1" ht="30.95" customHeight="1">
      <c r="C912" s="22">
        <f t="shared" si="14"/>
        <v>905</v>
      </c>
      <c r="D912" s="184" t="s">
        <v>2118</v>
      </c>
      <c r="E912" s="23" t="s">
        <v>1136</v>
      </c>
      <c r="F912" s="23" t="s">
        <v>1137</v>
      </c>
      <c r="G912" s="29">
        <v>300</v>
      </c>
      <c r="H912" s="25" t="s">
        <v>1920</v>
      </c>
      <c r="I912" s="25" t="s">
        <v>407</v>
      </c>
      <c r="J912" s="26"/>
    </row>
    <row r="913" spans="3:10" s="13" customFormat="1" ht="30.95" customHeight="1">
      <c r="C913" s="22">
        <f t="shared" si="14"/>
        <v>906</v>
      </c>
      <c r="D913" s="184" t="s">
        <v>2119</v>
      </c>
      <c r="E913" s="23" t="s">
        <v>1136</v>
      </c>
      <c r="F913" s="23" t="s">
        <v>1137</v>
      </c>
      <c r="G913" s="29">
        <v>250</v>
      </c>
      <c r="H913" s="25" t="s">
        <v>1908</v>
      </c>
      <c r="I913" s="25" t="s">
        <v>407</v>
      </c>
      <c r="J913" s="26"/>
    </row>
    <row r="914" spans="3:10" s="13" customFormat="1" ht="30.95" customHeight="1">
      <c r="C914" s="22">
        <f t="shared" si="14"/>
        <v>907</v>
      </c>
      <c r="D914" s="184" t="s">
        <v>2120</v>
      </c>
      <c r="E914" s="23" t="s">
        <v>1136</v>
      </c>
      <c r="F914" s="23" t="s">
        <v>1137</v>
      </c>
      <c r="G914" s="29">
        <v>285</v>
      </c>
      <c r="H914" s="25" t="s">
        <v>1908</v>
      </c>
      <c r="I914" s="25" t="s">
        <v>407</v>
      </c>
      <c r="J914" s="26"/>
    </row>
    <row r="915" spans="3:10" s="13" customFormat="1" ht="30.95" customHeight="1">
      <c r="C915" s="22">
        <f t="shared" si="14"/>
        <v>908</v>
      </c>
      <c r="D915" s="184" t="s">
        <v>2121</v>
      </c>
      <c r="E915" s="23" t="s">
        <v>1136</v>
      </c>
      <c r="F915" s="23" t="s">
        <v>1137</v>
      </c>
      <c r="G915" s="29">
        <v>300</v>
      </c>
      <c r="H915" s="25" t="s">
        <v>1908</v>
      </c>
      <c r="I915" s="25" t="s">
        <v>407</v>
      </c>
      <c r="J915" s="26"/>
    </row>
    <row r="916" spans="3:10" s="13" customFormat="1" ht="30.95" customHeight="1">
      <c r="C916" s="22">
        <f t="shared" si="14"/>
        <v>909</v>
      </c>
      <c r="D916" s="184" t="s">
        <v>2122</v>
      </c>
      <c r="E916" s="23" t="s">
        <v>1136</v>
      </c>
      <c r="F916" s="23" t="s">
        <v>1137</v>
      </c>
      <c r="G916" s="29">
        <v>400</v>
      </c>
      <c r="H916" s="25" t="s">
        <v>1908</v>
      </c>
      <c r="I916" s="25" t="s">
        <v>407</v>
      </c>
      <c r="J916" s="26"/>
    </row>
    <row r="917" spans="3:10" s="13" customFormat="1" ht="30.95" customHeight="1">
      <c r="C917" s="22">
        <f t="shared" si="14"/>
        <v>910</v>
      </c>
      <c r="D917" s="184" t="s">
        <v>2123</v>
      </c>
      <c r="E917" s="23" t="s">
        <v>1136</v>
      </c>
      <c r="F917" s="23" t="s">
        <v>1137</v>
      </c>
      <c r="G917" s="29">
        <v>360</v>
      </c>
      <c r="H917" s="25" t="s">
        <v>1908</v>
      </c>
      <c r="I917" s="25" t="s">
        <v>407</v>
      </c>
      <c r="J917" s="26"/>
    </row>
    <row r="918" spans="3:10" s="13" customFormat="1" ht="30.95" customHeight="1">
      <c r="C918" s="22">
        <f t="shared" si="14"/>
        <v>911</v>
      </c>
      <c r="D918" s="184" t="s">
        <v>2124</v>
      </c>
      <c r="E918" s="23" t="s">
        <v>1136</v>
      </c>
      <c r="F918" s="23" t="s">
        <v>1137</v>
      </c>
      <c r="G918" s="29">
        <v>289</v>
      </c>
      <c r="H918" s="25" t="s">
        <v>1908</v>
      </c>
      <c r="I918" s="25" t="s">
        <v>407</v>
      </c>
      <c r="J918" s="26"/>
    </row>
    <row r="919" spans="3:10" s="13" customFormat="1" ht="30.95" customHeight="1">
      <c r="C919" s="22">
        <f t="shared" si="14"/>
        <v>912</v>
      </c>
      <c r="D919" s="184" t="s">
        <v>2125</v>
      </c>
      <c r="E919" s="23" t="s">
        <v>1136</v>
      </c>
      <c r="F919" s="23" t="s">
        <v>1137</v>
      </c>
      <c r="G919" s="29">
        <v>450</v>
      </c>
      <c r="H919" s="25" t="s">
        <v>1908</v>
      </c>
      <c r="I919" s="25" t="s">
        <v>407</v>
      </c>
      <c r="J919" s="26"/>
    </row>
    <row r="920" spans="3:10" s="13" customFormat="1" ht="30.95" customHeight="1">
      <c r="C920" s="22">
        <f t="shared" si="14"/>
        <v>913</v>
      </c>
      <c r="D920" s="184" t="s">
        <v>2126</v>
      </c>
      <c r="E920" s="23" t="s">
        <v>1136</v>
      </c>
      <c r="F920" s="23" t="s">
        <v>1137</v>
      </c>
      <c r="G920" s="29">
        <v>500</v>
      </c>
      <c r="H920" s="25" t="s">
        <v>1908</v>
      </c>
      <c r="I920" s="25" t="s">
        <v>407</v>
      </c>
      <c r="J920" s="26"/>
    </row>
    <row r="921" spans="3:10" s="13" customFormat="1" ht="30.95" customHeight="1">
      <c r="C921" s="22">
        <f t="shared" si="14"/>
        <v>914</v>
      </c>
      <c r="D921" s="184" t="s">
        <v>2127</v>
      </c>
      <c r="E921" s="23" t="s">
        <v>1136</v>
      </c>
      <c r="F921" s="23" t="s">
        <v>1137</v>
      </c>
      <c r="G921" s="29">
        <v>400</v>
      </c>
      <c r="H921" s="25" t="s">
        <v>1908</v>
      </c>
      <c r="I921" s="25" t="s">
        <v>407</v>
      </c>
      <c r="J921" s="26"/>
    </row>
    <row r="922" spans="3:10" s="13" customFormat="1" ht="30.95" customHeight="1">
      <c r="C922" s="22">
        <f t="shared" si="14"/>
        <v>915</v>
      </c>
      <c r="D922" s="184" t="s">
        <v>2128</v>
      </c>
      <c r="E922" s="23" t="s">
        <v>1136</v>
      </c>
      <c r="F922" s="23" t="s">
        <v>1137</v>
      </c>
      <c r="G922" s="29">
        <v>500</v>
      </c>
      <c r="H922" s="25" t="s">
        <v>1908</v>
      </c>
      <c r="I922" s="25" t="s">
        <v>407</v>
      </c>
      <c r="J922" s="26"/>
    </row>
    <row r="923" spans="3:10" s="13" customFormat="1" ht="30.95" customHeight="1">
      <c r="C923" s="22">
        <f t="shared" si="14"/>
        <v>916</v>
      </c>
      <c r="D923" s="184" t="s">
        <v>2129</v>
      </c>
      <c r="E923" s="23" t="s">
        <v>1136</v>
      </c>
      <c r="F923" s="23" t="s">
        <v>1137</v>
      </c>
      <c r="G923" s="29">
        <v>400</v>
      </c>
      <c r="H923" s="25" t="s">
        <v>1908</v>
      </c>
      <c r="I923" s="25" t="s">
        <v>407</v>
      </c>
      <c r="J923" s="26"/>
    </row>
    <row r="924" spans="3:10" s="13" customFormat="1" ht="30.95" customHeight="1">
      <c r="C924" s="22">
        <f t="shared" si="14"/>
        <v>917</v>
      </c>
      <c r="D924" s="184" t="s">
        <v>2130</v>
      </c>
      <c r="E924" s="23" t="s">
        <v>1136</v>
      </c>
      <c r="F924" s="23" t="s">
        <v>1137</v>
      </c>
      <c r="G924" s="29">
        <v>200</v>
      </c>
      <c r="H924" s="25" t="s">
        <v>1908</v>
      </c>
      <c r="I924" s="25" t="s">
        <v>407</v>
      </c>
      <c r="J924" s="26"/>
    </row>
    <row r="925" spans="3:10" s="13" customFormat="1" ht="30.95" customHeight="1">
      <c r="C925" s="22">
        <f t="shared" si="14"/>
        <v>918</v>
      </c>
      <c r="D925" s="184" t="s">
        <v>2131</v>
      </c>
      <c r="E925" s="23" t="s">
        <v>1136</v>
      </c>
      <c r="F925" s="23" t="s">
        <v>1137</v>
      </c>
      <c r="G925" s="29">
        <v>275</v>
      </c>
      <c r="H925" s="25" t="s">
        <v>1910</v>
      </c>
      <c r="I925" s="25" t="s">
        <v>407</v>
      </c>
      <c r="J925" s="26"/>
    </row>
    <row r="926" spans="3:10" s="13" customFormat="1" ht="30.95" customHeight="1">
      <c r="C926" s="22">
        <f t="shared" si="14"/>
        <v>919</v>
      </c>
      <c r="D926" s="184" t="s">
        <v>2132</v>
      </c>
      <c r="E926" s="23" t="s">
        <v>1136</v>
      </c>
      <c r="F926" s="23" t="s">
        <v>1137</v>
      </c>
      <c r="G926" s="29">
        <v>281</v>
      </c>
      <c r="H926" s="25" t="s">
        <v>1910</v>
      </c>
      <c r="I926" s="25" t="s">
        <v>407</v>
      </c>
      <c r="J926" s="26"/>
    </row>
    <row r="927" spans="3:10" s="13" customFormat="1" ht="30.95" customHeight="1">
      <c r="C927" s="22">
        <f t="shared" si="14"/>
        <v>920</v>
      </c>
      <c r="D927" s="184" t="s">
        <v>2133</v>
      </c>
      <c r="E927" s="23" t="s">
        <v>1136</v>
      </c>
      <c r="F927" s="23" t="s">
        <v>1137</v>
      </c>
      <c r="G927" s="29">
        <v>210</v>
      </c>
      <c r="H927" s="25" t="s">
        <v>1973</v>
      </c>
      <c r="I927" s="25" t="s">
        <v>407</v>
      </c>
      <c r="J927" s="26"/>
    </row>
    <row r="928" spans="3:10" s="13" customFormat="1" ht="30.95" customHeight="1">
      <c r="C928" s="22">
        <f t="shared" si="14"/>
        <v>921</v>
      </c>
      <c r="D928" s="184" t="s">
        <v>2134</v>
      </c>
      <c r="E928" s="23" t="s">
        <v>1136</v>
      </c>
      <c r="F928" s="23" t="s">
        <v>1137</v>
      </c>
      <c r="G928" s="29">
        <v>953</v>
      </c>
      <c r="H928" s="25" t="s">
        <v>1989</v>
      </c>
      <c r="I928" s="25" t="s">
        <v>407</v>
      </c>
      <c r="J928" s="26"/>
    </row>
    <row r="929" spans="3:10" s="13" customFormat="1" ht="30.95" customHeight="1">
      <c r="C929" s="22">
        <f t="shared" si="14"/>
        <v>922</v>
      </c>
      <c r="D929" s="184" t="s">
        <v>2135</v>
      </c>
      <c r="E929" s="23" t="s">
        <v>1136</v>
      </c>
      <c r="F929" s="23" t="s">
        <v>1137</v>
      </c>
      <c r="G929" s="29">
        <v>355</v>
      </c>
      <c r="H929" s="25" t="s">
        <v>1990</v>
      </c>
      <c r="I929" s="25" t="s">
        <v>407</v>
      </c>
      <c r="J929" s="26"/>
    </row>
    <row r="930" spans="3:10" s="13" customFormat="1" ht="30.95" customHeight="1">
      <c r="C930" s="22">
        <f t="shared" si="14"/>
        <v>923</v>
      </c>
      <c r="D930" s="184" t="s">
        <v>2136</v>
      </c>
      <c r="E930" s="23" t="s">
        <v>1136</v>
      </c>
      <c r="F930" s="23" t="s">
        <v>1137</v>
      </c>
      <c r="G930" s="29">
        <v>210</v>
      </c>
      <c r="H930" s="25" t="s">
        <v>1991</v>
      </c>
      <c r="I930" s="25" t="s">
        <v>407</v>
      </c>
      <c r="J930" s="26"/>
    </row>
    <row r="931" spans="3:10" s="13" customFormat="1" ht="30.95" customHeight="1">
      <c r="C931" s="22">
        <f t="shared" si="14"/>
        <v>924</v>
      </c>
      <c r="D931" s="184" t="s">
        <v>2137</v>
      </c>
      <c r="E931" s="23" t="s">
        <v>1136</v>
      </c>
      <c r="F931" s="23" t="s">
        <v>1137</v>
      </c>
      <c r="G931" s="29">
        <v>256</v>
      </c>
      <c r="H931" s="25" t="s">
        <v>1991</v>
      </c>
      <c r="I931" s="25" t="s">
        <v>407</v>
      </c>
      <c r="J931" s="26"/>
    </row>
    <row r="932" spans="3:10" s="13" customFormat="1" ht="30.95" customHeight="1">
      <c r="C932" s="22">
        <f t="shared" si="14"/>
        <v>925</v>
      </c>
      <c r="D932" s="184" t="s">
        <v>2138</v>
      </c>
      <c r="E932" s="23" t="s">
        <v>1136</v>
      </c>
      <c r="F932" s="23" t="s">
        <v>1137</v>
      </c>
      <c r="G932" s="29">
        <v>381</v>
      </c>
      <c r="H932" s="25" t="s">
        <v>2014</v>
      </c>
      <c r="I932" s="25" t="s">
        <v>407</v>
      </c>
      <c r="J932" s="26"/>
    </row>
    <row r="933" spans="3:10" s="13" customFormat="1" ht="30.95" customHeight="1">
      <c r="C933" s="22">
        <f t="shared" si="14"/>
        <v>926</v>
      </c>
      <c r="D933" s="184" t="s">
        <v>2139</v>
      </c>
      <c r="E933" s="23" t="s">
        <v>1136</v>
      </c>
      <c r="F933" s="23" t="s">
        <v>1137</v>
      </c>
      <c r="G933" s="29">
        <v>366</v>
      </c>
      <c r="H933" s="25" t="s">
        <v>2014</v>
      </c>
      <c r="I933" s="25" t="s">
        <v>407</v>
      </c>
      <c r="J933" s="26"/>
    </row>
    <row r="934" spans="3:10" s="13" customFormat="1" ht="30.95" customHeight="1">
      <c r="C934" s="22">
        <f t="shared" si="14"/>
        <v>927</v>
      </c>
      <c r="D934" s="184" t="s">
        <v>2140</v>
      </c>
      <c r="E934" s="23" t="s">
        <v>1136</v>
      </c>
      <c r="F934" s="23" t="s">
        <v>1137</v>
      </c>
      <c r="G934" s="29">
        <v>321</v>
      </c>
      <c r="H934" s="25" t="s">
        <v>2014</v>
      </c>
      <c r="I934" s="25" t="s">
        <v>407</v>
      </c>
      <c r="J934" s="26"/>
    </row>
    <row r="935" spans="3:10" s="13" customFormat="1" ht="30.95" customHeight="1">
      <c r="C935" s="22">
        <f t="shared" si="14"/>
        <v>928</v>
      </c>
      <c r="D935" s="184" t="s">
        <v>2141</v>
      </c>
      <c r="E935" s="23" t="s">
        <v>1136</v>
      </c>
      <c r="F935" s="23" t="s">
        <v>1137</v>
      </c>
      <c r="G935" s="29">
        <v>270</v>
      </c>
      <c r="H935" s="25" t="s">
        <v>2014</v>
      </c>
      <c r="I935" s="25" t="s">
        <v>407</v>
      </c>
      <c r="J935" s="26"/>
    </row>
    <row r="936" spans="3:10" s="13" customFormat="1" ht="30.95" customHeight="1">
      <c r="C936" s="22">
        <f t="shared" si="14"/>
        <v>929</v>
      </c>
      <c r="D936" s="184" t="s">
        <v>2142</v>
      </c>
      <c r="E936" s="23" t="s">
        <v>1136</v>
      </c>
      <c r="F936" s="23" t="s">
        <v>1137</v>
      </c>
      <c r="G936" s="29">
        <v>147</v>
      </c>
      <c r="H936" s="25" t="s">
        <v>2015</v>
      </c>
      <c r="I936" s="25" t="s">
        <v>407</v>
      </c>
      <c r="J936" s="26"/>
    </row>
    <row r="937" spans="3:10" s="13" customFormat="1" ht="30.95" customHeight="1">
      <c r="C937" s="22">
        <f t="shared" si="14"/>
        <v>930</v>
      </c>
      <c r="D937" s="184" t="s">
        <v>2143</v>
      </c>
      <c r="E937" s="23" t="s">
        <v>1136</v>
      </c>
      <c r="F937" s="23" t="s">
        <v>1137</v>
      </c>
      <c r="G937" s="29">
        <v>345</v>
      </c>
      <c r="H937" s="25" t="s">
        <v>2015</v>
      </c>
      <c r="I937" s="25" t="s">
        <v>407</v>
      </c>
      <c r="J937" s="26"/>
    </row>
    <row r="938" spans="3:10" s="13" customFormat="1" ht="30.95" customHeight="1">
      <c r="C938" s="22">
        <f t="shared" si="14"/>
        <v>931</v>
      </c>
      <c r="D938" s="184" t="s">
        <v>2144</v>
      </c>
      <c r="E938" s="23" t="s">
        <v>1136</v>
      </c>
      <c r="F938" s="23" t="s">
        <v>1137</v>
      </c>
      <c r="G938" s="29">
        <v>356</v>
      </c>
      <c r="H938" s="25" t="s">
        <v>2015</v>
      </c>
      <c r="I938" s="25" t="s">
        <v>407</v>
      </c>
      <c r="J938" s="26"/>
    </row>
    <row r="939" spans="3:10" s="13" customFormat="1" ht="30.95" customHeight="1">
      <c r="C939" s="22">
        <f t="shared" si="14"/>
        <v>932</v>
      </c>
      <c r="D939" s="184" t="s">
        <v>2145</v>
      </c>
      <c r="E939" s="23" t="s">
        <v>1136</v>
      </c>
      <c r="F939" s="23" t="s">
        <v>1137</v>
      </c>
      <c r="G939" s="29">
        <v>373</v>
      </c>
      <c r="H939" s="25" t="s">
        <v>2015</v>
      </c>
      <c r="I939" s="25" t="s">
        <v>407</v>
      </c>
      <c r="J939" s="26"/>
    </row>
    <row r="940" spans="3:10" s="13" customFormat="1" ht="30.95" customHeight="1">
      <c r="C940" s="22">
        <f t="shared" si="14"/>
        <v>933</v>
      </c>
      <c r="D940" s="184" t="s">
        <v>2146</v>
      </c>
      <c r="E940" s="23" t="s">
        <v>1136</v>
      </c>
      <c r="F940" s="23" t="s">
        <v>1137</v>
      </c>
      <c r="G940" s="29">
        <v>204</v>
      </c>
      <c r="H940" s="25" t="s">
        <v>2016</v>
      </c>
      <c r="I940" s="25" t="s">
        <v>407</v>
      </c>
      <c r="J940" s="26"/>
    </row>
    <row r="941" spans="3:10" s="13" customFormat="1" ht="30.95" customHeight="1">
      <c r="C941" s="22">
        <f t="shared" si="14"/>
        <v>934</v>
      </c>
      <c r="D941" s="184" t="s">
        <v>2147</v>
      </c>
      <c r="E941" s="23" t="s">
        <v>1136</v>
      </c>
      <c r="F941" s="23" t="s">
        <v>1137</v>
      </c>
      <c r="G941" s="29">
        <v>200</v>
      </c>
      <c r="H941" s="25" t="s">
        <v>2016</v>
      </c>
      <c r="I941" s="25" t="s">
        <v>407</v>
      </c>
      <c r="J941" s="26"/>
    </row>
    <row r="942" spans="3:10" s="13" customFormat="1" ht="30.95" customHeight="1">
      <c r="C942" s="22">
        <f t="shared" si="14"/>
        <v>935</v>
      </c>
      <c r="D942" s="184" t="s">
        <v>2148</v>
      </c>
      <c r="E942" s="23" t="s">
        <v>1136</v>
      </c>
      <c r="F942" s="23" t="s">
        <v>1137</v>
      </c>
      <c r="G942" s="29">
        <v>227</v>
      </c>
      <c r="H942" s="25" t="s">
        <v>2016</v>
      </c>
      <c r="I942" s="25" t="s">
        <v>407</v>
      </c>
      <c r="J942" s="26"/>
    </row>
    <row r="943" spans="3:10" s="13" customFormat="1" ht="30.95" customHeight="1">
      <c r="C943" s="22">
        <f t="shared" si="14"/>
        <v>936</v>
      </c>
      <c r="D943" s="184" t="s">
        <v>2149</v>
      </c>
      <c r="E943" s="23" t="s">
        <v>1136</v>
      </c>
      <c r="F943" s="23" t="s">
        <v>1137</v>
      </c>
      <c r="G943" s="29">
        <v>144</v>
      </c>
      <c r="H943" s="25" t="s">
        <v>2017</v>
      </c>
      <c r="I943" s="25" t="s">
        <v>407</v>
      </c>
      <c r="J943" s="26"/>
    </row>
    <row r="944" spans="3:10" s="13" customFormat="1" ht="30.95" customHeight="1">
      <c r="C944" s="22">
        <f t="shared" si="14"/>
        <v>937</v>
      </c>
      <c r="D944" s="184" t="s">
        <v>2150</v>
      </c>
      <c r="E944" s="23" t="s">
        <v>1136</v>
      </c>
      <c r="F944" s="23" t="s">
        <v>1137</v>
      </c>
      <c r="G944" s="29">
        <v>160</v>
      </c>
      <c r="H944" s="25" t="s">
        <v>2017</v>
      </c>
      <c r="I944" s="25" t="s">
        <v>407</v>
      </c>
      <c r="J944" s="26"/>
    </row>
    <row r="945" spans="3:10" s="13" customFormat="1" ht="30.95" customHeight="1">
      <c r="C945" s="22">
        <f t="shared" si="14"/>
        <v>938</v>
      </c>
      <c r="D945" s="184" t="s">
        <v>2151</v>
      </c>
      <c r="E945" s="23" t="s">
        <v>1136</v>
      </c>
      <c r="F945" s="23" t="s">
        <v>1137</v>
      </c>
      <c r="G945" s="29">
        <v>500</v>
      </c>
      <c r="H945" s="25" t="s">
        <v>2031</v>
      </c>
      <c r="I945" s="25" t="s">
        <v>407</v>
      </c>
      <c r="J945" s="26"/>
    </row>
    <row r="946" spans="3:10" s="13" customFormat="1" ht="30.95" customHeight="1">
      <c r="C946" s="22">
        <f t="shared" si="14"/>
        <v>939</v>
      </c>
      <c r="D946" s="184" t="s">
        <v>2152</v>
      </c>
      <c r="E946" s="23" t="s">
        <v>1136</v>
      </c>
      <c r="F946" s="23" t="s">
        <v>1137</v>
      </c>
      <c r="G946" s="29">
        <v>300</v>
      </c>
      <c r="H946" s="25" t="s">
        <v>2045</v>
      </c>
      <c r="I946" s="25" t="s">
        <v>407</v>
      </c>
      <c r="J946" s="26"/>
    </row>
    <row r="947" spans="3:10" s="13" customFormat="1" ht="30.95" customHeight="1">
      <c r="C947" s="22">
        <f t="shared" si="14"/>
        <v>940</v>
      </c>
      <c r="D947" s="184" t="s">
        <v>2153</v>
      </c>
      <c r="E947" s="23" t="s">
        <v>1136</v>
      </c>
      <c r="F947" s="23" t="s">
        <v>1137</v>
      </c>
      <c r="G947" s="29">
        <v>1200</v>
      </c>
      <c r="H947" s="25" t="s">
        <v>2045</v>
      </c>
      <c r="I947" s="25" t="s">
        <v>407</v>
      </c>
      <c r="J947" s="26"/>
    </row>
    <row r="948" spans="3:10" s="13" customFormat="1" ht="30.95" customHeight="1">
      <c r="C948" s="22">
        <f t="shared" si="14"/>
        <v>941</v>
      </c>
      <c r="D948" s="184" t="s">
        <v>2154</v>
      </c>
      <c r="E948" s="23" t="s">
        <v>1136</v>
      </c>
      <c r="F948" s="23" t="s">
        <v>1137</v>
      </c>
      <c r="G948" s="29">
        <v>920</v>
      </c>
      <c r="H948" s="25" t="s">
        <v>2045</v>
      </c>
      <c r="I948" s="25" t="s">
        <v>407</v>
      </c>
      <c r="J948" s="26"/>
    </row>
    <row r="949" spans="3:10" s="13" customFormat="1" ht="30.95" customHeight="1">
      <c r="C949" s="22">
        <f t="shared" si="14"/>
        <v>942</v>
      </c>
      <c r="D949" s="184" t="s">
        <v>2155</v>
      </c>
      <c r="E949" s="23" t="s">
        <v>1136</v>
      </c>
      <c r="F949" s="23" t="s">
        <v>1137</v>
      </c>
      <c r="G949" s="29">
        <v>754</v>
      </c>
      <c r="H949" s="25" t="s">
        <v>2047</v>
      </c>
      <c r="I949" s="25" t="s">
        <v>407</v>
      </c>
      <c r="J949" s="26"/>
    </row>
    <row r="950" spans="3:10" s="13" customFormat="1" ht="30.95" customHeight="1">
      <c r="C950" s="22">
        <f t="shared" si="14"/>
        <v>943</v>
      </c>
      <c r="D950" s="184" t="s">
        <v>2156</v>
      </c>
      <c r="E950" s="23" t="s">
        <v>1136</v>
      </c>
      <c r="F950" s="23" t="s">
        <v>1137</v>
      </c>
      <c r="G950" s="29">
        <v>458</v>
      </c>
      <c r="H950" s="25" t="s">
        <v>2047</v>
      </c>
      <c r="I950" s="25" t="s">
        <v>407</v>
      </c>
      <c r="J950" s="26"/>
    </row>
    <row r="951" spans="3:10" s="13" customFormat="1" ht="30.95" customHeight="1">
      <c r="C951" s="22">
        <f t="shared" si="14"/>
        <v>944</v>
      </c>
      <c r="D951" s="184" t="s">
        <v>2157</v>
      </c>
      <c r="E951" s="23" t="s">
        <v>1136</v>
      </c>
      <c r="F951" s="23" t="s">
        <v>1137</v>
      </c>
      <c r="G951" s="29">
        <v>498</v>
      </c>
      <c r="H951" s="25" t="s">
        <v>2153</v>
      </c>
      <c r="I951" s="25" t="s">
        <v>407</v>
      </c>
      <c r="J951" s="26"/>
    </row>
    <row r="952" spans="3:10" s="13" customFormat="1" ht="30.95" customHeight="1">
      <c r="C952" s="22">
        <f t="shared" si="14"/>
        <v>945</v>
      </c>
      <c r="D952" s="171" t="s">
        <v>2158</v>
      </c>
      <c r="E952" s="23" t="s">
        <v>1136</v>
      </c>
      <c r="F952" s="23" t="s">
        <v>1137</v>
      </c>
      <c r="G952" s="33">
        <v>1800</v>
      </c>
      <c r="H952" s="25" t="s">
        <v>1663</v>
      </c>
      <c r="I952" s="25" t="s">
        <v>407</v>
      </c>
      <c r="J952" s="26"/>
    </row>
    <row r="953" spans="3:10" s="13" customFormat="1" ht="30.95" customHeight="1">
      <c r="C953" s="22">
        <f t="shared" si="14"/>
        <v>946</v>
      </c>
      <c r="D953" s="171" t="s">
        <v>2159</v>
      </c>
      <c r="E953" s="23" t="s">
        <v>1136</v>
      </c>
      <c r="F953" s="23" t="s">
        <v>1137</v>
      </c>
      <c r="G953" s="33">
        <v>900</v>
      </c>
      <c r="H953" s="25" t="s">
        <v>1663</v>
      </c>
      <c r="I953" s="25" t="s">
        <v>407</v>
      </c>
      <c r="J953" s="26"/>
    </row>
    <row r="954" spans="3:10" s="13" customFormat="1" ht="30.95" customHeight="1">
      <c r="C954" s="22">
        <f t="shared" si="14"/>
        <v>947</v>
      </c>
      <c r="D954" s="187" t="s">
        <v>2160</v>
      </c>
      <c r="E954" s="23" t="s">
        <v>1136</v>
      </c>
      <c r="F954" s="23" t="s">
        <v>1137</v>
      </c>
      <c r="G954" s="29">
        <v>1490</v>
      </c>
      <c r="H954" s="25" t="s">
        <v>1663</v>
      </c>
      <c r="I954" s="25" t="s">
        <v>407</v>
      </c>
      <c r="J954" s="26"/>
    </row>
    <row r="955" spans="3:10" s="13" customFormat="1" ht="30.95" customHeight="1">
      <c r="C955" s="22">
        <f t="shared" si="14"/>
        <v>948</v>
      </c>
      <c r="D955" s="173" t="s">
        <v>2161</v>
      </c>
      <c r="E955" s="23" t="s">
        <v>1136</v>
      </c>
      <c r="F955" s="23" t="s">
        <v>1137</v>
      </c>
      <c r="G955" s="33">
        <v>4500</v>
      </c>
      <c r="H955" s="25" t="s">
        <v>1666</v>
      </c>
      <c r="I955" s="25" t="s">
        <v>407</v>
      </c>
      <c r="J955" s="26"/>
    </row>
    <row r="956" spans="3:10" s="13" customFormat="1" ht="30.95" customHeight="1">
      <c r="C956" s="22">
        <f t="shared" si="14"/>
        <v>949</v>
      </c>
      <c r="D956" s="187" t="s">
        <v>2162</v>
      </c>
      <c r="E956" s="23" t="s">
        <v>1136</v>
      </c>
      <c r="F956" s="23" t="s">
        <v>1137</v>
      </c>
      <c r="G956" s="29">
        <v>720</v>
      </c>
      <c r="H956" s="25" t="s">
        <v>1702</v>
      </c>
      <c r="I956" s="25" t="s">
        <v>407</v>
      </c>
      <c r="J956" s="26"/>
    </row>
    <row r="957" spans="3:10" s="13" customFormat="1" ht="30.95" customHeight="1">
      <c r="C957" s="22">
        <f t="shared" si="14"/>
        <v>950</v>
      </c>
      <c r="D957" s="187" t="s">
        <v>2163</v>
      </c>
      <c r="E957" s="23" t="s">
        <v>1136</v>
      </c>
      <c r="F957" s="23" t="s">
        <v>1137</v>
      </c>
      <c r="G957" s="29">
        <v>800</v>
      </c>
      <c r="H957" s="25" t="s">
        <v>1702</v>
      </c>
      <c r="I957" s="25" t="s">
        <v>407</v>
      </c>
      <c r="J957" s="26"/>
    </row>
    <row r="958" spans="3:10" s="13" customFormat="1" ht="30.95" customHeight="1">
      <c r="C958" s="22">
        <f t="shared" si="14"/>
        <v>951</v>
      </c>
      <c r="D958" s="187" t="s">
        <v>2164</v>
      </c>
      <c r="E958" s="23" t="s">
        <v>1136</v>
      </c>
      <c r="F958" s="23" t="s">
        <v>1137</v>
      </c>
      <c r="G958" s="29">
        <v>1200</v>
      </c>
      <c r="H958" s="25" t="s">
        <v>1702</v>
      </c>
      <c r="I958" s="25" t="s">
        <v>407</v>
      </c>
      <c r="J958" s="26"/>
    </row>
    <row r="959" spans="3:10" s="13" customFormat="1" ht="30.95" customHeight="1">
      <c r="C959" s="22">
        <f t="shared" si="14"/>
        <v>952</v>
      </c>
      <c r="D959" s="187" t="s">
        <v>2165</v>
      </c>
      <c r="E959" s="23" t="s">
        <v>1136</v>
      </c>
      <c r="F959" s="23" t="s">
        <v>1137</v>
      </c>
      <c r="G959" s="29">
        <v>900</v>
      </c>
      <c r="H959" s="25" t="s">
        <v>1702</v>
      </c>
      <c r="I959" s="25" t="s">
        <v>407</v>
      </c>
      <c r="J959" s="26"/>
    </row>
    <row r="960" spans="3:10" s="13" customFormat="1" ht="30.95" customHeight="1">
      <c r="C960" s="22">
        <f t="shared" si="14"/>
        <v>953</v>
      </c>
      <c r="D960" s="187" t="s">
        <v>2166</v>
      </c>
      <c r="E960" s="23" t="s">
        <v>1136</v>
      </c>
      <c r="F960" s="23" t="s">
        <v>1137</v>
      </c>
      <c r="G960" s="29">
        <v>2200</v>
      </c>
      <c r="H960" s="25" t="s">
        <v>1702</v>
      </c>
      <c r="I960" s="25" t="s">
        <v>407</v>
      </c>
      <c r="J960" s="26"/>
    </row>
    <row r="961" spans="3:10" s="13" customFormat="1" ht="30.95" customHeight="1">
      <c r="C961" s="22">
        <f t="shared" si="14"/>
        <v>954</v>
      </c>
      <c r="D961" s="187" t="s">
        <v>2167</v>
      </c>
      <c r="E961" s="23" t="s">
        <v>1136</v>
      </c>
      <c r="F961" s="23" t="s">
        <v>1137</v>
      </c>
      <c r="G961" s="29">
        <v>1000</v>
      </c>
      <c r="H961" s="25" t="s">
        <v>1702</v>
      </c>
      <c r="I961" s="25" t="s">
        <v>407</v>
      </c>
      <c r="J961" s="26"/>
    </row>
    <row r="962" spans="3:10" s="13" customFormat="1" ht="30.95" customHeight="1">
      <c r="C962" s="22">
        <f t="shared" si="14"/>
        <v>955</v>
      </c>
      <c r="D962" s="173" t="s">
        <v>2168</v>
      </c>
      <c r="E962" s="23" t="s">
        <v>1136</v>
      </c>
      <c r="F962" s="23" t="s">
        <v>1137</v>
      </c>
      <c r="G962" s="33">
        <v>10000</v>
      </c>
      <c r="H962" s="25" t="s">
        <v>1666</v>
      </c>
      <c r="I962" s="25" t="s">
        <v>407</v>
      </c>
      <c r="J962" s="26"/>
    </row>
    <row r="963" spans="3:10" s="13" customFormat="1" ht="30.95" customHeight="1">
      <c r="C963" s="22">
        <f t="shared" si="14"/>
        <v>956</v>
      </c>
      <c r="D963" s="173" t="s">
        <v>2169</v>
      </c>
      <c r="E963" s="23" t="s">
        <v>1136</v>
      </c>
      <c r="F963" s="23" t="s">
        <v>1137</v>
      </c>
      <c r="G963" s="33">
        <v>1500</v>
      </c>
      <c r="H963" s="25" t="s">
        <v>1666</v>
      </c>
      <c r="I963" s="25" t="s">
        <v>407</v>
      </c>
      <c r="J963" s="26"/>
    </row>
    <row r="964" spans="3:10" s="13" customFormat="1" ht="30.95" customHeight="1">
      <c r="C964" s="22">
        <f t="shared" si="14"/>
        <v>957</v>
      </c>
      <c r="D964" s="173" t="s">
        <v>2170</v>
      </c>
      <c r="E964" s="23" t="s">
        <v>1136</v>
      </c>
      <c r="F964" s="23" t="s">
        <v>1137</v>
      </c>
      <c r="G964" s="33">
        <v>4000</v>
      </c>
      <c r="H964" s="25" t="s">
        <v>1666</v>
      </c>
      <c r="I964" s="25" t="s">
        <v>407</v>
      </c>
      <c r="J964" s="26"/>
    </row>
    <row r="965" spans="3:10" s="13" customFormat="1" ht="30.95" customHeight="1">
      <c r="C965" s="22">
        <f t="shared" si="14"/>
        <v>958</v>
      </c>
      <c r="D965" s="173" t="s">
        <v>2171</v>
      </c>
      <c r="E965" s="23" t="s">
        <v>1136</v>
      </c>
      <c r="F965" s="23" t="s">
        <v>1137</v>
      </c>
      <c r="G965" s="33">
        <v>3000</v>
      </c>
      <c r="H965" s="25" t="s">
        <v>1666</v>
      </c>
      <c r="I965" s="25" t="s">
        <v>407</v>
      </c>
      <c r="J965" s="26"/>
    </row>
    <row r="966" spans="3:10" s="13" customFormat="1" ht="30.95" customHeight="1">
      <c r="C966" s="22">
        <f t="shared" si="14"/>
        <v>959</v>
      </c>
      <c r="D966" s="173" t="s">
        <v>2172</v>
      </c>
      <c r="E966" s="23" t="s">
        <v>1136</v>
      </c>
      <c r="F966" s="23" t="s">
        <v>1137</v>
      </c>
      <c r="G966" s="33">
        <v>2000</v>
      </c>
      <c r="H966" s="25" t="s">
        <v>1666</v>
      </c>
      <c r="I966" s="25" t="s">
        <v>407</v>
      </c>
      <c r="J966" s="26"/>
    </row>
    <row r="967" spans="3:10" s="13" customFormat="1" ht="30.95" customHeight="1">
      <c r="C967" s="22">
        <f t="shared" si="14"/>
        <v>960</v>
      </c>
      <c r="D967" s="173" t="s">
        <v>2173</v>
      </c>
      <c r="E967" s="23" t="s">
        <v>1136</v>
      </c>
      <c r="F967" s="23" t="s">
        <v>1137</v>
      </c>
      <c r="G967" s="33">
        <v>6000</v>
      </c>
      <c r="H967" s="25" t="s">
        <v>1666</v>
      </c>
      <c r="I967" s="25" t="s">
        <v>407</v>
      </c>
      <c r="J967" s="26"/>
    </row>
    <row r="968" spans="3:10" s="13" customFormat="1" ht="30.95" customHeight="1">
      <c r="C968" s="22">
        <f t="shared" si="14"/>
        <v>961</v>
      </c>
      <c r="D968" s="187" t="s">
        <v>2174</v>
      </c>
      <c r="E968" s="23" t="s">
        <v>1136</v>
      </c>
      <c r="F968" s="23" t="s">
        <v>1137</v>
      </c>
      <c r="G968" s="29">
        <v>2000</v>
      </c>
      <c r="H968" s="25" t="s">
        <v>1676</v>
      </c>
      <c r="I968" s="25" t="s">
        <v>407</v>
      </c>
      <c r="J968" s="26"/>
    </row>
    <row r="969" spans="3:10" s="13" customFormat="1" ht="30.95" customHeight="1">
      <c r="C969" s="22">
        <f t="shared" si="14"/>
        <v>962</v>
      </c>
      <c r="D969" s="171" t="s">
        <v>2175</v>
      </c>
      <c r="E969" s="23" t="s">
        <v>1136</v>
      </c>
      <c r="F969" s="23" t="s">
        <v>1137</v>
      </c>
      <c r="G969" s="33">
        <v>1200</v>
      </c>
      <c r="H969" s="25" t="s">
        <v>1676</v>
      </c>
      <c r="I969" s="25" t="s">
        <v>407</v>
      </c>
      <c r="J969" s="26"/>
    </row>
    <row r="970" spans="3:10" s="13" customFormat="1" ht="30.95" customHeight="1">
      <c r="C970" s="22">
        <f t="shared" ref="C970:C1033" si="15">C969+1</f>
        <v>963</v>
      </c>
      <c r="D970" s="171" t="s">
        <v>2176</v>
      </c>
      <c r="E970" s="23" t="s">
        <v>1136</v>
      </c>
      <c r="F970" s="23" t="s">
        <v>1137</v>
      </c>
      <c r="G970" s="33">
        <v>980</v>
      </c>
      <c r="H970" s="25" t="s">
        <v>1676</v>
      </c>
      <c r="I970" s="25" t="s">
        <v>407</v>
      </c>
      <c r="J970" s="26"/>
    </row>
    <row r="971" spans="3:10" s="13" customFormat="1" ht="30.95" customHeight="1">
      <c r="C971" s="22">
        <f t="shared" si="15"/>
        <v>964</v>
      </c>
      <c r="D971" s="171" t="s">
        <v>2177</v>
      </c>
      <c r="E971" s="23" t="s">
        <v>1136</v>
      </c>
      <c r="F971" s="23" t="s">
        <v>1137</v>
      </c>
      <c r="G971" s="33">
        <v>1200</v>
      </c>
      <c r="H971" s="25" t="s">
        <v>1676</v>
      </c>
      <c r="I971" s="25" t="s">
        <v>407</v>
      </c>
      <c r="J971" s="26"/>
    </row>
    <row r="972" spans="3:10" s="13" customFormat="1" ht="30.95" customHeight="1">
      <c r="C972" s="22">
        <f t="shared" si="15"/>
        <v>965</v>
      </c>
      <c r="D972" s="171" t="s">
        <v>2178</v>
      </c>
      <c r="E972" s="23" t="s">
        <v>1136</v>
      </c>
      <c r="F972" s="23" t="s">
        <v>1137</v>
      </c>
      <c r="G972" s="33">
        <v>893</v>
      </c>
      <c r="H972" s="25" t="s">
        <v>1676</v>
      </c>
      <c r="I972" s="25" t="s">
        <v>407</v>
      </c>
      <c r="J972" s="26"/>
    </row>
    <row r="973" spans="3:10" s="13" customFormat="1" ht="30.95" customHeight="1">
      <c r="C973" s="22">
        <f t="shared" si="15"/>
        <v>966</v>
      </c>
      <c r="D973" s="171" t="s">
        <v>2179</v>
      </c>
      <c r="E973" s="23" t="s">
        <v>1136</v>
      </c>
      <c r="F973" s="23" t="s">
        <v>1137</v>
      </c>
      <c r="G973" s="33">
        <v>1954</v>
      </c>
      <c r="H973" s="25" t="s">
        <v>1676</v>
      </c>
      <c r="I973" s="25" t="s">
        <v>407</v>
      </c>
      <c r="J973" s="26"/>
    </row>
    <row r="974" spans="3:10" s="13" customFormat="1" ht="30.95" customHeight="1">
      <c r="C974" s="22">
        <f t="shared" si="15"/>
        <v>967</v>
      </c>
      <c r="D974" s="171" t="s">
        <v>2180</v>
      </c>
      <c r="E974" s="23" t="s">
        <v>1136</v>
      </c>
      <c r="F974" s="23" t="s">
        <v>1137</v>
      </c>
      <c r="G974" s="33">
        <v>3126</v>
      </c>
      <c r="H974" s="25" t="s">
        <v>1676</v>
      </c>
      <c r="I974" s="25" t="s">
        <v>407</v>
      </c>
      <c r="J974" s="26"/>
    </row>
    <row r="975" spans="3:10" s="13" customFormat="1" ht="30.95" customHeight="1">
      <c r="C975" s="22">
        <f t="shared" si="15"/>
        <v>968</v>
      </c>
      <c r="D975" s="171" t="s">
        <v>2181</v>
      </c>
      <c r="E975" s="23" t="s">
        <v>1136</v>
      </c>
      <c r="F975" s="23" t="s">
        <v>1137</v>
      </c>
      <c r="G975" s="33">
        <v>1328</v>
      </c>
      <c r="H975" s="25" t="s">
        <v>1676</v>
      </c>
      <c r="I975" s="25" t="s">
        <v>407</v>
      </c>
      <c r="J975" s="26"/>
    </row>
    <row r="976" spans="3:10" s="13" customFormat="1" ht="30.95" customHeight="1">
      <c r="C976" s="22">
        <f t="shared" si="15"/>
        <v>969</v>
      </c>
      <c r="D976" s="171" t="s">
        <v>2182</v>
      </c>
      <c r="E976" s="23" t="s">
        <v>1136</v>
      </c>
      <c r="F976" s="23" t="s">
        <v>1137</v>
      </c>
      <c r="G976" s="33">
        <v>809</v>
      </c>
      <c r="H976" s="25" t="s">
        <v>1676</v>
      </c>
      <c r="I976" s="25" t="s">
        <v>407</v>
      </c>
      <c r="J976" s="26"/>
    </row>
    <row r="977" spans="3:10" s="13" customFormat="1" ht="30.95" customHeight="1">
      <c r="C977" s="22">
        <f t="shared" si="15"/>
        <v>970</v>
      </c>
      <c r="D977" s="171" t="s">
        <v>2183</v>
      </c>
      <c r="E977" s="23" t="s">
        <v>1136</v>
      </c>
      <c r="F977" s="23" t="s">
        <v>1137</v>
      </c>
      <c r="G977" s="33">
        <v>2667</v>
      </c>
      <c r="H977" s="25" t="s">
        <v>1676</v>
      </c>
      <c r="I977" s="25" t="s">
        <v>407</v>
      </c>
      <c r="J977" s="26"/>
    </row>
    <row r="978" spans="3:10" s="13" customFormat="1" ht="30.95" customHeight="1">
      <c r="C978" s="22">
        <f t="shared" si="15"/>
        <v>971</v>
      </c>
      <c r="D978" s="187" t="s">
        <v>2184</v>
      </c>
      <c r="E978" s="23" t="s">
        <v>1136</v>
      </c>
      <c r="F978" s="23" t="s">
        <v>1137</v>
      </c>
      <c r="G978" s="29">
        <v>1500</v>
      </c>
      <c r="H978" s="25" t="s">
        <v>1678</v>
      </c>
      <c r="I978" s="25" t="s">
        <v>407</v>
      </c>
      <c r="J978" s="26"/>
    </row>
    <row r="979" spans="3:10" s="13" customFormat="1" ht="30.95" customHeight="1">
      <c r="C979" s="22">
        <f t="shared" si="15"/>
        <v>972</v>
      </c>
      <c r="D979" s="187" t="s">
        <v>2185</v>
      </c>
      <c r="E979" s="23" t="s">
        <v>1136</v>
      </c>
      <c r="F979" s="23" t="s">
        <v>1137</v>
      </c>
      <c r="G979" s="29">
        <v>1400</v>
      </c>
      <c r="H979" s="25" t="s">
        <v>1112</v>
      </c>
      <c r="I979" s="25" t="s">
        <v>407</v>
      </c>
      <c r="J979" s="26"/>
    </row>
    <row r="980" spans="3:10" s="13" customFormat="1" ht="30.95" customHeight="1">
      <c r="C980" s="22">
        <f t="shared" si="15"/>
        <v>973</v>
      </c>
      <c r="D980" s="187" t="s">
        <v>2186</v>
      </c>
      <c r="E980" s="23" t="s">
        <v>1136</v>
      </c>
      <c r="F980" s="23" t="s">
        <v>1137</v>
      </c>
      <c r="G980" s="29">
        <v>1500</v>
      </c>
      <c r="H980" s="25" t="s">
        <v>1112</v>
      </c>
      <c r="I980" s="25" t="s">
        <v>407</v>
      </c>
      <c r="J980" s="26"/>
    </row>
    <row r="981" spans="3:10" s="13" customFormat="1" ht="30.95" customHeight="1">
      <c r="C981" s="22">
        <f t="shared" si="15"/>
        <v>974</v>
      </c>
      <c r="D981" s="187" t="s">
        <v>2187</v>
      </c>
      <c r="E981" s="23" t="s">
        <v>1136</v>
      </c>
      <c r="F981" s="23" t="s">
        <v>1137</v>
      </c>
      <c r="G981" s="29">
        <v>3500</v>
      </c>
      <c r="H981" s="25" t="s">
        <v>1681</v>
      </c>
      <c r="I981" s="25" t="s">
        <v>407</v>
      </c>
      <c r="J981" s="26"/>
    </row>
    <row r="982" spans="3:10" s="13" customFormat="1" ht="30.95" customHeight="1">
      <c r="C982" s="22">
        <f t="shared" si="15"/>
        <v>975</v>
      </c>
      <c r="D982" s="187" t="s">
        <v>2188</v>
      </c>
      <c r="E982" s="23" t="s">
        <v>1136</v>
      </c>
      <c r="F982" s="23" t="s">
        <v>1137</v>
      </c>
      <c r="G982" s="29">
        <v>600</v>
      </c>
      <c r="H982" s="25" t="s">
        <v>1112</v>
      </c>
      <c r="I982" s="25" t="s">
        <v>407</v>
      </c>
      <c r="J982" s="26"/>
    </row>
    <row r="983" spans="3:10" s="13" customFormat="1" ht="30.95" customHeight="1">
      <c r="C983" s="22">
        <f t="shared" si="15"/>
        <v>976</v>
      </c>
      <c r="D983" s="167" t="s">
        <v>2189</v>
      </c>
      <c r="E983" s="23" t="s">
        <v>1136</v>
      </c>
      <c r="F983" s="23" t="s">
        <v>1137</v>
      </c>
      <c r="G983" s="34">
        <v>6510</v>
      </c>
      <c r="H983" s="25" t="s">
        <v>1111</v>
      </c>
      <c r="I983" s="25" t="s">
        <v>2190</v>
      </c>
      <c r="J983" s="26"/>
    </row>
    <row r="984" spans="3:10" s="13" customFormat="1" ht="30.95" customHeight="1">
      <c r="C984" s="22">
        <f t="shared" si="15"/>
        <v>977</v>
      </c>
      <c r="D984" s="187" t="s">
        <v>2191</v>
      </c>
      <c r="E984" s="23" t="s">
        <v>1136</v>
      </c>
      <c r="F984" s="23" t="s">
        <v>1137</v>
      </c>
      <c r="G984" s="29">
        <v>2500</v>
      </c>
      <c r="H984" s="25" t="s">
        <v>1683</v>
      </c>
      <c r="I984" s="25" t="s">
        <v>407</v>
      </c>
      <c r="J984" s="26"/>
    </row>
    <row r="985" spans="3:10" s="13" customFormat="1" ht="30.95" customHeight="1">
      <c r="C985" s="22">
        <f t="shared" si="15"/>
        <v>978</v>
      </c>
      <c r="D985" s="171" t="s">
        <v>2192</v>
      </c>
      <c r="E985" s="23" t="s">
        <v>1136</v>
      </c>
      <c r="F985" s="23" t="s">
        <v>1137</v>
      </c>
      <c r="G985" s="33">
        <v>2500</v>
      </c>
      <c r="H985" s="25" t="s">
        <v>2193</v>
      </c>
      <c r="I985" s="25" t="s">
        <v>407</v>
      </c>
      <c r="J985" s="26"/>
    </row>
    <row r="986" spans="3:10" s="13" customFormat="1" ht="30.95" customHeight="1">
      <c r="C986" s="22">
        <f t="shared" si="15"/>
        <v>979</v>
      </c>
      <c r="D986" s="171" t="s">
        <v>2194</v>
      </c>
      <c r="E986" s="23" t="s">
        <v>1136</v>
      </c>
      <c r="F986" s="23" t="s">
        <v>1137</v>
      </c>
      <c r="G986" s="172">
        <v>850</v>
      </c>
      <c r="H986" s="25" t="s">
        <v>1683</v>
      </c>
      <c r="I986" s="25" t="s">
        <v>407</v>
      </c>
      <c r="J986" s="26"/>
    </row>
    <row r="987" spans="3:10" s="13" customFormat="1" ht="30.95" customHeight="1">
      <c r="C987" s="22">
        <f t="shared" si="15"/>
        <v>980</v>
      </c>
      <c r="D987" s="173" t="s">
        <v>2195</v>
      </c>
      <c r="E987" s="23" t="s">
        <v>1136</v>
      </c>
      <c r="F987" s="23" t="s">
        <v>1137</v>
      </c>
      <c r="G987" s="33">
        <v>3000</v>
      </c>
      <c r="H987" s="25" t="s">
        <v>1112</v>
      </c>
      <c r="I987" s="25" t="s">
        <v>407</v>
      </c>
      <c r="J987" s="26"/>
    </row>
    <row r="988" spans="3:10" s="13" customFormat="1" ht="30.95" customHeight="1">
      <c r="C988" s="22">
        <f t="shared" si="15"/>
        <v>981</v>
      </c>
      <c r="D988" s="187" t="s">
        <v>2196</v>
      </c>
      <c r="E988" s="23" t="s">
        <v>1136</v>
      </c>
      <c r="F988" s="23" t="s">
        <v>1137</v>
      </c>
      <c r="G988" s="29">
        <v>1000</v>
      </c>
      <c r="H988" s="25" t="s">
        <v>1112</v>
      </c>
      <c r="I988" s="25" t="s">
        <v>407</v>
      </c>
      <c r="J988" s="26"/>
    </row>
    <row r="989" spans="3:10" s="13" customFormat="1" ht="30.95" customHeight="1">
      <c r="C989" s="22">
        <f t="shared" si="15"/>
        <v>982</v>
      </c>
      <c r="D989" s="187" t="s">
        <v>2197</v>
      </c>
      <c r="E989" s="23" t="s">
        <v>1136</v>
      </c>
      <c r="F989" s="23" t="s">
        <v>1137</v>
      </c>
      <c r="G989" s="29">
        <v>900</v>
      </c>
      <c r="H989" s="25" t="s">
        <v>1112</v>
      </c>
      <c r="I989" s="25" t="s">
        <v>407</v>
      </c>
      <c r="J989" s="26"/>
    </row>
    <row r="990" spans="3:10" s="13" customFormat="1" ht="30.95" customHeight="1">
      <c r="C990" s="22">
        <f t="shared" si="15"/>
        <v>983</v>
      </c>
      <c r="D990" s="171" t="s">
        <v>2198</v>
      </c>
      <c r="E990" s="23" t="s">
        <v>1136</v>
      </c>
      <c r="F990" s="23" t="s">
        <v>1137</v>
      </c>
      <c r="G990" s="33">
        <v>900</v>
      </c>
      <c r="H990" s="25" t="s">
        <v>1112</v>
      </c>
      <c r="I990" s="25" t="s">
        <v>407</v>
      </c>
      <c r="J990" s="26"/>
    </row>
    <row r="991" spans="3:10" s="13" customFormat="1" ht="30.95" customHeight="1">
      <c r="C991" s="22">
        <f t="shared" si="15"/>
        <v>984</v>
      </c>
      <c r="D991" s="171" t="s">
        <v>2199</v>
      </c>
      <c r="E991" s="23" t="s">
        <v>1136</v>
      </c>
      <c r="F991" s="23" t="s">
        <v>1137</v>
      </c>
      <c r="G991" s="33">
        <v>850</v>
      </c>
      <c r="H991" s="25" t="s">
        <v>1690</v>
      </c>
      <c r="I991" s="25" t="s">
        <v>407</v>
      </c>
      <c r="J991" s="26"/>
    </row>
    <row r="992" spans="3:10" s="13" customFormat="1" ht="30.95" customHeight="1">
      <c r="C992" s="22">
        <f t="shared" si="15"/>
        <v>985</v>
      </c>
      <c r="D992" s="171" t="s">
        <v>3782</v>
      </c>
      <c r="E992" s="23" t="s">
        <v>1136</v>
      </c>
      <c r="F992" s="23" t="s">
        <v>1137</v>
      </c>
      <c r="G992" s="170">
        <v>1900</v>
      </c>
      <c r="H992" s="25" t="s">
        <v>1834</v>
      </c>
      <c r="I992" s="164" t="s">
        <v>407</v>
      </c>
      <c r="J992" s="26"/>
    </row>
    <row r="993" spans="3:10" s="13" customFormat="1" ht="30.95" customHeight="1">
      <c r="C993" s="22">
        <f t="shared" si="15"/>
        <v>986</v>
      </c>
      <c r="D993" s="171" t="s">
        <v>2200</v>
      </c>
      <c r="E993" s="23" t="s">
        <v>1136</v>
      </c>
      <c r="F993" s="23" t="s">
        <v>1137</v>
      </c>
      <c r="G993" s="33">
        <v>2500</v>
      </c>
      <c r="H993" s="25" t="s">
        <v>1831</v>
      </c>
      <c r="I993" s="25" t="s">
        <v>407</v>
      </c>
      <c r="J993" s="26"/>
    </row>
    <row r="994" spans="3:10" s="13" customFormat="1" ht="30.95" customHeight="1">
      <c r="C994" s="22">
        <f t="shared" si="15"/>
        <v>987</v>
      </c>
      <c r="D994" s="171" t="s">
        <v>2201</v>
      </c>
      <c r="E994" s="23" t="s">
        <v>1136</v>
      </c>
      <c r="F994" s="23" t="s">
        <v>1137</v>
      </c>
      <c r="G994" s="33">
        <v>600</v>
      </c>
      <c r="H994" s="25" t="s">
        <v>1690</v>
      </c>
      <c r="I994" s="25" t="s">
        <v>407</v>
      </c>
      <c r="J994" s="26"/>
    </row>
    <row r="995" spans="3:10" s="13" customFormat="1" ht="30.95" customHeight="1">
      <c r="C995" s="22">
        <f t="shared" si="15"/>
        <v>988</v>
      </c>
      <c r="D995" s="187" t="s">
        <v>2202</v>
      </c>
      <c r="E995" s="23" t="s">
        <v>1136</v>
      </c>
      <c r="F995" s="23" t="s">
        <v>1137</v>
      </c>
      <c r="G995" s="29">
        <v>700</v>
      </c>
      <c r="H995" s="25" t="s">
        <v>1701</v>
      </c>
      <c r="I995" s="25" t="s">
        <v>2203</v>
      </c>
      <c r="J995" s="26"/>
    </row>
    <row r="996" spans="3:10" s="13" customFormat="1" ht="30.95" customHeight="1">
      <c r="C996" s="22">
        <f t="shared" si="15"/>
        <v>989</v>
      </c>
      <c r="D996" s="187" t="s">
        <v>2204</v>
      </c>
      <c r="E996" s="23" t="s">
        <v>1136</v>
      </c>
      <c r="F996" s="23" t="s">
        <v>1137</v>
      </c>
      <c r="G996" s="29">
        <v>1800</v>
      </c>
      <c r="H996" s="25" t="s">
        <v>2205</v>
      </c>
      <c r="I996" s="25" t="s">
        <v>2206</v>
      </c>
      <c r="J996" s="26"/>
    </row>
    <row r="997" spans="3:10" s="13" customFormat="1" ht="30.95" customHeight="1">
      <c r="C997" s="22">
        <f t="shared" si="15"/>
        <v>990</v>
      </c>
      <c r="D997" s="171" t="s">
        <v>2207</v>
      </c>
      <c r="E997" s="23" t="s">
        <v>1136</v>
      </c>
      <c r="F997" s="23" t="s">
        <v>1137</v>
      </c>
      <c r="G997" s="33">
        <v>1200</v>
      </c>
      <c r="H997" s="25" t="s">
        <v>1692</v>
      </c>
      <c r="I997" s="25" t="s">
        <v>407</v>
      </c>
      <c r="J997" s="26"/>
    </row>
    <row r="998" spans="3:10" s="13" customFormat="1" ht="30.95" customHeight="1">
      <c r="C998" s="22">
        <f t="shared" si="15"/>
        <v>991</v>
      </c>
      <c r="D998" s="171" t="s">
        <v>2208</v>
      </c>
      <c r="E998" s="23" t="s">
        <v>1136</v>
      </c>
      <c r="F998" s="23" t="s">
        <v>1137</v>
      </c>
      <c r="G998" s="33">
        <v>1500</v>
      </c>
      <c r="H998" s="25" t="s">
        <v>2209</v>
      </c>
      <c r="I998" s="25" t="s">
        <v>407</v>
      </c>
      <c r="J998" s="26"/>
    </row>
    <row r="999" spans="3:10" s="13" customFormat="1" ht="30.95" customHeight="1">
      <c r="C999" s="22">
        <f t="shared" si="15"/>
        <v>992</v>
      </c>
      <c r="D999" s="171" t="s">
        <v>2210</v>
      </c>
      <c r="E999" s="23" t="s">
        <v>1136</v>
      </c>
      <c r="F999" s="23" t="s">
        <v>1137</v>
      </c>
      <c r="G999" s="33">
        <v>1800</v>
      </c>
      <c r="H999" s="25" t="s">
        <v>2209</v>
      </c>
      <c r="I999" s="25" t="s">
        <v>407</v>
      </c>
      <c r="J999" s="26"/>
    </row>
    <row r="1000" spans="3:10" s="13" customFormat="1" ht="30.95" customHeight="1">
      <c r="C1000" s="22">
        <f t="shared" si="15"/>
        <v>993</v>
      </c>
      <c r="D1000" s="171" t="s">
        <v>2211</v>
      </c>
      <c r="E1000" s="23" t="s">
        <v>1136</v>
      </c>
      <c r="F1000" s="23" t="s">
        <v>1137</v>
      </c>
      <c r="G1000" s="33">
        <v>3000</v>
      </c>
      <c r="H1000" s="25" t="s">
        <v>2212</v>
      </c>
      <c r="I1000" s="25" t="s">
        <v>2213</v>
      </c>
      <c r="J1000" s="26"/>
    </row>
    <row r="1001" spans="3:10" s="13" customFormat="1" ht="30.95" customHeight="1">
      <c r="C1001" s="22">
        <f t="shared" si="15"/>
        <v>994</v>
      </c>
      <c r="D1001" s="171" t="s">
        <v>2214</v>
      </c>
      <c r="E1001" s="23" t="s">
        <v>1136</v>
      </c>
      <c r="F1001" s="23" t="s">
        <v>1137</v>
      </c>
      <c r="G1001" s="33">
        <v>4600</v>
      </c>
      <c r="H1001" s="25" t="s">
        <v>2209</v>
      </c>
      <c r="I1001" s="25" t="s">
        <v>407</v>
      </c>
      <c r="J1001" s="26"/>
    </row>
    <row r="1002" spans="3:10" s="13" customFormat="1" ht="30.95" customHeight="1">
      <c r="C1002" s="22">
        <f t="shared" si="15"/>
        <v>995</v>
      </c>
      <c r="D1002" s="171" t="s">
        <v>2215</v>
      </c>
      <c r="E1002" s="23" t="s">
        <v>1136</v>
      </c>
      <c r="F1002" s="23" t="s">
        <v>1137</v>
      </c>
      <c r="G1002" s="33">
        <v>3000</v>
      </c>
      <c r="H1002" s="25" t="s">
        <v>2216</v>
      </c>
      <c r="I1002" s="25" t="s">
        <v>2217</v>
      </c>
      <c r="J1002" s="26"/>
    </row>
    <row r="1003" spans="3:10" s="13" customFormat="1" ht="30.95" customHeight="1">
      <c r="C1003" s="22">
        <f t="shared" si="15"/>
        <v>996</v>
      </c>
      <c r="D1003" s="171" t="s">
        <v>2218</v>
      </c>
      <c r="E1003" s="23" t="s">
        <v>1136</v>
      </c>
      <c r="F1003" s="23" t="s">
        <v>1137</v>
      </c>
      <c r="G1003" s="33">
        <v>2500</v>
      </c>
      <c r="H1003" s="25" t="s">
        <v>2219</v>
      </c>
      <c r="I1003" s="25" t="s">
        <v>407</v>
      </c>
      <c r="J1003" s="26"/>
    </row>
    <row r="1004" spans="3:10" s="13" customFormat="1" ht="30.95" customHeight="1">
      <c r="C1004" s="22">
        <f t="shared" si="15"/>
        <v>997</v>
      </c>
      <c r="D1004" s="171" t="s">
        <v>2220</v>
      </c>
      <c r="E1004" s="23" t="s">
        <v>1136</v>
      </c>
      <c r="F1004" s="23" t="s">
        <v>1137</v>
      </c>
      <c r="G1004" s="33">
        <v>3000</v>
      </c>
      <c r="H1004" s="25" t="s">
        <v>2221</v>
      </c>
      <c r="I1004" s="25" t="s">
        <v>407</v>
      </c>
      <c r="J1004" s="26"/>
    </row>
    <row r="1005" spans="3:10" s="13" customFormat="1" ht="30.95" customHeight="1">
      <c r="C1005" s="22">
        <f t="shared" si="15"/>
        <v>998</v>
      </c>
      <c r="D1005" s="173" t="s">
        <v>2222</v>
      </c>
      <c r="E1005" s="23" t="s">
        <v>1136</v>
      </c>
      <c r="F1005" s="23" t="s">
        <v>1137</v>
      </c>
      <c r="G1005" s="33">
        <v>1080</v>
      </c>
      <c r="H1005" s="25" t="s">
        <v>2223</v>
      </c>
      <c r="I1005" s="25" t="s">
        <v>2224</v>
      </c>
      <c r="J1005" s="26"/>
    </row>
    <row r="1006" spans="3:10" s="13" customFormat="1" ht="30.95" customHeight="1">
      <c r="C1006" s="22">
        <f t="shared" si="15"/>
        <v>999</v>
      </c>
      <c r="D1006" s="173" t="s">
        <v>2225</v>
      </c>
      <c r="E1006" s="23" t="s">
        <v>1136</v>
      </c>
      <c r="F1006" s="23" t="s">
        <v>1137</v>
      </c>
      <c r="G1006" s="33">
        <v>306</v>
      </c>
      <c r="H1006" s="25" t="s">
        <v>433</v>
      </c>
      <c r="I1006" s="25" t="s">
        <v>407</v>
      </c>
      <c r="J1006" s="26"/>
    </row>
    <row r="1007" spans="3:10" s="13" customFormat="1" ht="30.95" customHeight="1">
      <c r="C1007" s="22">
        <f t="shared" si="15"/>
        <v>1000</v>
      </c>
      <c r="D1007" s="173" t="s">
        <v>2226</v>
      </c>
      <c r="E1007" s="23" t="s">
        <v>1136</v>
      </c>
      <c r="F1007" s="23" t="s">
        <v>1137</v>
      </c>
      <c r="G1007" s="33">
        <v>263</v>
      </c>
      <c r="H1007" s="25" t="s">
        <v>433</v>
      </c>
      <c r="I1007" s="25" t="s">
        <v>407</v>
      </c>
      <c r="J1007" s="26"/>
    </row>
    <row r="1008" spans="3:10" s="13" customFormat="1" ht="30.95" customHeight="1">
      <c r="C1008" s="22">
        <f t="shared" si="15"/>
        <v>1001</v>
      </c>
      <c r="D1008" s="173" t="s">
        <v>2227</v>
      </c>
      <c r="E1008" s="23" t="s">
        <v>1136</v>
      </c>
      <c r="F1008" s="23" t="s">
        <v>1137</v>
      </c>
      <c r="G1008" s="33">
        <v>292</v>
      </c>
      <c r="H1008" s="25" t="s">
        <v>433</v>
      </c>
      <c r="I1008" s="25" t="s">
        <v>407</v>
      </c>
      <c r="J1008" s="26"/>
    </row>
    <row r="1009" spans="3:10" s="13" customFormat="1" ht="30.95" customHeight="1">
      <c r="C1009" s="22">
        <f t="shared" si="15"/>
        <v>1002</v>
      </c>
      <c r="D1009" s="173" t="s">
        <v>2228</v>
      </c>
      <c r="E1009" s="23" t="s">
        <v>1136</v>
      </c>
      <c r="F1009" s="23" t="s">
        <v>1137</v>
      </c>
      <c r="G1009" s="33">
        <v>880</v>
      </c>
      <c r="H1009" s="25" t="s">
        <v>433</v>
      </c>
      <c r="I1009" s="25" t="s">
        <v>407</v>
      </c>
      <c r="J1009" s="26"/>
    </row>
    <row r="1010" spans="3:10" s="13" customFormat="1" ht="30.95" customHeight="1">
      <c r="C1010" s="22">
        <f t="shared" si="15"/>
        <v>1003</v>
      </c>
      <c r="D1010" s="173" t="s">
        <v>2229</v>
      </c>
      <c r="E1010" s="23" t="s">
        <v>1136</v>
      </c>
      <c r="F1010" s="23" t="s">
        <v>1137</v>
      </c>
      <c r="G1010" s="29">
        <v>185</v>
      </c>
      <c r="H1010" s="25" t="s">
        <v>433</v>
      </c>
      <c r="I1010" s="25" t="s">
        <v>407</v>
      </c>
      <c r="J1010" s="26"/>
    </row>
    <row r="1011" spans="3:10" s="13" customFormat="1" ht="30.95" customHeight="1">
      <c r="C1011" s="22">
        <f t="shared" si="15"/>
        <v>1004</v>
      </c>
      <c r="D1011" s="173" t="s">
        <v>2230</v>
      </c>
      <c r="E1011" s="23" t="s">
        <v>1136</v>
      </c>
      <c r="F1011" s="23" t="s">
        <v>1137</v>
      </c>
      <c r="G1011" s="33">
        <v>903</v>
      </c>
      <c r="H1011" s="25" t="s">
        <v>433</v>
      </c>
      <c r="I1011" s="25" t="s">
        <v>407</v>
      </c>
      <c r="J1011" s="26"/>
    </row>
    <row r="1012" spans="3:10" s="13" customFormat="1" ht="30.95" customHeight="1">
      <c r="C1012" s="22">
        <f t="shared" si="15"/>
        <v>1005</v>
      </c>
      <c r="D1012" s="173" t="s">
        <v>2231</v>
      </c>
      <c r="E1012" s="23" t="s">
        <v>1136</v>
      </c>
      <c r="F1012" s="23" t="s">
        <v>1137</v>
      </c>
      <c r="G1012" s="33">
        <v>566</v>
      </c>
      <c r="H1012" s="25" t="s">
        <v>433</v>
      </c>
      <c r="I1012" s="25" t="s">
        <v>407</v>
      </c>
      <c r="J1012" s="26"/>
    </row>
    <row r="1013" spans="3:10" s="13" customFormat="1" ht="30.95" customHeight="1">
      <c r="C1013" s="22">
        <f t="shared" si="15"/>
        <v>1006</v>
      </c>
      <c r="D1013" s="173" t="s">
        <v>2232</v>
      </c>
      <c r="E1013" s="23" t="s">
        <v>1136</v>
      </c>
      <c r="F1013" s="23" t="s">
        <v>1137</v>
      </c>
      <c r="G1013" s="33">
        <v>866</v>
      </c>
      <c r="H1013" s="25" t="s">
        <v>433</v>
      </c>
      <c r="I1013" s="25" t="s">
        <v>407</v>
      </c>
      <c r="J1013" s="26"/>
    </row>
    <row r="1014" spans="3:10" s="13" customFormat="1" ht="30.95" customHeight="1">
      <c r="C1014" s="22">
        <f t="shared" si="15"/>
        <v>1007</v>
      </c>
      <c r="D1014" s="173" t="s">
        <v>2233</v>
      </c>
      <c r="E1014" s="23" t="s">
        <v>1136</v>
      </c>
      <c r="F1014" s="23" t="s">
        <v>1137</v>
      </c>
      <c r="G1014" s="33">
        <v>711</v>
      </c>
      <c r="H1014" s="25" t="s">
        <v>433</v>
      </c>
      <c r="I1014" s="25" t="s">
        <v>407</v>
      </c>
      <c r="J1014" s="26"/>
    </row>
    <row r="1015" spans="3:10" s="13" customFormat="1" ht="30.95" customHeight="1">
      <c r="C1015" s="22">
        <f t="shared" si="15"/>
        <v>1008</v>
      </c>
      <c r="D1015" s="173" t="s">
        <v>2234</v>
      </c>
      <c r="E1015" s="23" t="s">
        <v>1136</v>
      </c>
      <c r="F1015" s="23" t="s">
        <v>1137</v>
      </c>
      <c r="G1015" s="33">
        <v>274</v>
      </c>
      <c r="H1015" s="25" t="s">
        <v>433</v>
      </c>
      <c r="I1015" s="25" t="s">
        <v>407</v>
      </c>
      <c r="J1015" s="26"/>
    </row>
    <row r="1016" spans="3:10" s="13" customFormat="1" ht="30.95" customHeight="1">
      <c r="C1016" s="22">
        <f t="shared" si="15"/>
        <v>1009</v>
      </c>
      <c r="D1016" s="173" t="s">
        <v>2235</v>
      </c>
      <c r="E1016" s="23" t="s">
        <v>1136</v>
      </c>
      <c r="F1016" s="23" t="s">
        <v>1137</v>
      </c>
      <c r="G1016" s="33">
        <v>320</v>
      </c>
      <c r="H1016" s="25" t="s">
        <v>433</v>
      </c>
      <c r="I1016" s="25" t="s">
        <v>407</v>
      </c>
      <c r="J1016" s="26"/>
    </row>
    <row r="1017" spans="3:10" s="13" customFormat="1" ht="30.95" customHeight="1">
      <c r="C1017" s="22">
        <f t="shared" si="15"/>
        <v>1010</v>
      </c>
      <c r="D1017" s="173" t="s">
        <v>2236</v>
      </c>
      <c r="E1017" s="23" t="s">
        <v>1136</v>
      </c>
      <c r="F1017" s="23" t="s">
        <v>1137</v>
      </c>
      <c r="G1017" s="33">
        <v>295</v>
      </c>
      <c r="H1017" s="25" t="s">
        <v>433</v>
      </c>
      <c r="I1017" s="25" t="s">
        <v>407</v>
      </c>
      <c r="J1017" s="26"/>
    </row>
    <row r="1018" spans="3:10" s="13" customFormat="1" ht="30.95" customHeight="1">
      <c r="C1018" s="22">
        <f t="shared" si="15"/>
        <v>1011</v>
      </c>
      <c r="D1018" s="173" t="s">
        <v>2237</v>
      </c>
      <c r="E1018" s="23" t="s">
        <v>1136</v>
      </c>
      <c r="F1018" s="23" t="s">
        <v>1137</v>
      </c>
      <c r="G1018" s="33">
        <v>576</v>
      </c>
      <c r="H1018" s="25" t="s">
        <v>433</v>
      </c>
      <c r="I1018" s="25" t="s">
        <v>407</v>
      </c>
      <c r="J1018" s="26"/>
    </row>
    <row r="1019" spans="3:10" s="13" customFormat="1" ht="30.95" customHeight="1">
      <c r="C1019" s="22">
        <f t="shared" si="15"/>
        <v>1012</v>
      </c>
      <c r="D1019" s="173" t="s">
        <v>2238</v>
      </c>
      <c r="E1019" s="23" t="s">
        <v>1136</v>
      </c>
      <c r="F1019" s="23" t="s">
        <v>1137</v>
      </c>
      <c r="G1019" s="33">
        <v>860</v>
      </c>
      <c r="H1019" s="25" t="s">
        <v>433</v>
      </c>
      <c r="I1019" s="25" t="s">
        <v>407</v>
      </c>
      <c r="J1019" s="26"/>
    </row>
    <row r="1020" spans="3:10" s="13" customFormat="1" ht="30.95" customHeight="1">
      <c r="C1020" s="22">
        <f t="shared" si="15"/>
        <v>1013</v>
      </c>
      <c r="D1020" s="173" t="s">
        <v>2239</v>
      </c>
      <c r="E1020" s="23" t="s">
        <v>1136</v>
      </c>
      <c r="F1020" s="23" t="s">
        <v>1137</v>
      </c>
      <c r="G1020" s="33">
        <v>1050</v>
      </c>
      <c r="H1020" s="25" t="s">
        <v>433</v>
      </c>
      <c r="I1020" s="25" t="s">
        <v>407</v>
      </c>
      <c r="J1020" s="26"/>
    </row>
    <row r="1021" spans="3:10" s="13" customFormat="1" ht="30.95" customHeight="1">
      <c r="C1021" s="22">
        <f t="shared" si="15"/>
        <v>1014</v>
      </c>
      <c r="D1021" s="173" t="s">
        <v>2240</v>
      </c>
      <c r="E1021" s="23" t="s">
        <v>1136</v>
      </c>
      <c r="F1021" s="23" t="s">
        <v>1137</v>
      </c>
      <c r="G1021" s="33">
        <v>216</v>
      </c>
      <c r="H1021" s="25" t="s">
        <v>433</v>
      </c>
      <c r="I1021" s="25" t="s">
        <v>407</v>
      </c>
      <c r="J1021" s="26"/>
    </row>
    <row r="1022" spans="3:10" s="13" customFormat="1" ht="30.95" customHeight="1">
      <c r="C1022" s="22">
        <f t="shared" si="15"/>
        <v>1015</v>
      </c>
      <c r="D1022" s="173" t="s">
        <v>2241</v>
      </c>
      <c r="E1022" s="23" t="s">
        <v>1136</v>
      </c>
      <c r="F1022" s="23" t="s">
        <v>1137</v>
      </c>
      <c r="G1022" s="33">
        <v>370</v>
      </c>
      <c r="H1022" s="25" t="s">
        <v>433</v>
      </c>
      <c r="I1022" s="25" t="s">
        <v>407</v>
      </c>
      <c r="J1022" s="26"/>
    </row>
    <row r="1023" spans="3:10" s="13" customFormat="1" ht="30.95" customHeight="1">
      <c r="C1023" s="22">
        <f t="shared" si="15"/>
        <v>1016</v>
      </c>
      <c r="D1023" s="173" t="s">
        <v>2242</v>
      </c>
      <c r="E1023" s="23" t="s">
        <v>1136</v>
      </c>
      <c r="F1023" s="23" t="s">
        <v>1137</v>
      </c>
      <c r="G1023" s="33">
        <v>268</v>
      </c>
      <c r="H1023" s="25" t="s">
        <v>433</v>
      </c>
      <c r="I1023" s="25" t="s">
        <v>407</v>
      </c>
      <c r="J1023" s="26"/>
    </row>
    <row r="1024" spans="3:10" s="13" customFormat="1" ht="30.95" customHeight="1">
      <c r="C1024" s="22">
        <f t="shared" si="15"/>
        <v>1017</v>
      </c>
      <c r="D1024" s="173" t="s">
        <v>2243</v>
      </c>
      <c r="E1024" s="23" t="s">
        <v>1136</v>
      </c>
      <c r="F1024" s="23" t="s">
        <v>1137</v>
      </c>
      <c r="G1024" s="33">
        <v>298</v>
      </c>
      <c r="H1024" s="25" t="s">
        <v>2244</v>
      </c>
      <c r="I1024" s="25" t="s">
        <v>407</v>
      </c>
      <c r="J1024" s="26"/>
    </row>
    <row r="1025" spans="3:10" s="13" customFormat="1" ht="30.95" customHeight="1">
      <c r="C1025" s="22">
        <f t="shared" si="15"/>
        <v>1018</v>
      </c>
      <c r="D1025" s="173" t="s">
        <v>2245</v>
      </c>
      <c r="E1025" s="23" t="s">
        <v>1136</v>
      </c>
      <c r="F1025" s="23" t="s">
        <v>1137</v>
      </c>
      <c r="G1025" s="33">
        <v>392</v>
      </c>
      <c r="H1025" s="25" t="s">
        <v>2244</v>
      </c>
      <c r="I1025" s="25" t="s">
        <v>407</v>
      </c>
      <c r="J1025" s="26"/>
    </row>
    <row r="1026" spans="3:10" s="13" customFormat="1" ht="30.95" customHeight="1">
      <c r="C1026" s="22">
        <f t="shared" si="15"/>
        <v>1019</v>
      </c>
      <c r="D1026" s="173" t="s">
        <v>2246</v>
      </c>
      <c r="E1026" s="23" t="s">
        <v>1136</v>
      </c>
      <c r="F1026" s="23" t="s">
        <v>1137</v>
      </c>
      <c r="G1026" s="33">
        <v>908</v>
      </c>
      <c r="H1026" s="25" t="s">
        <v>1188</v>
      </c>
      <c r="I1026" s="25" t="s">
        <v>407</v>
      </c>
      <c r="J1026" s="26"/>
    </row>
    <row r="1027" spans="3:10" s="13" customFormat="1" ht="30.95" customHeight="1">
      <c r="C1027" s="22">
        <f t="shared" si="15"/>
        <v>1020</v>
      </c>
      <c r="D1027" s="173" t="s">
        <v>2247</v>
      </c>
      <c r="E1027" s="23" t="s">
        <v>1136</v>
      </c>
      <c r="F1027" s="23" t="s">
        <v>1137</v>
      </c>
      <c r="G1027" s="33">
        <v>540</v>
      </c>
      <c r="H1027" s="25" t="s">
        <v>2248</v>
      </c>
      <c r="I1027" s="25" t="s">
        <v>407</v>
      </c>
      <c r="J1027" s="26"/>
    </row>
    <row r="1028" spans="3:10" s="13" customFormat="1" ht="30.95" customHeight="1">
      <c r="C1028" s="22">
        <f t="shared" si="15"/>
        <v>1021</v>
      </c>
      <c r="D1028" s="173" t="s">
        <v>2249</v>
      </c>
      <c r="E1028" s="23" t="s">
        <v>1136</v>
      </c>
      <c r="F1028" s="23" t="s">
        <v>1137</v>
      </c>
      <c r="G1028" s="33">
        <v>244</v>
      </c>
      <c r="H1028" s="25" t="s">
        <v>2250</v>
      </c>
      <c r="I1028" s="25" t="s">
        <v>407</v>
      </c>
      <c r="J1028" s="26"/>
    </row>
    <row r="1029" spans="3:10" s="13" customFormat="1" ht="30.95" customHeight="1">
      <c r="C1029" s="22">
        <f t="shared" si="15"/>
        <v>1022</v>
      </c>
      <c r="D1029" s="173" t="s">
        <v>2251</v>
      </c>
      <c r="E1029" s="23" t="s">
        <v>1136</v>
      </c>
      <c r="F1029" s="23" t="s">
        <v>1137</v>
      </c>
      <c r="G1029" s="33">
        <v>180</v>
      </c>
      <c r="H1029" s="25" t="s">
        <v>2250</v>
      </c>
      <c r="I1029" s="25" t="s">
        <v>407</v>
      </c>
      <c r="J1029" s="26"/>
    </row>
    <row r="1030" spans="3:10" s="13" customFormat="1" ht="30.95" customHeight="1">
      <c r="C1030" s="22">
        <f t="shared" si="15"/>
        <v>1023</v>
      </c>
      <c r="D1030" s="173" t="s">
        <v>2252</v>
      </c>
      <c r="E1030" s="23" t="s">
        <v>1136</v>
      </c>
      <c r="F1030" s="23" t="s">
        <v>1137</v>
      </c>
      <c r="G1030" s="33">
        <v>170</v>
      </c>
      <c r="H1030" s="25" t="s">
        <v>2250</v>
      </c>
      <c r="I1030" s="25" t="s">
        <v>407</v>
      </c>
      <c r="J1030" s="26"/>
    </row>
    <row r="1031" spans="3:10" s="13" customFormat="1" ht="30.95" customHeight="1">
      <c r="C1031" s="22">
        <f t="shared" si="15"/>
        <v>1024</v>
      </c>
      <c r="D1031" s="173" t="s">
        <v>2253</v>
      </c>
      <c r="E1031" s="23" t="s">
        <v>1136</v>
      </c>
      <c r="F1031" s="23" t="s">
        <v>1137</v>
      </c>
      <c r="G1031" s="33">
        <v>180</v>
      </c>
      <c r="H1031" s="25" t="s">
        <v>2250</v>
      </c>
      <c r="I1031" s="25" t="s">
        <v>407</v>
      </c>
      <c r="J1031" s="26"/>
    </row>
    <row r="1032" spans="3:10" s="13" customFormat="1" ht="30.95" customHeight="1">
      <c r="C1032" s="22">
        <f t="shared" si="15"/>
        <v>1025</v>
      </c>
      <c r="D1032" s="173" t="s">
        <v>2254</v>
      </c>
      <c r="E1032" s="23" t="s">
        <v>1136</v>
      </c>
      <c r="F1032" s="23" t="s">
        <v>1137</v>
      </c>
      <c r="G1032" s="33">
        <v>65</v>
      </c>
      <c r="H1032" s="25" t="s">
        <v>1187</v>
      </c>
      <c r="I1032" s="25" t="s">
        <v>407</v>
      </c>
      <c r="J1032" s="26"/>
    </row>
    <row r="1033" spans="3:10" s="13" customFormat="1" ht="30.95" customHeight="1">
      <c r="C1033" s="22">
        <f t="shared" si="15"/>
        <v>1026</v>
      </c>
      <c r="D1033" s="173" t="s">
        <v>2255</v>
      </c>
      <c r="E1033" s="23" t="s">
        <v>1136</v>
      </c>
      <c r="F1033" s="23" t="s">
        <v>1137</v>
      </c>
      <c r="G1033" s="33">
        <v>400</v>
      </c>
      <c r="H1033" s="25" t="s">
        <v>1187</v>
      </c>
      <c r="I1033" s="25" t="s">
        <v>407</v>
      </c>
      <c r="J1033" s="26"/>
    </row>
    <row r="1034" spans="3:10" s="13" customFormat="1" ht="30.95" customHeight="1">
      <c r="C1034" s="22">
        <f t="shared" ref="C1034:C1097" si="16">C1033+1</f>
        <v>1027</v>
      </c>
      <c r="D1034" s="173" t="s">
        <v>2256</v>
      </c>
      <c r="E1034" s="23" t="s">
        <v>1136</v>
      </c>
      <c r="F1034" s="23" t="s">
        <v>1137</v>
      </c>
      <c r="G1034" s="33">
        <v>275</v>
      </c>
      <c r="H1034" s="25" t="s">
        <v>1187</v>
      </c>
      <c r="I1034" s="25" t="s">
        <v>407</v>
      </c>
      <c r="J1034" s="26"/>
    </row>
    <row r="1035" spans="3:10" s="13" customFormat="1" ht="30.95" customHeight="1">
      <c r="C1035" s="22">
        <f t="shared" si="16"/>
        <v>1028</v>
      </c>
      <c r="D1035" s="173" t="s">
        <v>2257</v>
      </c>
      <c r="E1035" s="23" t="s">
        <v>1136</v>
      </c>
      <c r="F1035" s="23" t="s">
        <v>1137</v>
      </c>
      <c r="G1035" s="33">
        <v>250</v>
      </c>
      <c r="H1035" s="25" t="s">
        <v>1188</v>
      </c>
      <c r="I1035" s="25" t="s">
        <v>407</v>
      </c>
      <c r="J1035" s="26"/>
    </row>
    <row r="1036" spans="3:10" s="13" customFormat="1" ht="30.95" customHeight="1">
      <c r="C1036" s="22">
        <f t="shared" si="16"/>
        <v>1029</v>
      </c>
      <c r="D1036" s="173" t="s">
        <v>2258</v>
      </c>
      <c r="E1036" s="23" t="s">
        <v>1136</v>
      </c>
      <c r="F1036" s="23" t="s">
        <v>1137</v>
      </c>
      <c r="G1036" s="33">
        <v>330</v>
      </c>
      <c r="H1036" s="25" t="s">
        <v>1188</v>
      </c>
      <c r="I1036" s="25" t="s">
        <v>407</v>
      </c>
      <c r="J1036" s="26"/>
    </row>
    <row r="1037" spans="3:10" s="13" customFormat="1" ht="30.95" customHeight="1">
      <c r="C1037" s="22">
        <f t="shared" si="16"/>
        <v>1030</v>
      </c>
      <c r="D1037" s="173" t="s">
        <v>2259</v>
      </c>
      <c r="E1037" s="23" t="s">
        <v>1136</v>
      </c>
      <c r="F1037" s="23" t="s">
        <v>1137</v>
      </c>
      <c r="G1037" s="33">
        <v>275</v>
      </c>
      <c r="H1037" s="25" t="s">
        <v>1188</v>
      </c>
      <c r="I1037" s="25" t="s">
        <v>407</v>
      </c>
      <c r="J1037" s="26"/>
    </row>
    <row r="1038" spans="3:10" s="13" customFormat="1" ht="30.95" customHeight="1">
      <c r="C1038" s="22">
        <f t="shared" si="16"/>
        <v>1031</v>
      </c>
      <c r="D1038" s="173" t="s">
        <v>2260</v>
      </c>
      <c r="E1038" s="23" t="s">
        <v>1136</v>
      </c>
      <c r="F1038" s="23" t="s">
        <v>1137</v>
      </c>
      <c r="G1038" s="33">
        <v>215</v>
      </c>
      <c r="H1038" s="25" t="s">
        <v>1189</v>
      </c>
      <c r="I1038" s="25" t="s">
        <v>407</v>
      </c>
      <c r="J1038" s="26"/>
    </row>
    <row r="1039" spans="3:10" s="13" customFormat="1" ht="30.95" customHeight="1">
      <c r="C1039" s="22">
        <f t="shared" si="16"/>
        <v>1032</v>
      </c>
      <c r="D1039" s="173" t="s">
        <v>2261</v>
      </c>
      <c r="E1039" s="23" t="s">
        <v>1136</v>
      </c>
      <c r="F1039" s="23" t="s">
        <v>1137</v>
      </c>
      <c r="G1039" s="33">
        <v>165</v>
      </c>
      <c r="H1039" s="25" t="s">
        <v>1189</v>
      </c>
      <c r="I1039" s="25" t="s">
        <v>407</v>
      </c>
      <c r="J1039" s="26"/>
    </row>
    <row r="1040" spans="3:10" s="13" customFormat="1" ht="30.95" customHeight="1">
      <c r="C1040" s="22">
        <f t="shared" si="16"/>
        <v>1033</v>
      </c>
      <c r="D1040" s="173" t="s">
        <v>2262</v>
      </c>
      <c r="E1040" s="23" t="s">
        <v>1136</v>
      </c>
      <c r="F1040" s="23" t="s">
        <v>1137</v>
      </c>
      <c r="G1040" s="33">
        <v>210</v>
      </c>
      <c r="H1040" s="25" t="s">
        <v>1189</v>
      </c>
      <c r="I1040" s="25" t="s">
        <v>407</v>
      </c>
      <c r="J1040" s="26"/>
    </row>
    <row r="1041" spans="3:10" s="13" customFormat="1" ht="30.95" customHeight="1">
      <c r="C1041" s="22">
        <f t="shared" si="16"/>
        <v>1034</v>
      </c>
      <c r="D1041" s="173" t="s">
        <v>2263</v>
      </c>
      <c r="E1041" s="23" t="s">
        <v>1136</v>
      </c>
      <c r="F1041" s="23" t="s">
        <v>1137</v>
      </c>
      <c r="G1041" s="33">
        <v>270</v>
      </c>
      <c r="H1041" s="25" t="s">
        <v>1190</v>
      </c>
      <c r="I1041" s="25" t="s">
        <v>407</v>
      </c>
      <c r="J1041" s="26"/>
    </row>
    <row r="1042" spans="3:10" s="13" customFormat="1" ht="30.95" customHeight="1">
      <c r="C1042" s="22">
        <f t="shared" si="16"/>
        <v>1035</v>
      </c>
      <c r="D1042" s="173" t="s">
        <v>2264</v>
      </c>
      <c r="E1042" s="23" t="s">
        <v>1136</v>
      </c>
      <c r="F1042" s="23" t="s">
        <v>1137</v>
      </c>
      <c r="G1042" s="33">
        <v>248</v>
      </c>
      <c r="H1042" s="25" t="s">
        <v>1190</v>
      </c>
      <c r="I1042" s="25" t="s">
        <v>407</v>
      </c>
      <c r="J1042" s="26"/>
    </row>
    <row r="1043" spans="3:10" s="13" customFormat="1" ht="30.95" customHeight="1">
      <c r="C1043" s="22">
        <f t="shared" si="16"/>
        <v>1036</v>
      </c>
      <c r="D1043" s="173" t="s">
        <v>2265</v>
      </c>
      <c r="E1043" s="23" t="s">
        <v>1136</v>
      </c>
      <c r="F1043" s="23" t="s">
        <v>1137</v>
      </c>
      <c r="G1043" s="33">
        <v>300</v>
      </c>
      <c r="H1043" s="25" t="s">
        <v>1190</v>
      </c>
      <c r="I1043" s="25" t="s">
        <v>407</v>
      </c>
      <c r="J1043" s="26"/>
    </row>
    <row r="1044" spans="3:10" s="13" customFormat="1" ht="30.95" customHeight="1">
      <c r="C1044" s="22">
        <f t="shared" si="16"/>
        <v>1037</v>
      </c>
      <c r="D1044" s="173" t="s">
        <v>2266</v>
      </c>
      <c r="E1044" s="23" t="s">
        <v>1136</v>
      </c>
      <c r="F1044" s="23" t="s">
        <v>1137</v>
      </c>
      <c r="G1044" s="33">
        <v>225</v>
      </c>
      <c r="H1044" s="25" t="s">
        <v>1190</v>
      </c>
      <c r="I1044" s="25" t="s">
        <v>407</v>
      </c>
      <c r="J1044" s="26"/>
    </row>
    <row r="1045" spans="3:10" s="13" customFormat="1" ht="30.95" customHeight="1">
      <c r="C1045" s="22">
        <f t="shared" si="16"/>
        <v>1038</v>
      </c>
      <c r="D1045" s="173" t="s">
        <v>2267</v>
      </c>
      <c r="E1045" s="23" t="s">
        <v>1136</v>
      </c>
      <c r="F1045" s="23" t="s">
        <v>1137</v>
      </c>
      <c r="G1045" s="33">
        <v>280</v>
      </c>
      <c r="H1045" s="25" t="s">
        <v>1191</v>
      </c>
      <c r="I1045" s="25" t="s">
        <v>407</v>
      </c>
      <c r="J1045" s="26"/>
    </row>
    <row r="1046" spans="3:10" s="13" customFormat="1" ht="30.95" customHeight="1">
      <c r="C1046" s="22">
        <f t="shared" si="16"/>
        <v>1039</v>
      </c>
      <c r="D1046" s="173" t="s">
        <v>2268</v>
      </c>
      <c r="E1046" s="23" t="s">
        <v>1136</v>
      </c>
      <c r="F1046" s="23" t="s">
        <v>1137</v>
      </c>
      <c r="G1046" s="33">
        <v>193</v>
      </c>
      <c r="H1046" s="25" t="s">
        <v>1191</v>
      </c>
      <c r="I1046" s="25" t="s">
        <v>407</v>
      </c>
      <c r="J1046" s="26"/>
    </row>
    <row r="1047" spans="3:10" s="13" customFormat="1" ht="30.95" customHeight="1">
      <c r="C1047" s="22">
        <f t="shared" si="16"/>
        <v>1040</v>
      </c>
      <c r="D1047" s="173" t="s">
        <v>2269</v>
      </c>
      <c r="E1047" s="23" t="s">
        <v>1136</v>
      </c>
      <c r="F1047" s="23" t="s">
        <v>1137</v>
      </c>
      <c r="G1047" s="33">
        <v>310</v>
      </c>
      <c r="H1047" s="25" t="s">
        <v>1191</v>
      </c>
      <c r="I1047" s="25" t="s">
        <v>407</v>
      </c>
      <c r="J1047" s="26"/>
    </row>
    <row r="1048" spans="3:10" s="13" customFormat="1" ht="30.95" customHeight="1">
      <c r="C1048" s="22">
        <f t="shared" si="16"/>
        <v>1041</v>
      </c>
      <c r="D1048" s="173" t="s">
        <v>2270</v>
      </c>
      <c r="E1048" s="23" t="s">
        <v>1136</v>
      </c>
      <c r="F1048" s="23" t="s">
        <v>1137</v>
      </c>
      <c r="G1048" s="33">
        <v>226</v>
      </c>
      <c r="H1048" s="25" t="s">
        <v>1191</v>
      </c>
      <c r="I1048" s="25" t="s">
        <v>407</v>
      </c>
      <c r="J1048" s="26"/>
    </row>
    <row r="1049" spans="3:10" s="13" customFormat="1" ht="30.95" customHeight="1">
      <c r="C1049" s="22">
        <f t="shared" si="16"/>
        <v>1042</v>
      </c>
      <c r="D1049" s="173" t="s">
        <v>2271</v>
      </c>
      <c r="E1049" s="23" t="s">
        <v>1136</v>
      </c>
      <c r="F1049" s="23" t="s">
        <v>1137</v>
      </c>
      <c r="G1049" s="33">
        <v>370</v>
      </c>
      <c r="H1049" s="25" t="s">
        <v>1438</v>
      </c>
      <c r="I1049" s="25" t="s">
        <v>407</v>
      </c>
      <c r="J1049" s="26"/>
    </row>
    <row r="1050" spans="3:10" s="13" customFormat="1" ht="30.95" customHeight="1">
      <c r="C1050" s="22">
        <f t="shared" si="16"/>
        <v>1043</v>
      </c>
      <c r="D1050" s="173" t="s">
        <v>2272</v>
      </c>
      <c r="E1050" s="23" t="s">
        <v>1136</v>
      </c>
      <c r="F1050" s="23" t="s">
        <v>1137</v>
      </c>
      <c r="G1050" s="33">
        <v>200</v>
      </c>
      <c r="H1050" s="25" t="s">
        <v>1438</v>
      </c>
      <c r="I1050" s="25" t="s">
        <v>407</v>
      </c>
      <c r="J1050" s="26"/>
    </row>
    <row r="1051" spans="3:10" s="13" customFormat="1" ht="30.95" customHeight="1">
      <c r="C1051" s="22">
        <f t="shared" si="16"/>
        <v>1044</v>
      </c>
      <c r="D1051" s="173" t="s">
        <v>2273</v>
      </c>
      <c r="E1051" s="23" t="s">
        <v>1136</v>
      </c>
      <c r="F1051" s="23" t="s">
        <v>1137</v>
      </c>
      <c r="G1051" s="33">
        <v>200</v>
      </c>
      <c r="H1051" s="25" t="s">
        <v>1438</v>
      </c>
      <c r="I1051" s="25" t="s">
        <v>407</v>
      </c>
      <c r="J1051" s="26"/>
    </row>
    <row r="1052" spans="3:10" s="13" customFormat="1" ht="30.95" customHeight="1">
      <c r="C1052" s="22">
        <f t="shared" si="16"/>
        <v>1045</v>
      </c>
      <c r="D1052" s="173" t="s">
        <v>2274</v>
      </c>
      <c r="E1052" s="23" t="s">
        <v>1136</v>
      </c>
      <c r="F1052" s="23" t="s">
        <v>1137</v>
      </c>
      <c r="G1052" s="33">
        <v>300</v>
      </c>
      <c r="H1052" s="25" t="s">
        <v>1438</v>
      </c>
      <c r="I1052" s="25" t="s">
        <v>407</v>
      </c>
      <c r="J1052" s="26"/>
    </row>
    <row r="1053" spans="3:10" s="13" customFormat="1" ht="30.95" customHeight="1">
      <c r="C1053" s="22">
        <f t="shared" si="16"/>
        <v>1046</v>
      </c>
      <c r="D1053" s="173" t="s">
        <v>2275</v>
      </c>
      <c r="E1053" s="23" t="s">
        <v>1136</v>
      </c>
      <c r="F1053" s="23" t="s">
        <v>1137</v>
      </c>
      <c r="G1053" s="33">
        <v>190</v>
      </c>
      <c r="H1053" s="25" t="s">
        <v>1438</v>
      </c>
      <c r="I1053" s="25" t="s">
        <v>407</v>
      </c>
      <c r="J1053" s="26"/>
    </row>
    <row r="1054" spans="3:10" s="13" customFormat="1" ht="30.95" customHeight="1">
      <c r="C1054" s="22">
        <f t="shared" si="16"/>
        <v>1047</v>
      </c>
      <c r="D1054" s="188" t="s">
        <v>2276</v>
      </c>
      <c r="E1054" s="23" t="s">
        <v>1136</v>
      </c>
      <c r="F1054" s="23" t="s">
        <v>1137</v>
      </c>
      <c r="G1054" s="33">
        <v>225</v>
      </c>
      <c r="H1054" s="25" t="s">
        <v>1438</v>
      </c>
      <c r="I1054" s="25" t="s">
        <v>407</v>
      </c>
      <c r="J1054" s="26"/>
    </row>
    <row r="1055" spans="3:10" s="13" customFormat="1" ht="30.95" customHeight="1">
      <c r="C1055" s="22">
        <f t="shared" si="16"/>
        <v>1048</v>
      </c>
      <c r="D1055" s="188" t="s">
        <v>2277</v>
      </c>
      <c r="E1055" s="23" t="s">
        <v>1136</v>
      </c>
      <c r="F1055" s="23" t="s">
        <v>1137</v>
      </c>
      <c r="G1055" s="33">
        <v>150</v>
      </c>
      <c r="H1055" s="25" t="s">
        <v>1447</v>
      </c>
      <c r="I1055" s="25" t="s">
        <v>407</v>
      </c>
      <c r="J1055" s="26"/>
    </row>
    <row r="1056" spans="3:10" s="13" customFormat="1" ht="30.95" customHeight="1">
      <c r="C1056" s="22">
        <f t="shared" si="16"/>
        <v>1049</v>
      </c>
      <c r="D1056" s="188" t="s">
        <v>2278</v>
      </c>
      <c r="E1056" s="23" t="s">
        <v>1136</v>
      </c>
      <c r="F1056" s="23" t="s">
        <v>1137</v>
      </c>
      <c r="G1056" s="33">
        <v>250</v>
      </c>
      <c r="H1056" s="25" t="s">
        <v>1447</v>
      </c>
      <c r="I1056" s="25" t="s">
        <v>407</v>
      </c>
      <c r="J1056" s="26"/>
    </row>
    <row r="1057" spans="3:10" s="13" customFormat="1" ht="30.95" customHeight="1">
      <c r="C1057" s="22">
        <f t="shared" si="16"/>
        <v>1050</v>
      </c>
      <c r="D1057" s="188" t="s">
        <v>2279</v>
      </c>
      <c r="E1057" s="23" t="s">
        <v>1136</v>
      </c>
      <c r="F1057" s="23" t="s">
        <v>1137</v>
      </c>
      <c r="G1057" s="33">
        <v>420</v>
      </c>
      <c r="H1057" s="25" t="s">
        <v>1447</v>
      </c>
      <c r="I1057" s="25" t="s">
        <v>407</v>
      </c>
      <c r="J1057" s="26"/>
    </row>
    <row r="1058" spans="3:10" s="13" customFormat="1" ht="30.95" customHeight="1">
      <c r="C1058" s="22">
        <f t="shared" si="16"/>
        <v>1051</v>
      </c>
      <c r="D1058" s="188" t="s">
        <v>2280</v>
      </c>
      <c r="E1058" s="23" t="s">
        <v>1136</v>
      </c>
      <c r="F1058" s="23" t="s">
        <v>1137</v>
      </c>
      <c r="G1058" s="33">
        <v>250</v>
      </c>
      <c r="H1058" s="25" t="s">
        <v>1447</v>
      </c>
      <c r="I1058" s="25" t="s">
        <v>407</v>
      </c>
      <c r="J1058" s="26"/>
    </row>
    <row r="1059" spans="3:10" s="13" customFormat="1" ht="30.95" customHeight="1">
      <c r="C1059" s="22">
        <f t="shared" si="16"/>
        <v>1052</v>
      </c>
      <c r="D1059" s="188" t="s">
        <v>2281</v>
      </c>
      <c r="E1059" s="23" t="s">
        <v>1136</v>
      </c>
      <c r="F1059" s="23" t="s">
        <v>1137</v>
      </c>
      <c r="G1059" s="33">
        <v>160</v>
      </c>
      <c r="H1059" s="25" t="s">
        <v>1447</v>
      </c>
      <c r="I1059" s="25" t="s">
        <v>407</v>
      </c>
      <c r="J1059" s="26"/>
    </row>
    <row r="1060" spans="3:10" s="13" customFormat="1" ht="30.95" customHeight="1">
      <c r="C1060" s="22">
        <f t="shared" si="16"/>
        <v>1053</v>
      </c>
      <c r="D1060" s="173" t="s">
        <v>2282</v>
      </c>
      <c r="E1060" s="23" t="s">
        <v>1136</v>
      </c>
      <c r="F1060" s="23" t="s">
        <v>1137</v>
      </c>
      <c r="G1060" s="33">
        <v>160</v>
      </c>
      <c r="H1060" s="25" t="s">
        <v>2250</v>
      </c>
      <c r="I1060" s="25" t="s">
        <v>407</v>
      </c>
      <c r="J1060" s="26"/>
    </row>
    <row r="1061" spans="3:10" s="13" customFormat="1" ht="30.95" customHeight="1">
      <c r="C1061" s="22">
        <f t="shared" si="16"/>
        <v>1054</v>
      </c>
      <c r="D1061" s="173" t="s">
        <v>2283</v>
      </c>
      <c r="E1061" s="23" t="s">
        <v>1136</v>
      </c>
      <c r="F1061" s="23" t="s">
        <v>1137</v>
      </c>
      <c r="G1061" s="33">
        <v>150</v>
      </c>
      <c r="H1061" s="25" t="s">
        <v>2250</v>
      </c>
      <c r="I1061" s="25" t="s">
        <v>407</v>
      </c>
      <c r="J1061" s="26"/>
    </row>
    <row r="1062" spans="3:10" s="13" customFormat="1" ht="30.95" customHeight="1">
      <c r="C1062" s="22">
        <f t="shared" si="16"/>
        <v>1055</v>
      </c>
      <c r="D1062" s="173" t="s">
        <v>2284</v>
      </c>
      <c r="E1062" s="23" t="s">
        <v>1136</v>
      </c>
      <c r="F1062" s="23" t="s">
        <v>1137</v>
      </c>
      <c r="G1062" s="33">
        <v>194</v>
      </c>
      <c r="H1062" s="25" t="s">
        <v>1187</v>
      </c>
      <c r="I1062" s="25" t="s">
        <v>407</v>
      </c>
      <c r="J1062" s="26"/>
    </row>
    <row r="1063" spans="3:10" s="13" customFormat="1" ht="30.95" customHeight="1">
      <c r="C1063" s="22">
        <f t="shared" si="16"/>
        <v>1056</v>
      </c>
      <c r="D1063" s="173" t="s">
        <v>2285</v>
      </c>
      <c r="E1063" s="23" t="s">
        <v>1136</v>
      </c>
      <c r="F1063" s="23" t="s">
        <v>1137</v>
      </c>
      <c r="G1063" s="33">
        <v>62</v>
      </c>
      <c r="H1063" s="25" t="s">
        <v>1188</v>
      </c>
      <c r="I1063" s="25" t="s">
        <v>407</v>
      </c>
      <c r="J1063" s="26"/>
    </row>
    <row r="1064" spans="3:10" s="13" customFormat="1" ht="30.95" customHeight="1">
      <c r="C1064" s="22">
        <f t="shared" si="16"/>
        <v>1057</v>
      </c>
      <c r="D1064" s="173" t="s">
        <v>2286</v>
      </c>
      <c r="E1064" s="23" t="s">
        <v>1136</v>
      </c>
      <c r="F1064" s="23" t="s">
        <v>1137</v>
      </c>
      <c r="G1064" s="33">
        <v>140</v>
      </c>
      <c r="H1064" s="25" t="s">
        <v>1190</v>
      </c>
      <c r="I1064" s="25" t="s">
        <v>407</v>
      </c>
      <c r="J1064" s="26"/>
    </row>
    <row r="1065" spans="3:10" s="13" customFormat="1" ht="30.95" customHeight="1">
      <c r="C1065" s="22">
        <f t="shared" si="16"/>
        <v>1058</v>
      </c>
      <c r="D1065" s="173" t="s">
        <v>2287</v>
      </c>
      <c r="E1065" s="23" t="s">
        <v>1136</v>
      </c>
      <c r="F1065" s="23" t="s">
        <v>1137</v>
      </c>
      <c r="G1065" s="33">
        <v>300</v>
      </c>
      <c r="H1065" s="25" t="s">
        <v>1190</v>
      </c>
      <c r="I1065" s="25" t="s">
        <v>407</v>
      </c>
      <c r="J1065" s="26"/>
    </row>
    <row r="1066" spans="3:10" s="13" customFormat="1" ht="30.95" customHeight="1">
      <c r="C1066" s="22">
        <f t="shared" si="16"/>
        <v>1059</v>
      </c>
      <c r="D1066" s="173" t="s">
        <v>2288</v>
      </c>
      <c r="E1066" s="23" t="s">
        <v>1136</v>
      </c>
      <c r="F1066" s="23" t="s">
        <v>1137</v>
      </c>
      <c r="G1066" s="33">
        <v>125</v>
      </c>
      <c r="H1066" s="25" t="s">
        <v>1190</v>
      </c>
      <c r="I1066" s="25" t="s">
        <v>407</v>
      </c>
      <c r="J1066" s="26"/>
    </row>
    <row r="1067" spans="3:10" s="13" customFormat="1" ht="30.95" customHeight="1">
      <c r="C1067" s="22">
        <f t="shared" si="16"/>
        <v>1060</v>
      </c>
      <c r="D1067" s="173" t="s">
        <v>2289</v>
      </c>
      <c r="E1067" s="23" t="s">
        <v>1136</v>
      </c>
      <c r="F1067" s="23" t="s">
        <v>1137</v>
      </c>
      <c r="G1067" s="33">
        <v>115</v>
      </c>
      <c r="H1067" s="25" t="s">
        <v>1190</v>
      </c>
      <c r="I1067" s="25" t="s">
        <v>407</v>
      </c>
      <c r="J1067" s="26"/>
    </row>
    <row r="1068" spans="3:10" s="13" customFormat="1" ht="30.95" customHeight="1">
      <c r="C1068" s="22">
        <f t="shared" si="16"/>
        <v>1061</v>
      </c>
      <c r="D1068" s="173" t="s">
        <v>2290</v>
      </c>
      <c r="E1068" s="23" t="s">
        <v>1136</v>
      </c>
      <c r="F1068" s="23" t="s">
        <v>1137</v>
      </c>
      <c r="G1068" s="33">
        <v>165</v>
      </c>
      <c r="H1068" s="25" t="s">
        <v>1438</v>
      </c>
      <c r="I1068" s="25" t="s">
        <v>407</v>
      </c>
      <c r="J1068" s="26"/>
    </row>
    <row r="1069" spans="3:10" s="13" customFormat="1" ht="30.95" customHeight="1">
      <c r="C1069" s="22">
        <f t="shared" si="16"/>
        <v>1062</v>
      </c>
      <c r="D1069" s="173" t="s">
        <v>2291</v>
      </c>
      <c r="E1069" s="23" t="s">
        <v>1136</v>
      </c>
      <c r="F1069" s="23" t="s">
        <v>1137</v>
      </c>
      <c r="G1069" s="33">
        <v>50</v>
      </c>
      <c r="H1069" s="25" t="s">
        <v>1438</v>
      </c>
      <c r="I1069" s="25" t="s">
        <v>407</v>
      </c>
      <c r="J1069" s="26"/>
    </row>
    <row r="1070" spans="3:10" s="13" customFormat="1" ht="30.95" customHeight="1">
      <c r="C1070" s="22">
        <f t="shared" si="16"/>
        <v>1063</v>
      </c>
      <c r="D1070" s="173" t="s">
        <v>2292</v>
      </c>
      <c r="E1070" s="23" t="s">
        <v>1136</v>
      </c>
      <c r="F1070" s="23" t="s">
        <v>1137</v>
      </c>
      <c r="G1070" s="33">
        <v>100</v>
      </c>
      <c r="H1070" s="25" t="s">
        <v>1438</v>
      </c>
      <c r="I1070" s="25" t="s">
        <v>407</v>
      </c>
      <c r="J1070" s="26"/>
    </row>
    <row r="1071" spans="3:10" s="13" customFormat="1" ht="30.95" customHeight="1">
      <c r="C1071" s="22">
        <f t="shared" si="16"/>
        <v>1064</v>
      </c>
      <c r="D1071" s="173" t="s">
        <v>2293</v>
      </c>
      <c r="E1071" s="23" t="s">
        <v>1136</v>
      </c>
      <c r="F1071" s="23" t="s">
        <v>1137</v>
      </c>
      <c r="G1071" s="33">
        <v>200</v>
      </c>
      <c r="H1071" s="25" t="s">
        <v>1438</v>
      </c>
      <c r="I1071" s="25" t="s">
        <v>407</v>
      </c>
      <c r="J1071" s="26"/>
    </row>
    <row r="1072" spans="3:10" s="13" customFormat="1" ht="30.95" customHeight="1">
      <c r="C1072" s="22">
        <f t="shared" si="16"/>
        <v>1065</v>
      </c>
      <c r="D1072" s="173" t="s">
        <v>2294</v>
      </c>
      <c r="E1072" s="23" t="s">
        <v>1136</v>
      </c>
      <c r="F1072" s="23" t="s">
        <v>1137</v>
      </c>
      <c r="G1072" s="33">
        <v>210</v>
      </c>
      <c r="H1072" s="25" t="s">
        <v>1447</v>
      </c>
      <c r="I1072" s="25" t="s">
        <v>407</v>
      </c>
      <c r="J1072" s="26"/>
    </row>
    <row r="1073" spans="3:10" s="13" customFormat="1" ht="30.95" customHeight="1">
      <c r="C1073" s="22">
        <f t="shared" si="16"/>
        <v>1066</v>
      </c>
      <c r="D1073" s="173" t="s">
        <v>2295</v>
      </c>
      <c r="E1073" s="23" t="s">
        <v>1136</v>
      </c>
      <c r="F1073" s="23" t="s">
        <v>1137</v>
      </c>
      <c r="G1073" s="33">
        <v>170</v>
      </c>
      <c r="H1073" s="25" t="s">
        <v>1447</v>
      </c>
      <c r="I1073" s="25" t="s">
        <v>407</v>
      </c>
      <c r="J1073" s="26"/>
    </row>
    <row r="1074" spans="3:10" s="13" customFormat="1" ht="30.95" customHeight="1">
      <c r="C1074" s="22">
        <f t="shared" si="16"/>
        <v>1067</v>
      </c>
      <c r="D1074" s="173" t="s">
        <v>2296</v>
      </c>
      <c r="E1074" s="23" t="s">
        <v>1136</v>
      </c>
      <c r="F1074" s="23" t="s">
        <v>1137</v>
      </c>
      <c r="G1074" s="33">
        <v>275</v>
      </c>
      <c r="H1074" s="25" t="s">
        <v>1447</v>
      </c>
      <c r="I1074" s="25" t="s">
        <v>407</v>
      </c>
      <c r="J1074" s="26"/>
    </row>
    <row r="1075" spans="3:10" s="13" customFormat="1" ht="30.95" customHeight="1">
      <c r="C1075" s="22">
        <f t="shared" si="16"/>
        <v>1068</v>
      </c>
      <c r="D1075" s="173" t="s">
        <v>2297</v>
      </c>
      <c r="E1075" s="23" t="s">
        <v>1136</v>
      </c>
      <c r="F1075" s="23" t="s">
        <v>1137</v>
      </c>
      <c r="G1075" s="33">
        <v>75</v>
      </c>
      <c r="H1075" s="25" t="s">
        <v>1447</v>
      </c>
      <c r="I1075" s="25" t="s">
        <v>407</v>
      </c>
      <c r="J1075" s="26"/>
    </row>
    <row r="1076" spans="3:10" s="13" customFormat="1" ht="30.95" customHeight="1">
      <c r="C1076" s="22">
        <f t="shared" si="16"/>
        <v>1069</v>
      </c>
      <c r="D1076" s="173" t="s">
        <v>2298</v>
      </c>
      <c r="E1076" s="23" t="s">
        <v>1136</v>
      </c>
      <c r="F1076" s="23" t="s">
        <v>1137</v>
      </c>
      <c r="G1076" s="33">
        <v>250</v>
      </c>
      <c r="H1076" s="25" t="s">
        <v>1447</v>
      </c>
      <c r="I1076" s="25" t="s">
        <v>407</v>
      </c>
      <c r="J1076" s="26"/>
    </row>
    <row r="1077" spans="3:10" s="13" customFormat="1" ht="30.95" customHeight="1">
      <c r="C1077" s="22">
        <f t="shared" si="16"/>
        <v>1070</v>
      </c>
      <c r="D1077" s="173" t="s">
        <v>2299</v>
      </c>
      <c r="E1077" s="23" t="s">
        <v>1136</v>
      </c>
      <c r="F1077" s="23" t="s">
        <v>1137</v>
      </c>
      <c r="G1077" s="33">
        <v>192</v>
      </c>
      <c r="H1077" s="25" t="s">
        <v>2300</v>
      </c>
      <c r="I1077" s="25" t="s">
        <v>407</v>
      </c>
      <c r="J1077" s="26"/>
    </row>
    <row r="1078" spans="3:10" s="13" customFormat="1" ht="30.95" customHeight="1">
      <c r="C1078" s="22">
        <f t="shared" si="16"/>
        <v>1071</v>
      </c>
      <c r="D1078" s="173" t="s">
        <v>2301</v>
      </c>
      <c r="E1078" s="23" t="s">
        <v>1136</v>
      </c>
      <c r="F1078" s="23" t="s">
        <v>1137</v>
      </c>
      <c r="G1078" s="33">
        <v>150</v>
      </c>
      <c r="H1078" s="25" t="s">
        <v>2300</v>
      </c>
      <c r="I1078" s="25" t="s">
        <v>407</v>
      </c>
      <c r="J1078" s="26"/>
    </row>
    <row r="1079" spans="3:10" s="13" customFormat="1" ht="30.95" customHeight="1">
      <c r="C1079" s="22">
        <f t="shared" si="16"/>
        <v>1072</v>
      </c>
      <c r="D1079" s="173" t="s">
        <v>2302</v>
      </c>
      <c r="E1079" s="23" t="s">
        <v>1136</v>
      </c>
      <c r="F1079" s="23" t="s">
        <v>1137</v>
      </c>
      <c r="G1079" s="33">
        <v>145</v>
      </c>
      <c r="H1079" s="25" t="s">
        <v>2300</v>
      </c>
      <c r="I1079" s="25" t="s">
        <v>407</v>
      </c>
      <c r="J1079" s="26"/>
    </row>
    <row r="1080" spans="3:10" s="13" customFormat="1" ht="30.95" customHeight="1">
      <c r="C1080" s="22">
        <f t="shared" si="16"/>
        <v>1073</v>
      </c>
      <c r="D1080" s="173" t="s">
        <v>2303</v>
      </c>
      <c r="E1080" s="23" t="s">
        <v>1136</v>
      </c>
      <c r="F1080" s="23" t="s">
        <v>1137</v>
      </c>
      <c r="G1080" s="33">
        <v>206</v>
      </c>
      <c r="H1080" s="25" t="s">
        <v>2300</v>
      </c>
      <c r="I1080" s="25" t="s">
        <v>407</v>
      </c>
      <c r="J1080" s="26"/>
    </row>
    <row r="1081" spans="3:10" s="13" customFormat="1" ht="30.95" customHeight="1">
      <c r="C1081" s="22">
        <f t="shared" si="16"/>
        <v>1074</v>
      </c>
      <c r="D1081" s="173" t="s">
        <v>2304</v>
      </c>
      <c r="E1081" s="23" t="s">
        <v>1136</v>
      </c>
      <c r="F1081" s="23" t="s">
        <v>1137</v>
      </c>
      <c r="G1081" s="33">
        <v>120</v>
      </c>
      <c r="H1081" s="25" t="s">
        <v>2300</v>
      </c>
      <c r="I1081" s="25" t="s">
        <v>407</v>
      </c>
      <c r="J1081" s="26"/>
    </row>
    <row r="1082" spans="3:10" s="13" customFormat="1" ht="30.95" customHeight="1">
      <c r="C1082" s="22">
        <f t="shared" si="16"/>
        <v>1075</v>
      </c>
      <c r="D1082" s="173" t="s">
        <v>2305</v>
      </c>
      <c r="E1082" s="23" t="s">
        <v>1136</v>
      </c>
      <c r="F1082" s="23" t="s">
        <v>1137</v>
      </c>
      <c r="G1082" s="33">
        <v>292</v>
      </c>
      <c r="H1082" s="25" t="s">
        <v>2306</v>
      </c>
      <c r="I1082" s="25" t="s">
        <v>407</v>
      </c>
      <c r="J1082" s="26"/>
    </row>
    <row r="1083" spans="3:10" s="13" customFormat="1" ht="30.95" customHeight="1">
      <c r="C1083" s="22">
        <f t="shared" si="16"/>
        <v>1076</v>
      </c>
      <c r="D1083" s="173" t="s">
        <v>2307</v>
      </c>
      <c r="E1083" s="23" t="s">
        <v>1136</v>
      </c>
      <c r="F1083" s="23" t="s">
        <v>1137</v>
      </c>
      <c r="G1083" s="33">
        <v>245</v>
      </c>
      <c r="H1083" s="25" t="s">
        <v>2306</v>
      </c>
      <c r="I1083" s="25" t="s">
        <v>407</v>
      </c>
      <c r="J1083" s="26"/>
    </row>
    <row r="1084" spans="3:10" s="13" customFormat="1" ht="30.95" customHeight="1">
      <c r="C1084" s="22">
        <f t="shared" si="16"/>
        <v>1077</v>
      </c>
      <c r="D1084" s="173" t="s">
        <v>2308</v>
      </c>
      <c r="E1084" s="23" t="s">
        <v>1136</v>
      </c>
      <c r="F1084" s="23" t="s">
        <v>1137</v>
      </c>
      <c r="G1084" s="33">
        <v>130</v>
      </c>
      <c r="H1084" s="25" t="s">
        <v>2306</v>
      </c>
      <c r="I1084" s="25" t="s">
        <v>407</v>
      </c>
      <c r="J1084" s="26"/>
    </row>
    <row r="1085" spans="3:10" s="13" customFormat="1" ht="30.95" customHeight="1">
      <c r="C1085" s="22">
        <f t="shared" si="16"/>
        <v>1078</v>
      </c>
      <c r="D1085" s="173" t="s">
        <v>2309</v>
      </c>
      <c r="E1085" s="23" t="s">
        <v>1136</v>
      </c>
      <c r="F1085" s="23" t="s">
        <v>1137</v>
      </c>
      <c r="G1085" s="33">
        <v>75</v>
      </c>
      <c r="H1085" s="25" t="s">
        <v>2310</v>
      </c>
      <c r="I1085" s="25" t="s">
        <v>407</v>
      </c>
      <c r="J1085" s="26"/>
    </row>
    <row r="1086" spans="3:10" s="13" customFormat="1" ht="30.95" customHeight="1">
      <c r="C1086" s="22">
        <f t="shared" si="16"/>
        <v>1079</v>
      </c>
      <c r="D1086" s="173" t="s">
        <v>2311</v>
      </c>
      <c r="E1086" s="23" t="s">
        <v>1136</v>
      </c>
      <c r="F1086" s="23" t="s">
        <v>1137</v>
      </c>
      <c r="G1086" s="33">
        <v>250</v>
      </c>
      <c r="H1086" s="25" t="s">
        <v>2310</v>
      </c>
      <c r="I1086" s="25" t="s">
        <v>407</v>
      </c>
      <c r="J1086" s="26"/>
    </row>
    <row r="1087" spans="3:10" s="13" customFormat="1" ht="30.95" customHeight="1">
      <c r="C1087" s="22">
        <f t="shared" si="16"/>
        <v>1080</v>
      </c>
      <c r="D1087" s="173" t="s">
        <v>2312</v>
      </c>
      <c r="E1087" s="23" t="s">
        <v>1136</v>
      </c>
      <c r="F1087" s="23" t="s">
        <v>1137</v>
      </c>
      <c r="G1087" s="33">
        <v>225</v>
      </c>
      <c r="H1087" s="25" t="s">
        <v>2310</v>
      </c>
      <c r="I1087" s="25" t="s">
        <v>407</v>
      </c>
      <c r="J1087" s="26"/>
    </row>
    <row r="1088" spans="3:10" s="13" customFormat="1" ht="30.95" customHeight="1">
      <c r="C1088" s="22">
        <f t="shared" si="16"/>
        <v>1081</v>
      </c>
      <c r="D1088" s="188" t="s">
        <v>2313</v>
      </c>
      <c r="E1088" s="23" t="s">
        <v>1136</v>
      </c>
      <c r="F1088" s="23" t="s">
        <v>1137</v>
      </c>
      <c r="G1088" s="33">
        <v>250</v>
      </c>
      <c r="H1088" s="25" t="s">
        <v>2314</v>
      </c>
      <c r="I1088" s="25" t="s">
        <v>407</v>
      </c>
      <c r="J1088" s="26"/>
    </row>
    <row r="1089" spans="3:10" s="13" customFormat="1" ht="30.95" customHeight="1">
      <c r="C1089" s="22">
        <f t="shared" si="16"/>
        <v>1082</v>
      </c>
      <c r="D1089" s="188" t="s">
        <v>2315</v>
      </c>
      <c r="E1089" s="23" t="s">
        <v>1136</v>
      </c>
      <c r="F1089" s="23" t="s">
        <v>1137</v>
      </c>
      <c r="G1089" s="33">
        <v>225</v>
      </c>
      <c r="H1089" s="25" t="s">
        <v>2314</v>
      </c>
      <c r="I1089" s="25" t="s">
        <v>407</v>
      </c>
      <c r="J1089" s="26"/>
    </row>
    <row r="1090" spans="3:10" s="13" customFormat="1" ht="30.95" customHeight="1">
      <c r="C1090" s="22">
        <f t="shared" si="16"/>
        <v>1083</v>
      </c>
      <c r="D1090" s="173" t="s">
        <v>2316</v>
      </c>
      <c r="E1090" s="23" t="s">
        <v>1136</v>
      </c>
      <c r="F1090" s="23" t="s">
        <v>1137</v>
      </c>
      <c r="G1090" s="33">
        <v>200</v>
      </c>
      <c r="H1090" s="25" t="s">
        <v>2317</v>
      </c>
      <c r="I1090" s="25" t="s">
        <v>407</v>
      </c>
      <c r="J1090" s="26"/>
    </row>
    <row r="1091" spans="3:10" s="13" customFormat="1" ht="30.95" customHeight="1">
      <c r="C1091" s="22">
        <f t="shared" si="16"/>
        <v>1084</v>
      </c>
      <c r="D1091" s="173" t="s">
        <v>2318</v>
      </c>
      <c r="E1091" s="23" t="s">
        <v>1136</v>
      </c>
      <c r="F1091" s="23" t="s">
        <v>1137</v>
      </c>
      <c r="G1091" s="33">
        <v>380</v>
      </c>
      <c r="H1091" s="25" t="s">
        <v>2317</v>
      </c>
      <c r="I1091" s="25" t="s">
        <v>407</v>
      </c>
      <c r="J1091" s="26"/>
    </row>
    <row r="1092" spans="3:10" s="13" customFormat="1" ht="30.95" customHeight="1">
      <c r="C1092" s="22">
        <f t="shared" si="16"/>
        <v>1085</v>
      </c>
      <c r="D1092" s="188" t="s">
        <v>2319</v>
      </c>
      <c r="E1092" s="23" t="s">
        <v>1136</v>
      </c>
      <c r="F1092" s="23" t="s">
        <v>1137</v>
      </c>
      <c r="G1092" s="33">
        <v>190</v>
      </c>
      <c r="H1092" s="25" t="s">
        <v>2317</v>
      </c>
      <c r="I1092" s="25" t="s">
        <v>407</v>
      </c>
      <c r="J1092" s="26"/>
    </row>
    <row r="1093" spans="3:10" s="13" customFormat="1" ht="30.95" customHeight="1">
      <c r="C1093" s="22">
        <f t="shared" si="16"/>
        <v>1086</v>
      </c>
      <c r="D1093" s="173" t="s">
        <v>2320</v>
      </c>
      <c r="E1093" s="23" t="s">
        <v>1136</v>
      </c>
      <c r="F1093" s="23" t="s">
        <v>1137</v>
      </c>
      <c r="G1093" s="33">
        <v>325</v>
      </c>
      <c r="H1093" s="25" t="s">
        <v>2317</v>
      </c>
      <c r="I1093" s="25" t="s">
        <v>407</v>
      </c>
      <c r="J1093" s="26"/>
    </row>
    <row r="1094" spans="3:10" s="13" customFormat="1" ht="30.95" customHeight="1">
      <c r="C1094" s="22">
        <f t="shared" si="16"/>
        <v>1087</v>
      </c>
      <c r="D1094" s="173" t="s">
        <v>2321</v>
      </c>
      <c r="E1094" s="23" t="s">
        <v>1136</v>
      </c>
      <c r="F1094" s="23" t="s">
        <v>1137</v>
      </c>
      <c r="G1094" s="33">
        <v>210</v>
      </c>
      <c r="H1094" s="25" t="s">
        <v>2317</v>
      </c>
      <c r="I1094" s="25" t="s">
        <v>407</v>
      </c>
      <c r="J1094" s="26"/>
    </row>
    <row r="1095" spans="3:10" s="13" customFormat="1" ht="30.95" customHeight="1">
      <c r="C1095" s="22">
        <f t="shared" si="16"/>
        <v>1088</v>
      </c>
      <c r="D1095" s="173" t="s">
        <v>2322</v>
      </c>
      <c r="E1095" s="23" t="s">
        <v>1136</v>
      </c>
      <c r="F1095" s="23" t="s">
        <v>1137</v>
      </c>
      <c r="G1095" s="33">
        <v>235</v>
      </c>
      <c r="H1095" s="25" t="s">
        <v>2323</v>
      </c>
      <c r="I1095" s="25" t="s">
        <v>407</v>
      </c>
      <c r="J1095" s="26"/>
    </row>
    <row r="1096" spans="3:10" s="13" customFormat="1" ht="30.95" customHeight="1">
      <c r="C1096" s="22">
        <f t="shared" si="16"/>
        <v>1089</v>
      </c>
      <c r="D1096" s="173" t="s">
        <v>2324</v>
      </c>
      <c r="E1096" s="23" t="s">
        <v>1136</v>
      </c>
      <c r="F1096" s="23" t="s">
        <v>1137</v>
      </c>
      <c r="G1096" s="33">
        <v>226</v>
      </c>
      <c r="H1096" s="25" t="s">
        <v>2323</v>
      </c>
      <c r="I1096" s="25" t="s">
        <v>407</v>
      </c>
      <c r="J1096" s="26"/>
    </row>
    <row r="1097" spans="3:10" s="13" customFormat="1" ht="30.95" customHeight="1">
      <c r="C1097" s="22">
        <f t="shared" si="16"/>
        <v>1090</v>
      </c>
      <c r="D1097" s="173" t="s">
        <v>2325</v>
      </c>
      <c r="E1097" s="23" t="s">
        <v>1136</v>
      </c>
      <c r="F1097" s="23" t="s">
        <v>1137</v>
      </c>
      <c r="G1097" s="33">
        <v>150</v>
      </c>
      <c r="H1097" s="25" t="s">
        <v>2323</v>
      </c>
      <c r="I1097" s="25" t="s">
        <v>407</v>
      </c>
      <c r="J1097" s="26"/>
    </row>
    <row r="1098" spans="3:10" s="13" customFormat="1" ht="30.95" customHeight="1">
      <c r="C1098" s="22">
        <f t="shared" ref="C1098:C1161" si="17">C1097+1</f>
        <v>1091</v>
      </c>
      <c r="D1098" s="173" t="s">
        <v>2326</v>
      </c>
      <c r="E1098" s="23" t="s">
        <v>1136</v>
      </c>
      <c r="F1098" s="23" t="s">
        <v>1137</v>
      </c>
      <c r="G1098" s="33">
        <v>125</v>
      </c>
      <c r="H1098" s="25" t="s">
        <v>2327</v>
      </c>
      <c r="I1098" s="25" t="s">
        <v>407</v>
      </c>
      <c r="J1098" s="26"/>
    </row>
    <row r="1099" spans="3:10" s="13" customFormat="1" ht="30.95" customHeight="1">
      <c r="C1099" s="22">
        <f t="shared" si="17"/>
        <v>1092</v>
      </c>
      <c r="D1099" s="173" t="s">
        <v>2328</v>
      </c>
      <c r="E1099" s="23" t="s">
        <v>1136</v>
      </c>
      <c r="F1099" s="23" t="s">
        <v>1137</v>
      </c>
      <c r="G1099" s="33">
        <v>235</v>
      </c>
      <c r="H1099" s="25" t="s">
        <v>2329</v>
      </c>
      <c r="I1099" s="25" t="s">
        <v>407</v>
      </c>
      <c r="J1099" s="26"/>
    </row>
    <row r="1100" spans="3:10" s="13" customFormat="1" ht="30.95" customHeight="1">
      <c r="C1100" s="22">
        <f t="shared" si="17"/>
        <v>1093</v>
      </c>
      <c r="D1100" s="188" t="s">
        <v>2330</v>
      </c>
      <c r="E1100" s="23" t="s">
        <v>1136</v>
      </c>
      <c r="F1100" s="23" t="s">
        <v>1137</v>
      </c>
      <c r="G1100" s="33">
        <v>210</v>
      </c>
      <c r="H1100" s="25" t="s">
        <v>2329</v>
      </c>
      <c r="I1100" s="25" t="s">
        <v>407</v>
      </c>
      <c r="J1100" s="26"/>
    </row>
    <row r="1101" spans="3:10" s="13" customFormat="1" ht="30.95" customHeight="1">
      <c r="C1101" s="22">
        <f t="shared" si="17"/>
        <v>1094</v>
      </c>
      <c r="D1101" s="173" t="s">
        <v>2331</v>
      </c>
      <c r="E1101" s="23" t="s">
        <v>1136</v>
      </c>
      <c r="F1101" s="23" t="s">
        <v>1137</v>
      </c>
      <c r="G1101" s="33">
        <v>190</v>
      </c>
      <c r="H1101" s="25" t="s">
        <v>2329</v>
      </c>
      <c r="I1101" s="25" t="s">
        <v>407</v>
      </c>
      <c r="J1101" s="26"/>
    </row>
    <row r="1102" spans="3:10" s="13" customFormat="1" ht="30.95" customHeight="1">
      <c r="C1102" s="22">
        <f t="shared" si="17"/>
        <v>1095</v>
      </c>
      <c r="D1102" s="173" t="s">
        <v>2332</v>
      </c>
      <c r="E1102" s="23" t="s">
        <v>1136</v>
      </c>
      <c r="F1102" s="23" t="s">
        <v>1137</v>
      </c>
      <c r="G1102" s="33">
        <v>110</v>
      </c>
      <c r="H1102" s="25" t="s">
        <v>2333</v>
      </c>
      <c r="I1102" s="25" t="s">
        <v>407</v>
      </c>
      <c r="J1102" s="26"/>
    </row>
    <row r="1103" spans="3:10" s="13" customFormat="1" ht="30.95" customHeight="1">
      <c r="C1103" s="22">
        <f t="shared" si="17"/>
        <v>1096</v>
      </c>
      <c r="D1103" s="173" t="s">
        <v>2334</v>
      </c>
      <c r="E1103" s="23" t="s">
        <v>1136</v>
      </c>
      <c r="F1103" s="23" t="s">
        <v>1137</v>
      </c>
      <c r="G1103" s="33">
        <v>175</v>
      </c>
      <c r="H1103" s="25" t="s">
        <v>2333</v>
      </c>
      <c r="I1103" s="25" t="s">
        <v>407</v>
      </c>
      <c r="J1103" s="26"/>
    </row>
    <row r="1104" spans="3:10" s="13" customFormat="1" ht="30.95" customHeight="1">
      <c r="C1104" s="22">
        <f t="shared" si="17"/>
        <v>1097</v>
      </c>
      <c r="D1104" s="188" t="s">
        <v>2335</v>
      </c>
      <c r="E1104" s="23" t="s">
        <v>1136</v>
      </c>
      <c r="F1104" s="23" t="s">
        <v>1137</v>
      </c>
      <c r="G1104" s="33">
        <v>75</v>
      </c>
      <c r="H1104" s="25" t="s">
        <v>1553</v>
      </c>
      <c r="I1104" s="25" t="s">
        <v>407</v>
      </c>
      <c r="J1104" s="26"/>
    </row>
    <row r="1105" spans="3:10" s="13" customFormat="1" ht="30.95" customHeight="1">
      <c r="C1105" s="22">
        <f t="shared" si="17"/>
        <v>1098</v>
      </c>
      <c r="D1105" s="188" t="s">
        <v>2336</v>
      </c>
      <c r="E1105" s="23" t="s">
        <v>1136</v>
      </c>
      <c r="F1105" s="23" t="s">
        <v>1137</v>
      </c>
      <c r="G1105" s="33">
        <v>300</v>
      </c>
      <c r="H1105" s="25" t="s">
        <v>1553</v>
      </c>
      <c r="I1105" s="25" t="s">
        <v>407</v>
      </c>
      <c r="J1105" s="26"/>
    </row>
    <row r="1106" spans="3:10" s="13" customFormat="1" ht="30.95" customHeight="1">
      <c r="C1106" s="22">
        <f t="shared" si="17"/>
        <v>1099</v>
      </c>
      <c r="D1106" s="188" t="s">
        <v>2337</v>
      </c>
      <c r="E1106" s="23" t="s">
        <v>1136</v>
      </c>
      <c r="F1106" s="23" t="s">
        <v>1137</v>
      </c>
      <c r="G1106" s="33">
        <v>200</v>
      </c>
      <c r="H1106" s="25" t="s">
        <v>1553</v>
      </c>
      <c r="I1106" s="25" t="s">
        <v>407</v>
      </c>
      <c r="J1106" s="26"/>
    </row>
    <row r="1107" spans="3:10" s="13" customFormat="1" ht="30.95" customHeight="1">
      <c r="C1107" s="22">
        <f t="shared" si="17"/>
        <v>1100</v>
      </c>
      <c r="D1107" s="173" t="s">
        <v>2338</v>
      </c>
      <c r="E1107" s="23" t="s">
        <v>1136</v>
      </c>
      <c r="F1107" s="23" t="s">
        <v>1137</v>
      </c>
      <c r="G1107" s="33">
        <v>202</v>
      </c>
      <c r="H1107" s="25" t="s">
        <v>1290</v>
      </c>
      <c r="I1107" s="25" t="s">
        <v>407</v>
      </c>
      <c r="J1107" s="26"/>
    </row>
    <row r="1108" spans="3:10" s="13" customFormat="1" ht="30.95" customHeight="1">
      <c r="C1108" s="22">
        <f t="shared" si="17"/>
        <v>1101</v>
      </c>
      <c r="D1108" s="173" t="s">
        <v>2339</v>
      </c>
      <c r="E1108" s="23" t="s">
        <v>1136</v>
      </c>
      <c r="F1108" s="23" t="s">
        <v>1137</v>
      </c>
      <c r="G1108" s="33">
        <v>190</v>
      </c>
      <c r="H1108" s="25" t="s">
        <v>1290</v>
      </c>
      <c r="I1108" s="25" t="s">
        <v>407</v>
      </c>
      <c r="J1108" s="26"/>
    </row>
    <row r="1109" spans="3:10" s="13" customFormat="1" ht="30.95" customHeight="1">
      <c r="C1109" s="22">
        <f t="shared" si="17"/>
        <v>1102</v>
      </c>
      <c r="D1109" s="173" t="s">
        <v>2340</v>
      </c>
      <c r="E1109" s="23" t="s">
        <v>1136</v>
      </c>
      <c r="F1109" s="23" t="s">
        <v>1137</v>
      </c>
      <c r="G1109" s="33">
        <v>700</v>
      </c>
      <c r="H1109" s="25" t="s">
        <v>2341</v>
      </c>
      <c r="I1109" s="25" t="s">
        <v>407</v>
      </c>
      <c r="J1109" s="26"/>
    </row>
    <row r="1110" spans="3:10" s="13" customFormat="1" ht="30.95" customHeight="1">
      <c r="C1110" s="22">
        <f t="shared" si="17"/>
        <v>1103</v>
      </c>
      <c r="D1110" s="173" t="s">
        <v>1213</v>
      </c>
      <c r="E1110" s="23" t="s">
        <v>1136</v>
      </c>
      <c r="F1110" s="23" t="s">
        <v>1137</v>
      </c>
      <c r="G1110" s="33">
        <v>902</v>
      </c>
      <c r="H1110" s="25" t="s">
        <v>2341</v>
      </c>
      <c r="I1110" s="25" t="s">
        <v>407</v>
      </c>
      <c r="J1110" s="26"/>
    </row>
    <row r="1111" spans="3:10" s="13" customFormat="1" ht="30.95" customHeight="1">
      <c r="C1111" s="22">
        <f t="shared" si="17"/>
        <v>1104</v>
      </c>
      <c r="D1111" s="173" t="s">
        <v>2342</v>
      </c>
      <c r="E1111" s="23" t="s">
        <v>1136</v>
      </c>
      <c r="F1111" s="23" t="s">
        <v>1137</v>
      </c>
      <c r="G1111" s="33">
        <v>622</v>
      </c>
      <c r="H1111" s="25" t="s">
        <v>2341</v>
      </c>
      <c r="I1111" s="25" t="s">
        <v>407</v>
      </c>
      <c r="J1111" s="26"/>
    </row>
    <row r="1112" spans="3:10" s="13" customFormat="1" ht="30.95" customHeight="1">
      <c r="C1112" s="22">
        <f t="shared" si="17"/>
        <v>1105</v>
      </c>
      <c r="D1112" s="173" t="s">
        <v>2343</v>
      </c>
      <c r="E1112" s="23" t="s">
        <v>1136</v>
      </c>
      <c r="F1112" s="23" t="s">
        <v>1137</v>
      </c>
      <c r="G1112" s="33">
        <v>400</v>
      </c>
      <c r="H1112" s="25" t="s">
        <v>2341</v>
      </c>
      <c r="I1112" s="25" t="s">
        <v>407</v>
      </c>
      <c r="J1112" s="26"/>
    </row>
    <row r="1113" spans="3:10" s="13" customFormat="1" ht="30.95" customHeight="1">
      <c r="C1113" s="22">
        <f t="shared" si="17"/>
        <v>1106</v>
      </c>
      <c r="D1113" s="173" t="s">
        <v>1216</v>
      </c>
      <c r="E1113" s="23" t="s">
        <v>1136</v>
      </c>
      <c r="F1113" s="23" t="s">
        <v>1137</v>
      </c>
      <c r="G1113" s="33">
        <v>1687</v>
      </c>
      <c r="H1113" s="25" t="s">
        <v>2341</v>
      </c>
      <c r="I1113" s="25" t="s">
        <v>407</v>
      </c>
      <c r="J1113" s="26"/>
    </row>
    <row r="1114" spans="3:10" s="13" customFormat="1" ht="30.95" customHeight="1">
      <c r="C1114" s="22">
        <f t="shared" si="17"/>
        <v>1107</v>
      </c>
      <c r="D1114" s="173" t="s">
        <v>1224</v>
      </c>
      <c r="E1114" s="23" t="s">
        <v>1136</v>
      </c>
      <c r="F1114" s="23" t="s">
        <v>1137</v>
      </c>
      <c r="G1114" s="33">
        <v>705</v>
      </c>
      <c r="H1114" s="25" t="s">
        <v>2344</v>
      </c>
      <c r="I1114" s="25" t="s">
        <v>407</v>
      </c>
      <c r="J1114" s="26"/>
    </row>
    <row r="1115" spans="3:10" s="13" customFormat="1" ht="30.95" customHeight="1">
      <c r="C1115" s="22">
        <f t="shared" si="17"/>
        <v>1108</v>
      </c>
      <c r="D1115" s="173" t="s">
        <v>2345</v>
      </c>
      <c r="E1115" s="23" t="s">
        <v>1136</v>
      </c>
      <c r="F1115" s="23" t="s">
        <v>1137</v>
      </c>
      <c r="G1115" s="33">
        <v>700</v>
      </c>
      <c r="H1115" s="25" t="s">
        <v>2344</v>
      </c>
      <c r="I1115" s="25" t="s">
        <v>407</v>
      </c>
      <c r="J1115" s="26"/>
    </row>
    <row r="1116" spans="3:10" s="13" customFormat="1" ht="30.95" customHeight="1">
      <c r="C1116" s="22">
        <f t="shared" si="17"/>
        <v>1109</v>
      </c>
      <c r="D1116" s="173" t="s">
        <v>1225</v>
      </c>
      <c r="E1116" s="23" t="s">
        <v>1136</v>
      </c>
      <c r="F1116" s="23" t="s">
        <v>1137</v>
      </c>
      <c r="G1116" s="33">
        <v>300</v>
      </c>
      <c r="H1116" s="25" t="s">
        <v>2344</v>
      </c>
      <c r="I1116" s="25" t="s">
        <v>407</v>
      </c>
      <c r="J1116" s="26"/>
    </row>
    <row r="1117" spans="3:10" s="13" customFormat="1" ht="30.95" customHeight="1">
      <c r="C1117" s="22">
        <f t="shared" si="17"/>
        <v>1110</v>
      </c>
      <c r="D1117" s="173" t="s">
        <v>2346</v>
      </c>
      <c r="E1117" s="23" t="s">
        <v>1136</v>
      </c>
      <c r="F1117" s="23" t="s">
        <v>1137</v>
      </c>
      <c r="G1117" s="33">
        <v>300</v>
      </c>
      <c r="H1117" s="25" t="s">
        <v>2344</v>
      </c>
      <c r="I1117" s="25" t="s">
        <v>407</v>
      </c>
      <c r="J1117" s="26"/>
    </row>
    <row r="1118" spans="3:10" s="13" customFormat="1" ht="30.95" customHeight="1">
      <c r="C1118" s="22">
        <f t="shared" si="17"/>
        <v>1111</v>
      </c>
      <c r="D1118" s="173" t="s">
        <v>2347</v>
      </c>
      <c r="E1118" s="23" t="s">
        <v>1136</v>
      </c>
      <c r="F1118" s="23" t="s">
        <v>1137</v>
      </c>
      <c r="G1118" s="33">
        <v>600</v>
      </c>
      <c r="H1118" s="25" t="s">
        <v>2344</v>
      </c>
      <c r="I1118" s="25" t="s">
        <v>407</v>
      </c>
      <c r="J1118" s="26"/>
    </row>
    <row r="1119" spans="3:10" s="13" customFormat="1" ht="30.95" customHeight="1">
      <c r="C1119" s="22">
        <f t="shared" si="17"/>
        <v>1112</v>
      </c>
      <c r="D1119" s="173" t="s">
        <v>1226</v>
      </c>
      <c r="E1119" s="23" t="s">
        <v>1136</v>
      </c>
      <c r="F1119" s="23" t="s">
        <v>1137</v>
      </c>
      <c r="G1119" s="33">
        <v>500</v>
      </c>
      <c r="H1119" s="25" t="s">
        <v>2344</v>
      </c>
      <c r="I1119" s="25" t="s">
        <v>407</v>
      </c>
      <c r="J1119" s="26"/>
    </row>
    <row r="1120" spans="3:10" s="13" customFormat="1" ht="30.95" customHeight="1">
      <c r="C1120" s="22">
        <f t="shared" si="17"/>
        <v>1113</v>
      </c>
      <c r="D1120" s="173" t="s">
        <v>1227</v>
      </c>
      <c r="E1120" s="23" t="s">
        <v>1136</v>
      </c>
      <c r="F1120" s="23" t="s">
        <v>1137</v>
      </c>
      <c r="G1120" s="33">
        <v>270</v>
      </c>
      <c r="H1120" s="25" t="s">
        <v>2344</v>
      </c>
      <c r="I1120" s="25" t="s">
        <v>407</v>
      </c>
      <c r="J1120" s="26"/>
    </row>
    <row r="1121" spans="3:10" s="13" customFormat="1" ht="30.95" customHeight="1">
      <c r="C1121" s="22">
        <f t="shared" si="17"/>
        <v>1114</v>
      </c>
      <c r="D1121" s="173" t="s">
        <v>2348</v>
      </c>
      <c r="E1121" s="23" t="s">
        <v>1136</v>
      </c>
      <c r="F1121" s="23" t="s">
        <v>1137</v>
      </c>
      <c r="G1121" s="33">
        <v>246</v>
      </c>
      <c r="H1121" s="25" t="s">
        <v>2344</v>
      </c>
      <c r="I1121" s="25" t="s">
        <v>407</v>
      </c>
      <c r="J1121" s="26"/>
    </row>
    <row r="1122" spans="3:10" s="13" customFormat="1" ht="30.95" customHeight="1">
      <c r="C1122" s="22">
        <f t="shared" si="17"/>
        <v>1115</v>
      </c>
      <c r="D1122" s="173" t="s">
        <v>1228</v>
      </c>
      <c r="E1122" s="23" t="s">
        <v>1136</v>
      </c>
      <c r="F1122" s="23" t="s">
        <v>1137</v>
      </c>
      <c r="G1122" s="33">
        <v>317</v>
      </c>
      <c r="H1122" s="25" t="s">
        <v>2344</v>
      </c>
      <c r="I1122" s="25" t="s">
        <v>407</v>
      </c>
      <c r="J1122" s="26"/>
    </row>
    <row r="1123" spans="3:10" s="13" customFormat="1" ht="30.95" customHeight="1">
      <c r="C1123" s="22">
        <f t="shared" si="17"/>
        <v>1116</v>
      </c>
      <c r="D1123" s="173" t="s">
        <v>2349</v>
      </c>
      <c r="E1123" s="23" t="s">
        <v>1136</v>
      </c>
      <c r="F1123" s="23" t="s">
        <v>1137</v>
      </c>
      <c r="G1123" s="33">
        <v>300</v>
      </c>
      <c r="H1123" s="25" t="s">
        <v>2344</v>
      </c>
      <c r="I1123" s="25" t="s">
        <v>407</v>
      </c>
      <c r="J1123" s="26"/>
    </row>
    <row r="1124" spans="3:10" s="174" customFormat="1" ht="30.95" customHeight="1">
      <c r="C1124" s="160">
        <f t="shared" si="17"/>
        <v>1117</v>
      </c>
      <c r="D1124" s="173" t="s">
        <v>2350</v>
      </c>
      <c r="E1124" s="162" t="s">
        <v>1136</v>
      </c>
      <c r="F1124" s="162" t="s">
        <v>1137</v>
      </c>
      <c r="G1124" s="172">
        <v>6842</v>
      </c>
      <c r="H1124" s="164" t="s">
        <v>1115</v>
      </c>
      <c r="I1124" s="164" t="s">
        <v>407</v>
      </c>
      <c r="J1124" s="165"/>
    </row>
    <row r="1125" spans="3:10" s="13" customFormat="1" ht="30.95" customHeight="1">
      <c r="C1125" s="22">
        <f t="shared" si="17"/>
        <v>1118</v>
      </c>
      <c r="D1125" s="173" t="s">
        <v>2351</v>
      </c>
      <c r="E1125" s="23" t="s">
        <v>1136</v>
      </c>
      <c r="F1125" s="23" t="s">
        <v>1137</v>
      </c>
      <c r="G1125" s="33">
        <v>787</v>
      </c>
      <c r="H1125" s="25" t="s">
        <v>2352</v>
      </c>
      <c r="I1125" s="25" t="s">
        <v>407</v>
      </c>
      <c r="J1125" s="26"/>
    </row>
    <row r="1126" spans="3:10" s="13" customFormat="1" ht="30.95" customHeight="1">
      <c r="C1126" s="22">
        <f t="shared" si="17"/>
        <v>1119</v>
      </c>
      <c r="D1126" s="173" t="s">
        <v>2353</v>
      </c>
      <c r="E1126" s="23" t="s">
        <v>1136</v>
      </c>
      <c r="F1126" s="23" t="s">
        <v>1137</v>
      </c>
      <c r="G1126" s="33">
        <v>1076</v>
      </c>
      <c r="H1126" s="25" t="s">
        <v>2351</v>
      </c>
      <c r="I1126" s="25" t="s">
        <v>407</v>
      </c>
      <c r="J1126" s="26"/>
    </row>
    <row r="1127" spans="3:10" s="13" customFormat="1" ht="30.95" customHeight="1">
      <c r="C1127" s="22">
        <f t="shared" si="17"/>
        <v>1120</v>
      </c>
      <c r="D1127" s="173" t="s">
        <v>1255</v>
      </c>
      <c r="E1127" s="23" t="s">
        <v>1136</v>
      </c>
      <c r="F1127" s="23" t="s">
        <v>1137</v>
      </c>
      <c r="G1127" s="35">
        <v>1925</v>
      </c>
      <c r="H1127" s="25" t="s">
        <v>2352</v>
      </c>
      <c r="I1127" s="25" t="s">
        <v>407</v>
      </c>
      <c r="J1127" s="26"/>
    </row>
    <row r="1128" spans="3:10" s="13" customFormat="1" ht="30.95" customHeight="1">
      <c r="C1128" s="22">
        <f t="shared" si="17"/>
        <v>1121</v>
      </c>
      <c r="D1128" s="173" t="s">
        <v>1272</v>
      </c>
      <c r="E1128" s="23" t="s">
        <v>1136</v>
      </c>
      <c r="F1128" s="23" t="s">
        <v>1137</v>
      </c>
      <c r="G1128" s="35">
        <v>2185</v>
      </c>
      <c r="H1128" s="25" t="s">
        <v>2352</v>
      </c>
      <c r="I1128" s="25" t="s">
        <v>407</v>
      </c>
      <c r="J1128" s="26"/>
    </row>
    <row r="1129" spans="3:10" s="13" customFormat="1" ht="30.95" customHeight="1">
      <c r="C1129" s="22">
        <f t="shared" si="17"/>
        <v>1122</v>
      </c>
      <c r="D1129" s="173" t="s">
        <v>1289</v>
      </c>
      <c r="E1129" s="23" t="s">
        <v>1136</v>
      </c>
      <c r="F1129" s="23" t="s">
        <v>1137</v>
      </c>
      <c r="G1129" s="35">
        <v>1350</v>
      </c>
      <c r="H1129" s="25" t="s">
        <v>2352</v>
      </c>
      <c r="I1129" s="25" t="s">
        <v>407</v>
      </c>
      <c r="J1129" s="26"/>
    </row>
    <row r="1130" spans="3:10" s="13" customFormat="1" ht="30.95" customHeight="1">
      <c r="C1130" s="22">
        <f t="shared" si="17"/>
        <v>1123</v>
      </c>
      <c r="D1130" s="173" t="s">
        <v>1306</v>
      </c>
      <c r="E1130" s="23" t="s">
        <v>1136</v>
      </c>
      <c r="F1130" s="23" t="s">
        <v>1137</v>
      </c>
      <c r="G1130" s="35">
        <v>1496</v>
      </c>
      <c r="H1130" s="25" t="s">
        <v>2352</v>
      </c>
      <c r="I1130" s="25" t="s">
        <v>407</v>
      </c>
      <c r="J1130" s="26"/>
    </row>
    <row r="1131" spans="3:10" s="13" customFormat="1" ht="30.95" customHeight="1">
      <c r="C1131" s="22">
        <f t="shared" si="17"/>
        <v>1124</v>
      </c>
      <c r="D1131" s="173" t="s">
        <v>1323</v>
      </c>
      <c r="E1131" s="23" t="s">
        <v>1136</v>
      </c>
      <c r="F1131" s="23" t="s">
        <v>1137</v>
      </c>
      <c r="G1131" s="35">
        <v>561</v>
      </c>
      <c r="H1131" s="25" t="s">
        <v>2352</v>
      </c>
      <c r="I1131" s="25" t="s">
        <v>407</v>
      </c>
      <c r="J1131" s="26"/>
    </row>
    <row r="1132" spans="3:10" s="13" customFormat="1" ht="30.95" customHeight="1">
      <c r="C1132" s="22">
        <f t="shared" si="17"/>
        <v>1125</v>
      </c>
      <c r="D1132" s="173" t="s">
        <v>2354</v>
      </c>
      <c r="E1132" s="23" t="s">
        <v>1136</v>
      </c>
      <c r="F1132" s="23" t="s">
        <v>1137</v>
      </c>
      <c r="G1132" s="33">
        <v>1300</v>
      </c>
      <c r="H1132" s="25" t="s">
        <v>2350</v>
      </c>
      <c r="I1132" s="25" t="s">
        <v>407</v>
      </c>
      <c r="J1132" s="26"/>
    </row>
    <row r="1133" spans="3:10" s="13" customFormat="1" ht="30.95" customHeight="1">
      <c r="C1133" s="22">
        <f t="shared" si="17"/>
        <v>1126</v>
      </c>
      <c r="D1133" s="173" t="s">
        <v>2355</v>
      </c>
      <c r="E1133" s="23" t="s">
        <v>1136</v>
      </c>
      <c r="F1133" s="23" t="s">
        <v>1137</v>
      </c>
      <c r="G1133" s="33">
        <v>664</v>
      </c>
      <c r="H1133" s="25" t="s">
        <v>2350</v>
      </c>
      <c r="I1133" s="25" t="s">
        <v>407</v>
      </c>
      <c r="J1133" s="26"/>
    </row>
    <row r="1134" spans="3:10" s="13" customFormat="1" ht="30.95" customHeight="1">
      <c r="C1134" s="22">
        <f t="shared" si="17"/>
        <v>1127</v>
      </c>
      <c r="D1134" s="173" t="s">
        <v>2356</v>
      </c>
      <c r="E1134" s="23" t="s">
        <v>1136</v>
      </c>
      <c r="F1134" s="23" t="s">
        <v>1137</v>
      </c>
      <c r="G1134" s="33">
        <v>500</v>
      </c>
      <c r="H1134" s="25" t="s">
        <v>2350</v>
      </c>
      <c r="I1134" s="25" t="s">
        <v>407</v>
      </c>
      <c r="J1134" s="26"/>
    </row>
    <row r="1135" spans="3:10" s="13" customFormat="1" ht="30.95" customHeight="1">
      <c r="C1135" s="22">
        <f t="shared" si="17"/>
        <v>1128</v>
      </c>
      <c r="D1135" s="173" t="s">
        <v>2357</v>
      </c>
      <c r="E1135" s="23" t="s">
        <v>1136</v>
      </c>
      <c r="F1135" s="23" t="s">
        <v>1137</v>
      </c>
      <c r="G1135" s="33">
        <v>616</v>
      </c>
      <c r="H1135" s="25" t="s">
        <v>2350</v>
      </c>
      <c r="I1135" s="25" t="s">
        <v>407</v>
      </c>
      <c r="J1135" s="26"/>
    </row>
    <row r="1136" spans="3:10" s="13" customFormat="1" ht="30.95" customHeight="1">
      <c r="C1136" s="22">
        <f t="shared" si="17"/>
        <v>1129</v>
      </c>
      <c r="D1136" s="173" t="s">
        <v>2358</v>
      </c>
      <c r="E1136" s="23" t="s">
        <v>1136</v>
      </c>
      <c r="F1136" s="23" t="s">
        <v>1137</v>
      </c>
      <c r="G1136" s="33">
        <v>615</v>
      </c>
      <c r="H1136" s="25" t="s">
        <v>2350</v>
      </c>
      <c r="I1136" s="25" t="s">
        <v>407</v>
      </c>
      <c r="J1136" s="26"/>
    </row>
    <row r="1137" spans="3:10" s="13" customFormat="1" ht="30.95" customHeight="1">
      <c r="C1137" s="22">
        <f t="shared" si="17"/>
        <v>1130</v>
      </c>
      <c r="D1137" s="173" t="s">
        <v>2359</v>
      </c>
      <c r="E1137" s="23" t="s">
        <v>1136</v>
      </c>
      <c r="F1137" s="23" t="s">
        <v>1137</v>
      </c>
      <c r="G1137" s="33">
        <v>1122</v>
      </c>
      <c r="H1137" s="25" t="s">
        <v>2350</v>
      </c>
      <c r="I1137" s="25" t="s">
        <v>407</v>
      </c>
      <c r="J1137" s="26"/>
    </row>
    <row r="1138" spans="3:10" s="13" customFormat="1" ht="30.95" customHeight="1">
      <c r="C1138" s="22">
        <f t="shared" si="17"/>
        <v>1131</v>
      </c>
      <c r="D1138" s="173" t="s">
        <v>2360</v>
      </c>
      <c r="E1138" s="23" t="s">
        <v>1136</v>
      </c>
      <c r="F1138" s="23" t="s">
        <v>1137</v>
      </c>
      <c r="G1138" s="33">
        <v>410</v>
      </c>
      <c r="H1138" s="25" t="s">
        <v>2350</v>
      </c>
      <c r="I1138" s="25" t="s">
        <v>407</v>
      </c>
      <c r="J1138" s="26"/>
    </row>
    <row r="1139" spans="3:10" s="13" customFormat="1" ht="30.95" customHeight="1">
      <c r="C1139" s="22">
        <f t="shared" si="17"/>
        <v>1132</v>
      </c>
      <c r="D1139" s="173" t="s">
        <v>2361</v>
      </c>
      <c r="E1139" s="23" t="s">
        <v>1136</v>
      </c>
      <c r="F1139" s="23" t="s">
        <v>1137</v>
      </c>
      <c r="G1139" s="33">
        <v>750</v>
      </c>
      <c r="H1139" s="25" t="s">
        <v>2350</v>
      </c>
      <c r="I1139" s="25" t="s">
        <v>407</v>
      </c>
      <c r="J1139" s="26"/>
    </row>
    <row r="1140" spans="3:10" s="13" customFormat="1" ht="30.95" customHeight="1">
      <c r="C1140" s="22">
        <f t="shared" si="17"/>
        <v>1133</v>
      </c>
      <c r="D1140" s="173" t="s">
        <v>2362</v>
      </c>
      <c r="E1140" s="23" t="s">
        <v>1136</v>
      </c>
      <c r="F1140" s="23" t="s">
        <v>1137</v>
      </c>
      <c r="G1140" s="33">
        <v>940</v>
      </c>
      <c r="H1140" s="25" t="s">
        <v>2350</v>
      </c>
      <c r="I1140" s="25" t="s">
        <v>407</v>
      </c>
      <c r="J1140" s="26"/>
    </row>
    <row r="1141" spans="3:10" s="13" customFormat="1" ht="30.95" customHeight="1">
      <c r="C1141" s="22">
        <f t="shared" si="17"/>
        <v>1134</v>
      </c>
      <c r="D1141" s="173" t="s">
        <v>2363</v>
      </c>
      <c r="E1141" s="23" t="s">
        <v>1136</v>
      </c>
      <c r="F1141" s="23" t="s">
        <v>1137</v>
      </c>
      <c r="G1141" s="33">
        <v>960</v>
      </c>
      <c r="H1141" s="25" t="s">
        <v>2350</v>
      </c>
      <c r="I1141" s="25" t="s">
        <v>407</v>
      </c>
      <c r="J1141" s="26"/>
    </row>
    <row r="1142" spans="3:10" s="13" customFormat="1" ht="30.95" customHeight="1">
      <c r="C1142" s="22">
        <f t="shared" si="17"/>
        <v>1135</v>
      </c>
      <c r="D1142" s="173" t="s">
        <v>2364</v>
      </c>
      <c r="E1142" s="23" t="s">
        <v>1136</v>
      </c>
      <c r="F1142" s="23" t="s">
        <v>1137</v>
      </c>
      <c r="G1142" s="33">
        <v>210</v>
      </c>
      <c r="H1142" s="25" t="s">
        <v>2350</v>
      </c>
      <c r="I1142" s="25" t="s">
        <v>407</v>
      </c>
      <c r="J1142" s="26"/>
    </row>
    <row r="1143" spans="3:10" s="13" customFormat="1" ht="30.95" customHeight="1">
      <c r="C1143" s="22">
        <f t="shared" si="17"/>
        <v>1136</v>
      </c>
      <c r="D1143" s="173" t="s">
        <v>2365</v>
      </c>
      <c r="E1143" s="23" t="s">
        <v>1136</v>
      </c>
      <c r="F1143" s="23" t="s">
        <v>1137</v>
      </c>
      <c r="G1143" s="33">
        <v>501</v>
      </c>
      <c r="H1143" s="25" t="s">
        <v>2350</v>
      </c>
      <c r="I1143" s="25" t="s">
        <v>407</v>
      </c>
      <c r="J1143" s="26"/>
    </row>
    <row r="1144" spans="3:10" s="13" customFormat="1" ht="30.95" customHeight="1">
      <c r="C1144" s="22">
        <f t="shared" si="17"/>
        <v>1137</v>
      </c>
      <c r="D1144" s="187" t="s">
        <v>1254</v>
      </c>
      <c r="E1144" s="23" t="s">
        <v>1136</v>
      </c>
      <c r="F1144" s="23" t="s">
        <v>1137</v>
      </c>
      <c r="G1144" s="33">
        <v>446</v>
      </c>
      <c r="H1144" s="25" t="s">
        <v>2351</v>
      </c>
      <c r="I1144" s="25" t="s">
        <v>407</v>
      </c>
      <c r="J1144" s="26"/>
    </row>
    <row r="1145" spans="3:10" s="13" customFormat="1" ht="30.95" customHeight="1">
      <c r="C1145" s="22">
        <f t="shared" si="17"/>
        <v>1138</v>
      </c>
      <c r="D1145" s="187" t="s">
        <v>1257</v>
      </c>
      <c r="E1145" s="23" t="s">
        <v>1136</v>
      </c>
      <c r="F1145" s="23" t="s">
        <v>1137</v>
      </c>
      <c r="G1145" s="33">
        <v>684</v>
      </c>
      <c r="H1145" s="25" t="s">
        <v>2351</v>
      </c>
      <c r="I1145" s="25" t="s">
        <v>407</v>
      </c>
      <c r="J1145" s="26"/>
    </row>
    <row r="1146" spans="3:10" s="13" customFormat="1" ht="30.95" customHeight="1">
      <c r="C1146" s="22">
        <f t="shared" si="17"/>
        <v>1139</v>
      </c>
      <c r="D1146" s="187" t="s">
        <v>1259</v>
      </c>
      <c r="E1146" s="23" t="s">
        <v>1136</v>
      </c>
      <c r="F1146" s="23" t="s">
        <v>1137</v>
      </c>
      <c r="G1146" s="33">
        <v>753</v>
      </c>
      <c r="H1146" s="25" t="s">
        <v>2351</v>
      </c>
      <c r="I1146" s="25" t="s">
        <v>407</v>
      </c>
      <c r="J1146" s="26"/>
    </row>
    <row r="1147" spans="3:10" s="13" customFormat="1" ht="30.95" customHeight="1">
      <c r="C1147" s="22">
        <f t="shared" si="17"/>
        <v>1140</v>
      </c>
      <c r="D1147" s="187" t="s">
        <v>1261</v>
      </c>
      <c r="E1147" s="23" t="s">
        <v>1136</v>
      </c>
      <c r="F1147" s="23" t="s">
        <v>1137</v>
      </c>
      <c r="G1147" s="33">
        <v>867</v>
      </c>
      <c r="H1147" s="25" t="s">
        <v>2351</v>
      </c>
      <c r="I1147" s="25" t="s">
        <v>407</v>
      </c>
      <c r="J1147" s="26"/>
    </row>
    <row r="1148" spans="3:10" s="13" customFormat="1" ht="30.95" customHeight="1">
      <c r="C1148" s="22">
        <f t="shared" si="17"/>
        <v>1141</v>
      </c>
      <c r="D1148" s="187" t="s">
        <v>1263</v>
      </c>
      <c r="E1148" s="23" t="s">
        <v>1136</v>
      </c>
      <c r="F1148" s="23" t="s">
        <v>1137</v>
      </c>
      <c r="G1148" s="33">
        <v>955</v>
      </c>
      <c r="H1148" s="25" t="s">
        <v>2351</v>
      </c>
      <c r="I1148" s="25" t="s">
        <v>407</v>
      </c>
      <c r="J1148" s="26"/>
    </row>
    <row r="1149" spans="3:10" s="13" customFormat="1" ht="30.95" customHeight="1">
      <c r="C1149" s="22">
        <f t="shared" si="17"/>
        <v>1142</v>
      </c>
      <c r="D1149" s="187" t="s">
        <v>1265</v>
      </c>
      <c r="E1149" s="23" t="s">
        <v>1136</v>
      </c>
      <c r="F1149" s="23" t="s">
        <v>1137</v>
      </c>
      <c r="G1149" s="33">
        <v>585</v>
      </c>
      <c r="H1149" s="25" t="s">
        <v>2351</v>
      </c>
      <c r="I1149" s="25" t="s">
        <v>407</v>
      </c>
      <c r="J1149" s="26"/>
    </row>
    <row r="1150" spans="3:10" s="13" customFormat="1" ht="30.95" customHeight="1">
      <c r="C1150" s="22">
        <f t="shared" si="17"/>
        <v>1143</v>
      </c>
      <c r="D1150" s="187" t="s">
        <v>2366</v>
      </c>
      <c r="E1150" s="23" t="s">
        <v>1136</v>
      </c>
      <c r="F1150" s="23" t="s">
        <v>1137</v>
      </c>
      <c r="G1150" s="33">
        <v>600</v>
      </c>
      <c r="H1150" s="25" t="s">
        <v>1255</v>
      </c>
      <c r="I1150" s="25" t="s">
        <v>407</v>
      </c>
      <c r="J1150" s="26"/>
    </row>
    <row r="1151" spans="3:10" s="13" customFormat="1" ht="30.95" customHeight="1">
      <c r="C1151" s="22">
        <f t="shared" si="17"/>
        <v>1144</v>
      </c>
      <c r="D1151" s="187" t="s">
        <v>2367</v>
      </c>
      <c r="E1151" s="23" t="s">
        <v>1136</v>
      </c>
      <c r="F1151" s="23" t="s">
        <v>1137</v>
      </c>
      <c r="G1151" s="33">
        <v>1144</v>
      </c>
      <c r="H1151" s="25" t="s">
        <v>1255</v>
      </c>
      <c r="I1151" s="25" t="s">
        <v>407</v>
      </c>
      <c r="J1151" s="26"/>
    </row>
    <row r="1152" spans="3:10" s="13" customFormat="1" ht="30.95" customHeight="1">
      <c r="C1152" s="22">
        <f t="shared" si="17"/>
        <v>1145</v>
      </c>
      <c r="D1152" s="187" t="s">
        <v>2368</v>
      </c>
      <c r="E1152" s="23" t="s">
        <v>1136</v>
      </c>
      <c r="F1152" s="23" t="s">
        <v>1137</v>
      </c>
      <c r="G1152" s="33">
        <v>560</v>
      </c>
      <c r="H1152" s="25" t="s">
        <v>1255</v>
      </c>
      <c r="I1152" s="25" t="s">
        <v>407</v>
      </c>
      <c r="J1152" s="26"/>
    </row>
    <row r="1153" spans="3:10" s="13" customFormat="1" ht="30.95" customHeight="1">
      <c r="C1153" s="22">
        <f t="shared" si="17"/>
        <v>1146</v>
      </c>
      <c r="D1153" s="187" t="s">
        <v>2369</v>
      </c>
      <c r="E1153" s="23" t="s">
        <v>1136</v>
      </c>
      <c r="F1153" s="23" t="s">
        <v>1137</v>
      </c>
      <c r="G1153" s="33">
        <v>265</v>
      </c>
      <c r="H1153" s="25" t="s">
        <v>1272</v>
      </c>
      <c r="I1153" s="25" t="s">
        <v>407</v>
      </c>
      <c r="J1153" s="26"/>
    </row>
    <row r="1154" spans="3:10" s="13" customFormat="1" ht="30.95" customHeight="1">
      <c r="C1154" s="22">
        <f t="shared" si="17"/>
        <v>1147</v>
      </c>
      <c r="D1154" s="187" t="s">
        <v>2370</v>
      </c>
      <c r="E1154" s="23" t="s">
        <v>1136</v>
      </c>
      <c r="F1154" s="23" t="s">
        <v>1137</v>
      </c>
      <c r="G1154" s="33">
        <v>880</v>
      </c>
      <c r="H1154" s="25" t="s">
        <v>1272</v>
      </c>
      <c r="I1154" s="25" t="s">
        <v>407</v>
      </c>
      <c r="J1154" s="26"/>
    </row>
    <row r="1155" spans="3:10" s="13" customFormat="1" ht="30.95" customHeight="1">
      <c r="C1155" s="22">
        <f t="shared" si="17"/>
        <v>1148</v>
      </c>
      <c r="D1155" s="187" t="s">
        <v>2371</v>
      </c>
      <c r="E1155" s="23" t="s">
        <v>1136</v>
      </c>
      <c r="F1155" s="23" t="s">
        <v>1137</v>
      </c>
      <c r="G1155" s="33">
        <v>300</v>
      </c>
      <c r="H1155" s="25" t="s">
        <v>2352</v>
      </c>
      <c r="I1155" s="25" t="s">
        <v>407</v>
      </c>
      <c r="J1155" s="26"/>
    </row>
    <row r="1156" spans="3:10" s="13" customFormat="1" ht="30.95" customHeight="1">
      <c r="C1156" s="22">
        <f t="shared" si="17"/>
        <v>1149</v>
      </c>
      <c r="D1156" s="187" t="s">
        <v>2372</v>
      </c>
      <c r="E1156" s="23" t="s">
        <v>1136</v>
      </c>
      <c r="F1156" s="23" t="s">
        <v>1137</v>
      </c>
      <c r="G1156" s="33">
        <v>556</v>
      </c>
      <c r="H1156" s="25" t="s">
        <v>1272</v>
      </c>
      <c r="I1156" s="25" t="s">
        <v>407</v>
      </c>
      <c r="J1156" s="26"/>
    </row>
    <row r="1157" spans="3:10" s="13" customFormat="1" ht="30.95" customHeight="1">
      <c r="C1157" s="22">
        <f t="shared" si="17"/>
        <v>1150</v>
      </c>
      <c r="D1157" s="187" t="s">
        <v>1290</v>
      </c>
      <c r="E1157" s="23" t="s">
        <v>1136</v>
      </c>
      <c r="F1157" s="23" t="s">
        <v>1137</v>
      </c>
      <c r="G1157" s="33">
        <v>510</v>
      </c>
      <c r="H1157" s="25" t="s">
        <v>1289</v>
      </c>
      <c r="I1157" s="25" t="s">
        <v>407</v>
      </c>
      <c r="J1157" s="26"/>
    </row>
    <row r="1158" spans="3:10" s="13" customFormat="1" ht="30.95" customHeight="1">
      <c r="C1158" s="22">
        <f t="shared" si="17"/>
        <v>1151</v>
      </c>
      <c r="D1158" s="187" t="s">
        <v>1307</v>
      </c>
      <c r="E1158" s="23" t="s">
        <v>1136</v>
      </c>
      <c r="F1158" s="23" t="s">
        <v>1137</v>
      </c>
      <c r="G1158" s="33">
        <v>1020</v>
      </c>
      <c r="H1158" s="25" t="s">
        <v>1306</v>
      </c>
      <c r="I1158" s="25" t="s">
        <v>407</v>
      </c>
      <c r="J1158" s="26"/>
    </row>
    <row r="1159" spans="3:10" s="13" customFormat="1" ht="30.95" customHeight="1">
      <c r="C1159" s="22">
        <f t="shared" si="17"/>
        <v>1152</v>
      </c>
      <c r="D1159" s="187" t="s">
        <v>1322</v>
      </c>
      <c r="E1159" s="23" t="s">
        <v>1136</v>
      </c>
      <c r="F1159" s="23" t="s">
        <v>1137</v>
      </c>
      <c r="G1159" s="33">
        <v>200</v>
      </c>
      <c r="H1159" s="25" t="s">
        <v>1323</v>
      </c>
      <c r="I1159" s="25" t="s">
        <v>407</v>
      </c>
      <c r="J1159" s="26"/>
    </row>
    <row r="1160" spans="3:10" s="13" customFormat="1" ht="30.95" customHeight="1">
      <c r="C1160" s="22">
        <f t="shared" si="17"/>
        <v>1153</v>
      </c>
      <c r="D1160" s="186" t="s">
        <v>1111</v>
      </c>
      <c r="E1160" s="23" t="s">
        <v>1136</v>
      </c>
      <c r="F1160" s="23" t="s">
        <v>1137</v>
      </c>
      <c r="G1160" s="24">
        <v>24970</v>
      </c>
      <c r="H1160" s="25" t="s">
        <v>1163</v>
      </c>
      <c r="I1160" s="25" t="s">
        <v>2374</v>
      </c>
      <c r="J1160" s="26"/>
    </row>
    <row r="1161" spans="3:10" s="13" customFormat="1" ht="30.95" customHeight="1">
      <c r="C1161" s="22">
        <f t="shared" si="17"/>
        <v>1154</v>
      </c>
      <c r="D1161" s="161" t="s">
        <v>2375</v>
      </c>
      <c r="E1161" s="23" t="s">
        <v>1136</v>
      </c>
      <c r="F1161" s="23" t="s">
        <v>1137</v>
      </c>
      <c r="G1161" s="24">
        <v>1327</v>
      </c>
      <c r="H1161" s="25" t="s">
        <v>2373</v>
      </c>
      <c r="I1161" s="25" t="s">
        <v>244</v>
      </c>
      <c r="J1161" s="26"/>
    </row>
    <row r="1162" spans="3:10" s="13" customFormat="1" ht="30.95" customHeight="1">
      <c r="C1162" s="22">
        <f t="shared" ref="C1162:C1225" si="18">C1161+1</f>
        <v>1155</v>
      </c>
      <c r="D1162" s="161" t="s">
        <v>2376</v>
      </c>
      <c r="E1162" s="23" t="s">
        <v>1136</v>
      </c>
      <c r="F1162" s="23" t="s">
        <v>1137</v>
      </c>
      <c r="G1162" s="24">
        <v>1194</v>
      </c>
      <c r="H1162" s="25" t="s">
        <v>2373</v>
      </c>
      <c r="I1162" s="25" t="s">
        <v>244</v>
      </c>
      <c r="J1162" s="26"/>
    </row>
    <row r="1163" spans="3:10" s="13" customFormat="1" ht="30.95" customHeight="1">
      <c r="C1163" s="22">
        <f t="shared" si="18"/>
        <v>1156</v>
      </c>
      <c r="D1163" s="161" t="s">
        <v>2377</v>
      </c>
      <c r="E1163" s="23" t="s">
        <v>1136</v>
      </c>
      <c r="F1163" s="23" t="s">
        <v>1137</v>
      </c>
      <c r="G1163" s="24">
        <v>1211</v>
      </c>
      <c r="H1163" s="25" t="s">
        <v>2373</v>
      </c>
      <c r="I1163" s="25" t="s">
        <v>244</v>
      </c>
      <c r="J1163" s="26"/>
    </row>
    <row r="1164" spans="3:10" s="13" customFormat="1" ht="30.95" customHeight="1">
      <c r="C1164" s="22">
        <f t="shared" si="18"/>
        <v>1157</v>
      </c>
      <c r="D1164" s="161" t="s">
        <v>2378</v>
      </c>
      <c r="E1164" s="23" t="s">
        <v>1136</v>
      </c>
      <c r="F1164" s="23" t="s">
        <v>1137</v>
      </c>
      <c r="G1164" s="24">
        <v>1301</v>
      </c>
      <c r="H1164" s="25" t="s">
        <v>2373</v>
      </c>
      <c r="I1164" s="25" t="s">
        <v>244</v>
      </c>
      <c r="J1164" s="26"/>
    </row>
    <row r="1165" spans="3:10" s="13" customFormat="1" ht="30.95" customHeight="1">
      <c r="C1165" s="22">
        <f t="shared" si="18"/>
        <v>1158</v>
      </c>
      <c r="D1165" s="161" t="s">
        <v>2379</v>
      </c>
      <c r="E1165" s="23" t="s">
        <v>1136</v>
      </c>
      <c r="F1165" s="23" t="s">
        <v>1137</v>
      </c>
      <c r="G1165" s="24">
        <v>1223</v>
      </c>
      <c r="H1165" s="25" t="s">
        <v>2373</v>
      </c>
      <c r="I1165" s="25" t="s">
        <v>244</v>
      </c>
      <c r="J1165" s="26"/>
    </row>
    <row r="1166" spans="3:10" s="13" customFormat="1" ht="30.95" customHeight="1">
      <c r="C1166" s="22">
        <f t="shared" si="18"/>
        <v>1159</v>
      </c>
      <c r="D1166" s="161" t="s">
        <v>2380</v>
      </c>
      <c r="E1166" s="23" t="s">
        <v>1136</v>
      </c>
      <c r="F1166" s="23" t="s">
        <v>1137</v>
      </c>
      <c r="G1166" s="24">
        <v>987</v>
      </c>
      <c r="H1166" s="25" t="s">
        <v>2373</v>
      </c>
      <c r="I1166" s="25" t="s">
        <v>244</v>
      </c>
      <c r="J1166" s="26"/>
    </row>
    <row r="1167" spans="3:10" s="13" customFormat="1" ht="30.95" customHeight="1">
      <c r="C1167" s="22">
        <f t="shared" si="18"/>
        <v>1160</v>
      </c>
      <c r="D1167" s="161" t="s">
        <v>2381</v>
      </c>
      <c r="E1167" s="23" t="s">
        <v>1136</v>
      </c>
      <c r="F1167" s="23" t="s">
        <v>1137</v>
      </c>
      <c r="G1167" s="24">
        <v>1454</v>
      </c>
      <c r="H1167" s="25" t="s">
        <v>2373</v>
      </c>
      <c r="I1167" s="25" t="s">
        <v>244</v>
      </c>
      <c r="J1167" s="26"/>
    </row>
    <row r="1168" spans="3:10" s="13" customFormat="1" ht="30.95" customHeight="1">
      <c r="C1168" s="22">
        <f t="shared" si="18"/>
        <v>1161</v>
      </c>
      <c r="D1168" s="161" t="s">
        <v>2382</v>
      </c>
      <c r="E1168" s="23" t="s">
        <v>1136</v>
      </c>
      <c r="F1168" s="23" t="s">
        <v>1137</v>
      </c>
      <c r="G1168" s="24">
        <v>4292</v>
      </c>
      <c r="H1168" s="25" t="s">
        <v>2373</v>
      </c>
      <c r="I1168" s="25" t="s">
        <v>244</v>
      </c>
      <c r="J1168" s="26"/>
    </row>
    <row r="1169" spans="3:10" s="13" customFormat="1" ht="30.95" customHeight="1">
      <c r="C1169" s="22">
        <f t="shared" si="18"/>
        <v>1162</v>
      </c>
      <c r="D1169" s="161" t="s">
        <v>2383</v>
      </c>
      <c r="E1169" s="23" t="s">
        <v>1136</v>
      </c>
      <c r="F1169" s="23" t="s">
        <v>1137</v>
      </c>
      <c r="G1169" s="24">
        <v>2254</v>
      </c>
      <c r="H1169" s="25" t="s">
        <v>2373</v>
      </c>
      <c r="I1169" s="25" t="s">
        <v>244</v>
      </c>
      <c r="J1169" s="26"/>
    </row>
    <row r="1170" spans="3:10" s="13" customFormat="1" ht="30.95" customHeight="1">
      <c r="C1170" s="22">
        <f t="shared" si="18"/>
        <v>1163</v>
      </c>
      <c r="D1170" s="161" t="s">
        <v>2384</v>
      </c>
      <c r="E1170" s="23" t="s">
        <v>1136</v>
      </c>
      <c r="F1170" s="23" t="s">
        <v>1137</v>
      </c>
      <c r="G1170" s="24">
        <v>2948</v>
      </c>
      <c r="H1170" s="25" t="s">
        <v>2373</v>
      </c>
      <c r="I1170" s="25" t="s">
        <v>244</v>
      </c>
      <c r="J1170" s="26"/>
    </row>
    <row r="1171" spans="3:10" s="13" customFormat="1" ht="30.95" customHeight="1">
      <c r="C1171" s="22">
        <f t="shared" si="18"/>
        <v>1164</v>
      </c>
      <c r="D1171" s="161" t="s">
        <v>2385</v>
      </c>
      <c r="E1171" s="23" t="s">
        <v>1136</v>
      </c>
      <c r="F1171" s="23" t="s">
        <v>1137</v>
      </c>
      <c r="G1171" s="24">
        <v>2870</v>
      </c>
      <c r="H1171" s="25" t="s">
        <v>2373</v>
      </c>
      <c r="I1171" s="25" t="s">
        <v>244</v>
      </c>
      <c r="J1171" s="26"/>
    </row>
    <row r="1172" spans="3:10" s="13" customFormat="1" ht="30.95" customHeight="1">
      <c r="C1172" s="22">
        <f t="shared" si="18"/>
        <v>1165</v>
      </c>
      <c r="D1172" s="161" t="s">
        <v>2386</v>
      </c>
      <c r="E1172" s="23" t="s">
        <v>1136</v>
      </c>
      <c r="F1172" s="23" t="s">
        <v>1137</v>
      </c>
      <c r="G1172" s="24">
        <v>1986</v>
      </c>
      <c r="H1172" s="25" t="s">
        <v>2373</v>
      </c>
      <c r="I1172" s="25" t="s">
        <v>244</v>
      </c>
      <c r="J1172" s="26"/>
    </row>
    <row r="1173" spans="3:10" s="13" customFormat="1" ht="30.95" customHeight="1">
      <c r="C1173" s="22">
        <f t="shared" si="18"/>
        <v>1166</v>
      </c>
      <c r="D1173" s="161" t="s">
        <v>2387</v>
      </c>
      <c r="E1173" s="23" t="s">
        <v>1136</v>
      </c>
      <c r="F1173" s="23" t="s">
        <v>1137</v>
      </c>
      <c r="G1173" s="24">
        <v>1517</v>
      </c>
      <c r="H1173" s="25" t="s">
        <v>2373</v>
      </c>
      <c r="I1173" s="25" t="s">
        <v>244</v>
      </c>
      <c r="J1173" s="26"/>
    </row>
    <row r="1174" spans="3:10" s="13" customFormat="1" ht="30.95" customHeight="1">
      <c r="C1174" s="22">
        <f t="shared" si="18"/>
        <v>1167</v>
      </c>
      <c r="D1174" s="161" t="s">
        <v>2388</v>
      </c>
      <c r="E1174" s="23" t="s">
        <v>1136</v>
      </c>
      <c r="F1174" s="23" t="s">
        <v>1137</v>
      </c>
      <c r="G1174" s="24">
        <v>1339</v>
      </c>
      <c r="H1174" s="25" t="s">
        <v>2373</v>
      </c>
      <c r="I1174" s="25" t="s">
        <v>244</v>
      </c>
      <c r="J1174" s="26"/>
    </row>
    <row r="1175" spans="3:10" s="13" customFormat="1" ht="30.95" customHeight="1">
      <c r="C1175" s="22">
        <f t="shared" si="18"/>
        <v>1168</v>
      </c>
      <c r="D1175" s="161" t="s">
        <v>2389</v>
      </c>
      <c r="E1175" s="23" t="s">
        <v>1136</v>
      </c>
      <c r="F1175" s="23" t="s">
        <v>1137</v>
      </c>
      <c r="G1175" s="24">
        <v>2512</v>
      </c>
      <c r="H1175" s="25" t="s">
        <v>2373</v>
      </c>
      <c r="I1175" s="25" t="s">
        <v>244</v>
      </c>
      <c r="J1175" s="26"/>
    </row>
    <row r="1176" spans="3:10" s="13" customFormat="1" ht="30.95" customHeight="1">
      <c r="C1176" s="22">
        <f t="shared" si="18"/>
        <v>1169</v>
      </c>
      <c r="D1176" s="161" t="s">
        <v>2390</v>
      </c>
      <c r="E1176" s="23" t="s">
        <v>1136</v>
      </c>
      <c r="F1176" s="23" t="s">
        <v>1137</v>
      </c>
      <c r="G1176" s="24">
        <v>2660</v>
      </c>
      <c r="H1176" s="25" t="s">
        <v>2373</v>
      </c>
      <c r="I1176" s="25" t="s">
        <v>244</v>
      </c>
      <c r="J1176" s="26"/>
    </row>
    <row r="1177" spans="3:10" s="13" customFormat="1" ht="30.95" customHeight="1">
      <c r="C1177" s="22">
        <f t="shared" si="18"/>
        <v>1170</v>
      </c>
      <c r="D1177" s="161" t="s">
        <v>2391</v>
      </c>
      <c r="E1177" s="23" t="s">
        <v>1136</v>
      </c>
      <c r="F1177" s="23" t="s">
        <v>1137</v>
      </c>
      <c r="G1177" s="24">
        <v>2747</v>
      </c>
      <c r="H1177" s="25" t="s">
        <v>2373</v>
      </c>
      <c r="I1177" s="25" t="s">
        <v>244</v>
      </c>
      <c r="J1177" s="26"/>
    </row>
    <row r="1178" spans="3:10" s="13" customFormat="1" ht="30.95" customHeight="1">
      <c r="C1178" s="22">
        <f t="shared" si="18"/>
        <v>1171</v>
      </c>
      <c r="D1178" s="161" t="s">
        <v>2392</v>
      </c>
      <c r="E1178" s="23" t="s">
        <v>1136</v>
      </c>
      <c r="F1178" s="23" t="s">
        <v>1137</v>
      </c>
      <c r="G1178" s="24">
        <v>2709</v>
      </c>
      <c r="H1178" s="25" t="s">
        <v>2373</v>
      </c>
      <c r="I1178" s="25" t="s">
        <v>244</v>
      </c>
      <c r="J1178" s="26"/>
    </row>
    <row r="1179" spans="3:10" s="13" customFormat="1" ht="30.95" customHeight="1">
      <c r="C1179" s="22">
        <f t="shared" si="18"/>
        <v>1172</v>
      </c>
      <c r="D1179" s="161" t="s">
        <v>2393</v>
      </c>
      <c r="E1179" s="23" t="s">
        <v>1136</v>
      </c>
      <c r="F1179" s="23" t="s">
        <v>1137</v>
      </c>
      <c r="G1179" s="24">
        <v>2300</v>
      </c>
      <c r="H1179" s="25" t="s">
        <v>2373</v>
      </c>
      <c r="I1179" s="25" t="s">
        <v>244</v>
      </c>
      <c r="J1179" s="26"/>
    </row>
    <row r="1180" spans="3:10" s="13" customFormat="1" ht="30.95" customHeight="1">
      <c r="C1180" s="22">
        <f t="shared" si="18"/>
        <v>1173</v>
      </c>
      <c r="D1180" s="161" t="s">
        <v>2394</v>
      </c>
      <c r="E1180" s="23" t="s">
        <v>1136</v>
      </c>
      <c r="F1180" s="23" t="s">
        <v>1137</v>
      </c>
      <c r="G1180" s="24">
        <v>1348</v>
      </c>
      <c r="H1180" s="25" t="s">
        <v>2373</v>
      </c>
      <c r="I1180" s="25" t="s">
        <v>244</v>
      </c>
      <c r="J1180" s="26"/>
    </row>
    <row r="1181" spans="3:10" s="13" customFormat="1" ht="30.95" customHeight="1">
      <c r="C1181" s="22">
        <f t="shared" si="18"/>
        <v>1174</v>
      </c>
      <c r="D1181" s="161" t="s">
        <v>2395</v>
      </c>
      <c r="E1181" s="23" t="s">
        <v>1136</v>
      </c>
      <c r="F1181" s="23" t="s">
        <v>1137</v>
      </c>
      <c r="G1181" s="24">
        <v>662</v>
      </c>
      <c r="H1181" s="25" t="s">
        <v>2373</v>
      </c>
      <c r="I1181" s="25" t="s">
        <v>244</v>
      </c>
      <c r="J1181" s="26"/>
    </row>
    <row r="1182" spans="3:10" s="13" customFormat="1" ht="30.95" customHeight="1">
      <c r="C1182" s="22">
        <f t="shared" si="18"/>
        <v>1175</v>
      </c>
      <c r="D1182" s="161" t="s">
        <v>2396</v>
      </c>
      <c r="E1182" s="23" t="s">
        <v>1136</v>
      </c>
      <c r="F1182" s="23" t="s">
        <v>1137</v>
      </c>
      <c r="G1182" s="24">
        <v>1067</v>
      </c>
      <c r="H1182" s="25" t="s">
        <v>2373</v>
      </c>
      <c r="I1182" s="25" t="s">
        <v>244</v>
      </c>
      <c r="J1182" s="26"/>
    </row>
    <row r="1183" spans="3:10" s="13" customFormat="1" ht="30.95" customHeight="1">
      <c r="C1183" s="22">
        <f t="shared" si="18"/>
        <v>1176</v>
      </c>
      <c r="D1183" s="161" t="s">
        <v>2397</v>
      </c>
      <c r="E1183" s="23" t="s">
        <v>1136</v>
      </c>
      <c r="F1183" s="23" t="s">
        <v>1137</v>
      </c>
      <c r="G1183" s="24">
        <v>1435</v>
      </c>
      <c r="H1183" s="25" t="s">
        <v>2373</v>
      </c>
      <c r="I1183" s="25" t="s">
        <v>244</v>
      </c>
      <c r="J1183" s="26"/>
    </row>
    <row r="1184" spans="3:10" s="13" customFormat="1" ht="30.95" customHeight="1">
      <c r="C1184" s="22">
        <f t="shared" si="18"/>
        <v>1177</v>
      </c>
      <c r="D1184" s="161" t="s">
        <v>2398</v>
      </c>
      <c r="E1184" s="23" t="s">
        <v>1136</v>
      </c>
      <c r="F1184" s="23" t="s">
        <v>1137</v>
      </c>
      <c r="G1184" s="24">
        <v>1286</v>
      </c>
      <c r="H1184" s="25" t="s">
        <v>2373</v>
      </c>
      <c r="I1184" s="25" t="s">
        <v>244</v>
      </c>
      <c r="J1184" s="26"/>
    </row>
    <row r="1185" spans="3:10" s="13" customFormat="1" ht="30.95" customHeight="1">
      <c r="C1185" s="22">
        <f t="shared" si="18"/>
        <v>1178</v>
      </c>
      <c r="D1185" s="161" t="s">
        <v>2399</v>
      </c>
      <c r="E1185" s="23" t="s">
        <v>1136</v>
      </c>
      <c r="F1185" s="23" t="s">
        <v>1137</v>
      </c>
      <c r="G1185" s="24">
        <v>1400</v>
      </c>
      <c r="H1185" s="25" t="s">
        <v>2373</v>
      </c>
      <c r="I1185" s="25" t="s">
        <v>244</v>
      </c>
      <c r="J1185" s="26"/>
    </row>
    <row r="1186" spans="3:10" s="13" customFormat="1" ht="30.95" customHeight="1">
      <c r="C1186" s="22">
        <f t="shared" si="18"/>
        <v>1179</v>
      </c>
      <c r="D1186" s="189" t="s">
        <v>2400</v>
      </c>
      <c r="E1186" s="23" t="s">
        <v>1136</v>
      </c>
      <c r="F1186" s="23" t="s">
        <v>1137</v>
      </c>
      <c r="G1186" s="29">
        <v>5740</v>
      </c>
      <c r="H1186" s="25" t="s">
        <v>2401</v>
      </c>
      <c r="I1186" s="25" t="s">
        <v>2402</v>
      </c>
      <c r="J1186" s="26"/>
    </row>
    <row r="1187" spans="3:10" s="13" customFormat="1" ht="30.95" customHeight="1">
      <c r="C1187" s="22">
        <f t="shared" si="18"/>
        <v>1180</v>
      </c>
      <c r="D1187" s="187" t="s">
        <v>2403</v>
      </c>
      <c r="E1187" s="23" t="s">
        <v>1136</v>
      </c>
      <c r="F1187" s="23" t="s">
        <v>1137</v>
      </c>
      <c r="G1187" s="29">
        <v>9712</v>
      </c>
      <c r="H1187" s="25" t="s">
        <v>1666</v>
      </c>
      <c r="I1187" s="25" t="s">
        <v>2404</v>
      </c>
      <c r="J1187" s="26"/>
    </row>
    <row r="1188" spans="3:10" s="13" customFormat="1" ht="30.95" customHeight="1">
      <c r="C1188" s="22">
        <f t="shared" si="18"/>
        <v>1181</v>
      </c>
      <c r="D1188" s="161" t="s">
        <v>2405</v>
      </c>
      <c r="E1188" s="23" t="s">
        <v>1136</v>
      </c>
      <c r="F1188" s="23" t="s">
        <v>1137</v>
      </c>
      <c r="G1188" s="24">
        <v>3271</v>
      </c>
      <c r="H1188" s="25" t="s">
        <v>1676</v>
      </c>
      <c r="I1188" s="25" t="s">
        <v>2406</v>
      </c>
      <c r="J1188" s="26"/>
    </row>
    <row r="1189" spans="3:10" s="38" customFormat="1" ht="30.95" customHeight="1">
      <c r="C1189" s="22">
        <f t="shared" si="18"/>
        <v>1182</v>
      </c>
      <c r="D1189" s="190" t="s">
        <v>2407</v>
      </c>
      <c r="E1189" s="23" t="s">
        <v>1136</v>
      </c>
      <c r="F1189" s="23" t="s">
        <v>1137</v>
      </c>
      <c r="G1189" s="36">
        <v>3000</v>
      </c>
      <c r="H1189" s="25" t="s">
        <v>2408</v>
      </c>
      <c r="I1189" s="25" t="s">
        <v>1255</v>
      </c>
      <c r="J1189" s="37"/>
    </row>
    <row r="1190" spans="3:10" s="38" customFormat="1" ht="30.95" customHeight="1">
      <c r="C1190" s="22">
        <f t="shared" si="18"/>
        <v>1183</v>
      </c>
      <c r="D1190" s="166" t="s">
        <v>2409</v>
      </c>
      <c r="E1190" s="23" t="s">
        <v>1136</v>
      </c>
      <c r="F1190" s="23" t="s">
        <v>1137</v>
      </c>
      <c r="G1190" s="169">
        <v>750</v>
      </c>
      <c r="H1190" s="25" t="s">
        <v>2410</v>
      </c>
      <c r="I1190" s="164" t="s">
        <v>2411</v>
      </c>
      <c r="J1190" s="37"/>
    </row>
    <row r="1191" spans="3:10" s="38" customFormat="1" ht="30.95" customHeight="1">
      <c r="C1191" s="22">
        <f t="shared" si="18"/>
        <v>1184</v>
      </c>
      <c r="D1191" s="166" t="s">
        <v>2412</v>
      </c>
      <c r="E1191" s="23" t="s">
        <v>1136</v>
      </c>
      <c r="F1191" s="23" t="s">
        <v>1137</v>
      </c>
      <c r="G1191" s="39">
        <v>1150</v>
      </c>
      <c r="H1191" s="25" t="s">
        <v>2413</v>
      </c>
      <c r="I1191" s="25" t="s">
        <v>2413</v>
      </c>
      <c r="J1191" s="37"/>
    </row>
    <row r="1192" spans="3:10" s="38" customFormat="1" ht="30.95" customHeight="1">
      <c r="C1192" s="22">
        <f t="shared" si="18"/>
        <v>1185</v>
      </c>
      <c r="D1192" s="166" t="s">
        <v>2414</v>
      </c>
      <c r="E1192" s="23" t="s">
        <v>1136</v>
      </c>
      <c r="F1192" s="23" t="s">
        <v>1137</v>
      </c>
      <c r="G1192" s="39">
        <v>700</v>
      </c>
      <c r="H1192" s="25" t="s">
        <v>2413</v>
      </c>
      <c r="I1192" s="25" t="s">
        <v>2413</v>
      </c>
      <c r="J1192" s="37"/>
    </row>
    <row r="1193" spans="3:10" s="38" customFormat="1" ht="30.95" customHeight="1">
      <c r="C1193" s="22">
        <f t="shared" si="18"/>
        <v>1186</v>
      </c>
      <c r="D1193" s="166" t="s">
        <v>2415</v>
      </c>
      <c r="E1193" s="23" t="s">
        <v>1136</v>
      </c>
      <c r="F1193" s="23" t="s">
        <v>1137</v>
      </c>
      <c r="G1193" s="39">
        <v>2800</v>
      </c>
      <c r="H1193" s="25" t="s">
        <v>2416</v>
      </c>
      <c r="I1193" s="25" t="s">
        <v>2417</v>
      </c>
      <c r="J1193" s="37"/>
    </row>
    <row r="1194" spans="3:10" s="38" customFormat="1" ht="30.95" customHeight="1">
      <c r="C1194" s="22">
        <f t="shared" si="18"/>
        <v>1187</v>
      </c>
      <c r="D1194" s="166" t="s">
        <v>2418</v>
      </c>
      <c r="E1194" s="23" t="s">
        <v>1136</v>
      </c>
      <c r="F1194" s="23" t="s">
        <v>1137</v>
      </c>
      <c r="G1194" s="24">
        <v>5500</v>
      </c>
      <c r="H1194" s="25" t="s">
        <v>358</v>
      </c>
      <c r="I1194" s="25" t="s">
        <v>407</v>
      </c>
      <c r="J1194" s="40"/>
    </row>
    <row r="1195" spans="3:10" s="38" customFormat="1" ht="30.95" customHeight="1">
      <c r="C1195" s="22">
        <f t="shared" si="18"/>
        <v>1188</v>
      </c>
      <c r="D1195" s="166" t="s">
        <v>2419</v>
      </c>
      <c r="E1195" s="23" t="s">
        <v>1136</v>
      </c>
      <c r="F1195" s="23" t="s">
        <v>1137</v>
      </c>
      <c r="G1195" s="24">
        <v>4263</v>
      </c>
      <c r="H1195" s="25" t="s">
        <v>433</v>
      </c>
      <c r="I1195" s="25" t="s">
        <v>606</v>
      </c>
      <c r="J1195" s="40"/>
    </row>
    <row r="1196" spans="3:10" s="38" customFormat="1" ht="30.95" customHeight="1">
      <c r="C1196" s="22">
        <f t="shared" si="18"/>
        <v>1189</v>
      </c>
      <c r="D1196" s="166" t="s">
        <v>2420</v>
      </c>
      <c r="E1196" s="23" t="s">
        <v>1136</v>
      </c>
      <c r="F1196" s="23" t="s">
        <v>1137</v>
      </c>
      <c r="G1196" s="24">
        <v>1323</v>
      </c>
      <c r="H1196" s="25" t="s">
        <v>433</v>
      </c>
      <c r="I1196" s="25" t="s">
        <v>2421</v>
      </c>
      <c r="J1196" s="40"/>
    </row>
    <row r="1197" spans="3:10" s="38" customFormat="1" ht="30.95" customHeight="1">
      <c r="C1197" s="22">
        <f t="shared" si="18"/>
        <v>1190</v>
      </c>
      <c r="D1197" s="166" t="s">
        <v>2422</v>
      </c>
      <c r="E1197" s="23" t="s">
        <v>1136</v>
      </c>
      <c r="F1197" s="23" t="s">
        <v>1137</v>
      </c>
      <c r="G1197" s="24">
        <v>1581</v>
      </c>
      <c r="H1197" s="25" t="s">
        <v>2423</v>
      </c>
      <c r="I1197" s="25" t="s">
        <v>2424</v>
      </c>
      <c r="J1197" s="40"/>
    </row>
    <row r="1198" spans="3:10" s="38" customFormat="1" ht="30.95" customHeight="1">
      <c r="C1198" s="22">
        <f t="shared" si="18"/>
        <v>1191</v>
      </c>
      <c r="D1198" s="166" t="s">
        <v>2421</v>
      </c>
      <c r="E1198" s="23" t="s">
        <v>1136</v>
      </c>
      <c r="F1198" s="23" t="s">
        <v>1137</v>
      </c>
      <c r="G1198" s="24">
        <v>2260</v>
      </c>
      <c r="H1198" s="25" t="s">
        <v>2422</v>
      </c>
      <c r="I1198" s="25" t="s">
        <v>2425</v>
      </c>
      <c r="J1198" s="40"/>
    </row>
    <row r="1199" spans="3:10" s="38" customFormat="1" ht="30.95" customHeight="1">
      <c r="C1199" s="22">
        <f t="shared" si="18"/>
        <v>1192</v>
      </c>
      <c r="D1199" s="166" t="s">
        <v>2426</v>
      </c>
      <c r="E1199" s="23" t="s">
        <v>1136</v>
      </c>
      <c r="F1199" s="23" t="s">
        <v>1137</v>
      </c>
      <c r="G1199" s="24">
        <v>2500</v>
      </c>
      <c r="H1199" s="25" t="s">
        <v>589</v>
      </c>
      <c r="I1199" s="25" t="s">
        <v>407</v>
      </c>
      <c r="J1199" s="40"/>
    </row>
    <row r="1200" spans="3:10" s="38" customFormat="1" ht="30.95" customHeight="1">
      <c r="C1200" s="22">
        <f t="shared" si="18"/>
        <v>1193</v>
      </c>
      <c r="D1200" s="166" t="s">
        <v>2427</v>
      </c>
      <c r="E1200" s="23" t="s">
        <v>1136</v>
      </c>
      <c r="F1200" s="23" t="s">
        <v>1137</v>
      </c>
      <c r="G1200" s="163">
        <v>8600</v>
      </c>
      <c r="H1200" s="25" t="s">
        <v>2428</v>
      </c>
      <c r="I1200" s="164" t="s">
        <v>433</v>
      </c>
      <c r="J1200" s="40"/>
    </row>
    <row r="1201" spans="1:10" s="38" customFormat="1" ht="30.95" customHeight="1">
      <c r="C1201" s="22">
        <f t="shared" si="18"/>
        <v>1194</v>
      </c>
      <c r="D1201" s="166" t="s">
        <v>2429</v>
      </c>
      <c r="E1201" s="23" t="s">
        <v>1136</v>
      </c>
      <c r="F1201" s="23" t="s">
        <v>1137</v>
      </c>
      <c r="G1201" s="24">
        <v>3500</v>
      </c>
      <c r="H1201" s="25" t="s">
        <v>387</v>
      </c>
      <c r="I1201" s="25" t="s">
        <v>930</v>
      </c>
      <c r="J1201" s="40"/>
    </row>
    <row r="1202" spans="1:10" s="38" customFormat="1" ht="30.95" customHeight="1">
      <c r="C1202" s="22">
        <f t="shared" si="18"/>
        <v>1195</v>
      </c>
      <c r="D1202" s="166" t="s">
        <v>2430</v>
      </c>
      <c r="E1202" s="23" t="s">
        <v>1136</v>
      </c>
      <c r="F1202" s="23" t="s">
        <v>1137</v>
      </c>
      <c r="G1202" s="24">
        <v>9000</v>
      </c>
      <c r="H1202" s="25" t="s">
        <v>387</v>
      </c>
      <c r="I1202" s="25" t="s">
        <v>2431</v>
      </c>
      <c r="J1202" s="40"/>
    </row>
    <row r="1203" spans="1:10" s="38" customFormat="1" ht="30.95" customHeight="1">
      <c r="C1203" s="22">
        <f t="shared" si="18"/>
        <v>1196</v>
      </c>
      <c r="D1203" s="166" t="s">
        <v>2432</v>
      </c>
      <c r="E1203" s="23" t="s">
        <v>1136</v>
      </c>
      <c r="F1203" s="23" t="s">
        <v>1137</v>
      </c>
      <c r="G1203" s="24">
        <v>7000</v>
      </c>
      <c r="H1203" s="25" t="s">
        <v>433</v>
      </c>
      <c r="I1203" s="25" t="s">
        <v>2433</v>
      </c>
      <c r="J1203" s="40"/>
    </row>
    <row r="1204" spans="1:10" s="41" customFormat="1" ht="30.95" customHeight="1">
      <c r="A1204" s="41">
        <v>1</v>
      </c>
      <c r="C1204" s="22">
        <f t="shared" si="18"/>
        <v>1197</v>
      </c>
      <c r="D1204" s="161" t="s">
        <v>2434</v>
      </c>
      <c r="E1204" s="23" t="s">
        <v>1136</v>
      </c>
      <c r="F1204" s="23" t="s">
        <v>1137</v>
      </c>
      <c r="G1204" s="24">
        <v>1650</v>
      </c>
      <c r="H1204" s="25" t="s">
        <v>2435</v>
      </c>
      <c r="I1204" s="25" t="s">
        <v>2436</v>
      </c>
      <c r="J1204" s="26"/>
    </row>
    <row r="1205" spans="1:10" s="41" customFormat="1" ht="30.95" customHeight="1">
      <c r="A1205" s="41">
        <v>2</v>
      </c>
      <c r="C1205" s="22">
        <f t="shared" si="18"/>
        <v>1198</v>
      </c>
      <c r="D1205" s="161" t="s">
        <v>2437</v>
      </c>
      <c r="E1205" s="23" t="s">
        <v>1136</v>
      </c>
      <c r="F1205" s="23" t="s">
        <v>1137</v>
      </c>
      <c r="G1205" s="24">
        <v>1254</v>
      </c>
      <c r="H1205" s="25" t="s">
        <v>2438</v>
      </c>
      <c r="I1205" s="25" t="s">
        <v>407</v>
      </c>
      <c r="J1205" s="26"/>
    </row>
    <row r="1206" spans="1:10" s="41" customFormat="1" ht="30.95" customHeight="1">
      <c r="A1206" s="41">
        <v>3</v>
      </c>
      <c r="C1206" s="22">
        <f t="shared" si="18"/>
        <v>1199</v>
      </c>
      <c r="D1206" s="161" t="s">
        <v>2439</v>
      </c>
      <c r="E1206" s="23" t="s">
        <v>1136</v>
      </c>
      <c r="F1206" s="23" t="s">
        <v>1137</v>
      </c>
      <c r="G1206" s="24">
        <v>1205</v>
      </c>
      <c r="H1206" s="25" t="s">
        <v>2438</v>
      </c>
      <c r="I1206" s="25" t="s">
        <v>407</v>
      </c>
      <c r="J1206" s="26"/>
    </row>
    <row r="1207" spans="1:10" s="159" customFormat="1" ht="30.95" customHeight="1">
      <c r="A1207" s="159">
        <v>5</v>
      </c>
      <c r="C1207" s="160">
        <f t="shared" si="18"/>
        <v>1200</v>
      </c>
      <c r="D1207" s="166" t="s">
        <v>2440</v>
      </c>
      <c r="E1207" s="162" t="s">
        <v>1136</v>
      </c>
      <c r="F1207" s="162" t="s">
        <v>1137</v>
      </c>
      <c r="G1207" s="163">
        <v>3515</v>
      </c>
      <c r="H1207" s="164" t="s">
        <v>2441</v>
      </c>
      <c r="I1207" s="164" t="s">
        <v>1323</v>
      </c>
      <c r="J1207" s="165"/>
    </row>
    <row r="1208" spans="1:10" s="159" customFormat="1" ht="30.95" customHeight="1">
      <c r="A1208" s="159">
        <v>6</v>
      </c>
      <c r="C1208" s="160">
        <f t="shared" si="18"/>
        <v>1201</v>
      </c>
      <c r="D1208" s="166" t="s">
        <v>2442</v>
      </c>
      <c r="E1208" s="162" t="s">
        <v>1136</v>
      </c>
      <c r="F1208" s="162" t="s">
        <v>1137</v>
      </c>
      <c r="G1208" s="163">
        <v>6000</v>
      </c>
      <c r="H1208" s="164" t="s">
        <v>2443</v>
      </c>
      <c r="I1208" s="164" t="s">
        <v>2444</v>
      </c>
      <c r="J1208" s="165"/>
    </row>
    <row r="1209" spans="1:10" s="38" customFormat="1" ht="30.95" customHeight="1">
      <c r="A1209" s="41">
        <v>7</v>
      </c>
      <c r="C1209" s="22">
        <f t="shared" si="18"/>
        <v>1202</v>
      </c>
      <c r="D1209" s="166" t="s">
        <v>2445</v>
      </c>
      <c r="E1209" s="23" t="s">
        <v>1136</v>
      </c>
      <c r="F1209" s="23" t="s">
        <v>1137</v>
      </c>
      <c r="G1209" s="24">
        <v>2100</v>
      </c>
      <c r="H1209" s="25" t="s">
        <v>2446</v>
      </c>
      <c r="I1209" s="25" t="s">
        <v>433</v>
      </c>
      <c r="J1209" s="40"/>
    </row>
    <row r="1210" spans="1:10" s="38" customFormat="1" ht="30.95" customHeight="1">
      <c r="C1210" s="22">
        <f t="shared" si="18"/>
        <v>1203</v>
      </c>
      <c r="D1210" s="166" t="s">
        <v>2447</v>
      </c>
      <c r="E1210" s="23" t="s">
        <v>1136</v>
      </c>
      <c r="F1210" s="23" t="s">
        <v>1137</v>
      </c>
      <c r="G1210" s="24">
        <v>400</v>
      </c>
      <c r="H1210" s="25" t="s">
        <v>2448</v>
      </c>
      <c r="I1210" s="25" t="s">
        <v>2449</v>
      </c>
      <c r="J1210" s="40"/>
    </row>
    <row r="1211" spans="1:10" s="38" customFormat="1" ht="30.95" customHeight="1">
      <c r="C1211" s="22">
        <f t="shared" si="18"/>
        <v>1204</v>
      </c>
      <c r="D1211" s="166" t="s">
        <v>2450</v>
      </c>
      <c r="E1211" s="23" t="s">
        <v>1136</v>
      </c>
      <c r="F1211" s="23" t="s">
        <v>1137</v>
      </c>
      <c r="G1211" s="24">
        <v>3646</v>
      </c>
      <c r="H1211" s="25" t="s">
        <v>440</v>
      </c>
      <c r="I1211" s="25" t="s">
        <v>1105</v>
      </c>
      <c r="J1211" s="40"/>
    </row>
    <row r="1212" spans="1:10" s="38" customFormat="1" ht="30.95" customHeight="1">
      <c r="C1212" s="22">
        <f t="shared" si="18"/>
        <v>1205</v>
      </c>
      <c r="D1212" s="166" t="s">
        <v>3793</v>
      </c>
      <c r="E1212" s="23" t="s">
        <v>1136</v>
      </c>
      <c r="F1212" s="23" t="s">
        <v>1137</v>
      </c>
      <c r="G1212" s="24">
        <v>10124</v>
      </c>
      <c r="H1212" s="25" t="s">
        <v>2451</v>
      </c>
      <c r="I1212" s="25" t="s">
        <v>254</v>
      </c>
      <c r="J1212" s="40"/>
    </row>
    <row r="1213" spans="1:10" s="38" customFormat="1" ht="30.95" customHeight="1">
      <c r="C1213" s="22">
        <f t="shared" si="18"/>
        <v>1206</v>
      </c>
      <c r="D1213" s="166" t="s">
        <v>2341</v>
      </c>
      <c r="E1213" s="23" t="s">
        <v>1136</v>
      </c>
      <c r="F1213" s="23" t="s">
        <v>1137</v>
      </c>
      <c r="G1213" s="24">
        <v>3348</v>
      </c>
      <c r="H1213" s="25" t="s">
        <v>433</v>
      </c>
      <c r="I1213" s="25" t="s">
        <v>3783</v>
      </c>
      <c r="J1213" s="40"/>
    </row>
    <row r="1214" spans="1:10" s="38" customFormat="1" ht="30.95" customHeight="1">
      <c r="C1214" s="22">
        <f t="shared" si="18"/>
        <v>1207</v>
      </c>
      <c r="D1214" s="166" t="s">
        <v>2452</v>
      </c>
      <c r="E1214" s="23" t="s">
        <v>1136</v>
      </c>
      <c r="F1214" s="23" t="s">
        <v>1137</v>
      </c>
      <c r="G1214" s="24">
        <v>3800</v>
      </c>
      <c r="H1214" s="25" t="s">
        <v>2453</v>
      </c>
      <c r="I1214" s="25" t="s">
        <v>3783</v>
      </c>
      <c r="J1214" s="40"/>
    </row>
    <row r="1215" spans="1:10" s="38" customFormat="1" ht="30.95" customHeight="1">
      <c r="C1215" s="22">
        <f t="shared" si="18"/>
        <v>1208</v>
      </c>
      <c r="D1215" s="166" t="s">
        <v>2454</v>
      </c>
      <c r="E1215" s="23" t="s">
        <v>1136</v>
      </c>
      <c r="F1215" s="23" t="s">
        <v>1137</v>
      </c>
      <c r="G1215" s="24">
        <v>4500</v>
      </c>
      <c r="H1215" s="25" t="s">
        <v>2453</v>
      </c>
      <c r="I1215" s="25" t="s">
        <v>3783</v>
      </c>
      <c r="J1215" s="40"/>
    </row>
    <row r="1216" spans="1:10" s="38" customFormat="1" ht="30.95" customHeight="1">
      <c r="C1216" s="22">
        <f t="shared" si="18"/>
        <v>1209</v>
      </c>
      <c r="D1216" s="166" t="s">
        <v>3784</v>
      </c>
      <c r="E1216" s="23" t="s">
        <v>1136</v>
      </c>
      <c r="F1216" s="23" t="s">
        <v>1137</v>
      </c>
      <c r="G1216" s="24">
        <v>250</v>
      </c>
      <c r="H1216" s="25" t="s">
        <v>606</v>
      </c>
      <c r="I1216" s="25" t="s">
        <v>2455</v>
      </c>
      <c r="J1216" s="40"/>
    </row>
    <row r="1217" spans="3:10" s="38" customFormat="1" ht="30.95" customHeight="1">
      <c r="C1217" s="22">
        <f t="shared" si="18"/>
        <v>1210</v>
      </c>
      <c r="D1217" s="166" t="s">
        <v>1246</v>
      </c>
      <c r="E1217" s="23" t="s">
        <v>1136</v>
      </c>
      <c r="F1217" s="23" t="s">
        <v>1137</v>
      </c>
      <c r="G1217" s="24">
        <v>695</v>
      </c>
      <c r="H1217" s="25" t="s">
        <v>2350</v>
      </c>
      <c r="I1217" s="25" t="s">
        <v>2456</v>
      </c>
      <c r="J1217" s="40"/>
    </row>
    <row r="1218" spans="3:10" s="38" customFormat="1" ht="30.95" customHeight="1">
      <c r="C1218" s="22">
        <f t="shared" si="18"/>
        <v>1211</v>
      </c>
      <c r="D1218" s="166" t="s">
        <v>1255</v>
      </c>
      <c r="E1218" s="23" t="s">
        <v>1136</v>
      </c>
      <c r="F1218" s="23" t="s">
        <v>1137</v>
      </c>
      <c r="G1218" s="24">
        <v>700</v>
      </c>
      <c r="H1218" s="25" t="s">
        <v>2350</v>
      </c>
      <c r="I1218" s="25" t="s">
        <v>2456</v>
      </c>
      <c r="J1218" s="40"/>
    </row>
    <row r="1219" spans="3:10" s="38" customFormat="1" ht="30.95" customHeight="1">
      <c r="C1219" s="22">
        <f t="shared" si="18"/>
        <v>1212</v>
      </c>
      <c r="D1219" s="166" t="s">
        <v>1272</v>
      </c>
      <c r="E1219" s="23" t="s">
        <v>1136</v>
      </c>
      <c r="F1219" s="23" t="s">
        <v>1137</v>
      </c>
      <c r="G1219" s="24">
        <v>799</v>
      </c>
      <c r="H1219" s="25" t="s">
        <v>2350</v>
      </c>
      <c r="I1219" s="25" t="s">
        <v>1113</v>
      </c>
      <c r="J1219" s="40"/>
    </row>
    <row r="1220" spans="3:10" s="38" customFormat="1" ht="30.95" customHeight="1">
      <c r="C1220" s="22">
        <f t="shared" si="18"/>
        <v>1213</v>
      </c>
      <c r="D1220" s="166" t="s">
        <v>1289</v>
      </c>
      <c r="E1220" s="23" t="s">
        <v>1136</v>
      </c>
      <c r="F1220" s="23" t="s">
        <v>1137</v>
      </c>
      <c r="G1220" s="24">
        <v>702</v>
      </c>
      <c r="H1220" s="25" t="s">
        <v>2350</v>
      </c>
      <c r="I1220" s="25" t="s">
        <v>1113</v>
      </c>
      <c r="J1220" s="40"/>
    </row>
    <row r="1221" spans="3:10" s="38" customFormat="1" ht="30.95" customHeight="1">
      <c r="C1221" s="22">
        <f t="shared" si="18"/>
        <v>1214</v>
      </c>
      <c r="D1221" s="166" t="s">
        <v>1306</v>
      </c>
      <c r="E1221" s="23" t="s">
        <v>1136</v>
      </c>
      <c r="F1221" s="23" t="s">
        <v>1137</v>
      </c>
      <c r="G1221" s="24">
        <v>660</v>
      </c>
      <c r="H1221" s="25" t="s">
        <v>2350</v>
      </c>
      <c r="I1221" s="25" t="s">
        <v>1113</v>
      </c>
      <c r="J1221" s="40"/>
    </row>
    <row r="1222" spans="3:10" s="38" customFormat="1" ht="30.95" customHeight="1">
      <c r="C1222" s="22">
        <f t="shared" si="18"/>
        <v>1215</v>
      </c>
      <c r="D1222" s="166" t="s">
        <v>1323</v>
      </c>
      <c r="E1222" s="23" t="s">
        <v>1136</v>
      </c>
      <c r="F1222" s="23" t="s">
        <v>1137</v>
      </c>
      <c r="G1222" s="24">
        <v>733</v>
      </c>
      <c r="H1222" s="25" t="s">
        <v>2350</v>
      </c>
      <c r="I1222" s="25" t="s">
        <v>1113</v>
      </c>
      <c r="J1222" s="40"/>
    </row>
    <row r="1223" spans="3:10" s="38" customFormat="1" ht="30.95" customHeight="1">
      <c r="C1223" s="22">
        <f t="shared" si="18"/>
        <v>1216</v>
      </c>
      <c r="D1223" s="166" t="s">
        <v>2457</v>
      </c>
      <c r="E1223" s="23" t="s">
        <v>1136</v>
      </c>
      <c r="F1223" s="23" t="s">
        <v>1137</v>
      </c>
      <c r="G1223" s="24">
        <v>1200</v>
      </c>
      <c r="H1223" s="25" t="s">
        <v>2458</v>
      </c>
      <c r="I1223" s="25" t="s">
        <v>2459</v>
      </c>
      <c r="J1223" s="40"/>
    </row>
    <row r="1224" spans="3:10" s="38" customFormat="1" ht="30.95" customHeight="1">
      <c r="C1224" s="22">
        <f t="shared" si="18"/>
        <v>1217</v>
      </c>
      <c r="D1224" s="166" t="s">
        <v>2460</v>
      </c>
      <c r="E1224" s="23" t="s">
        <v>1136</v>
      </c>
      <c r="F1224" s="23" t="s">
        <v>1137</v>
      </c>
      <c r="G1224" s="24">
        <v>2000</v>
      </c>
      <c r="H1224" s="25" t="s">
        <v>2458</v>
      </c>
      <c r="I1224" s="25" t="s">
        <v>2459</v>
      </c>
      <c r="J1224" s="40"/>
    </row>
    <row r="1225" spans="3:10" s="38" customFormat="1" ht="30.95" customHeight="1">
      <c r="C1225" s="22">
        <f t="shared" si="18"/>
        <v>1218</v>
      </c>
      <c r="D1225" s="166" t="s">
        <v>2461</v>
      </c>
      <c r="E1225" s="23" t="s">
        <v>1136</v>
      </c>
      <c r="F1225" s="23" t="s">
        <v>1137</v>
      </c>
      <c r="G1225" s="24">
        <v>1700</v>
      </c>
      <c r="H1225" s="25" t="s">
        <v>2458</v>
      </c>
      <c r="I1225" s="25" t="s">
        <v>2459</v>
      </c>
      <c r="J1225" s="40"/>
    </row>
    <row r="1226" spans="3:10" s="38" customFormat="1" ht="30.95" customHeight="1">
      <c r="C1226" s="22">
        <f t="shared" ref="C1226:C1289" si="19">C1225+1</f>
        <v>1219</v>
      </c>
      <c r="D1226" s="166" t="s">
        <v>2462</v>
      </c>
      <c r="E1226" s="23" t="s">
        <v>1136</v>
      </c>
      <c r="F1226" s="23" t="s">
        <v>1137</v>
      </c>
      <c r="G1226" s="24">
        <v>1900</v>
      </c>
      <c r="H1226" s="25" t="s">
        <v>2458</v>
      </c>
      <c r="I1226" s="25" t="s">
        <v>2459</v>
      </c>
      <c r="J1226" s="40"/>
    </row>
    <row r="1227" spans="3:10" s="38" customFormat="1" ht="30.95" customHeight="1">
      <c r="C1227" s="22">
        <f t="shared" si="19"/>
        <v>1220</v>
      </c>
      <c r="D1227" s="166" t="s">
        <v>2463</v>
      </c>
      <c r="E1227" s="23" t="s">
        <v>1136</v>
      </c>
      <c r="F1227" s="23" t="s">
        <v>1137</v>
      </c>
      <c r="G1227" s="24">
        <v>2800</v>
      </c>
      <c r="H1227" s="25" t="s">
        <v>1117</v>
      </c>
      <c r="I1227" s="25" t="s">
        <v>2459</v>
      </c>
      <c r="J1227" s="40"/>
    </row>
    <row r="1228" spans="3:10" s="38" customFormat="1" ht="30.95" customHeight="1">
      <c r="C1228" s="22">
        <f t="shared" si="19"/>
        <v>1221</v>
      </c>
      <c r="D1228" s="166" t="s">
        <v>2464</v>
      </c>
      <c r="E1228" s="23" t="s">
        <v>1136</v>
      </c>
      <c r="F1228" s="23" t="s">
        <v>1137</v>
      </c>
      <c r="G1228" s="24">
        <v>2200</v>
      </c>
      <c r="H1228" s="25" t="s">
        <v>2465</v>
      </c>
      <c r="I1228" s="25" t="s">
        <v>433</v>
      </c>
      <c r="J1228" s="40"/>
    </row>
    <row r="1229" spans="3:10" s="38" customFormat="1" ht="30.95" customHeight="1">
      <c r="C1229" s="22">
        <f t="shared" si="19"/>
        <v>1222</v>
      </c>
      <c r="D1229" s="166" t="s">
        <v>2466</v>
      </c>
      <c r="E1229" s="23" t="s">
        <v>1136</v>
      </c>
      <c r="F1229" s="23" t="s">
        <v>1137</v>
      </c>
      <c r="G1229" s="24">
        <v>5700</v>
      </c>
      <c r="H1229" s="25" t="s">
        <v>2467</v>
      </c>
      <c r="I1229" s="25" t="s">
        <v>433</v>
      </c>
      <c r="J1229" s="40"/>
    </row>
    <row r="1230" spans="3:10" s="38" customFormat="1" ht="30.95" customHeight="1">
      <c r="C1230" s="22">
        <f t="shared" si="19"/>
        <v>1223</v>
      </c>
      <c r="D1230" s="166" t="s">
        <v>2468</v>
      </c>
      <c r="E1230" s="23" t="s">
        <v>1136</v>
      </c>
      <c r="F1230" s="23" t="s">
        <v>1137</v>
      </c>
      <c r="G1230" s="24">
        <v>2800</v>
      </c>
      <c r="H1230" s="25" t="s">
        <v>2465</v>
      </c>
      <c r="I1230" s="25" t="s">
        <v>433</v>
      </c>
      <c r="J1230" s="40"/>
    </row>
    <row r="1231" spans="3:10" s="38" customFormat="1" ht="30.95" customHeight="1">
      <c r="C1231" s="22">
        <f t="shared" si="19"/>
        <v>1224</v>
      </c>
      <c r="D1231" s="166" t="s">
        <v>2469</v>
      </c>
      <c r="E1231" s="23" t="s">
        <v>1136</v>
      </c>
      <c r="F1231" s="23" t="s">
        <v>1137</v>
      </c>
      <c r="G1231" s="24">
        <v>2400</v>
      </c>
      <c r="H1231" s="25" t="s">
        <v>2465</v>
      </c>
      <c r="I1231" s="25" t="s">
        <v>433</v>
      </c>
      <c r="J1231" s="40"/>
    </row>
    <row r="1232" spans="3:10" s="38" customFormat="1" ht="30.95" customHeight="1">
      <c r="C1232" s="22">
        <f t="shared" si="19"/>
        <v>1225</v>
      </c>
      <c r="D1232" s="166" t="s">
        <v>2470</v>
      </c>
      <c r="E1232" s="23" t="s">
        <v>1136</v>
      </c>
      <c r="F1232" s="23" t="s">
        <v>1137</v>
      </c>
      <c r="G1232" s="24">
        <v>2300</v>
      </c>
      <c r="H1232" s="25" t="s">
        <v>2465</v>
      </c>
      <c r="I1232" s="25" t="s">
        <v>433</v>
      </c>
      <c r="J1232" s="40"/>
    </row>
    <row r="1233" spans="1:11" s="38" customFormat="1" ht="30.95" customHeight="1">
      <c r="C1233" s="22">
        <f t="shared" si="19"/>
        <v>1226</v>
      </c>
      <c r="D1233" s="166" t="s">
        <v>2471</v>
      </c>
      <c r="E1233" s="42" t="s">
        <v>1136</v>
      </c>
      <c r="F1233" s="42" t="s">
        <v>1137</v>
      </c>
      <c r="G1233" s="24">
        <v>1800</v>
      </c>
      <c r="H1233" s="25" t="s">
        <v>2224</v>
      </c>
      <c r="I1233" s="25" t="s">
        <v>433</v>
      </c>
      <c r="J1233" s="43"/>
    </row>
    <row r="1234" spans="1:11" s="41" customFormat="1" ht="30.95" customHeight="1">
      <c r="A1234" s="41">
        <v>1</v>
      </c>
      <c r="B1234" s="44"/>
      <c r="C1234" s="22">
        <f t="shared" si="19"/>
        <v>1227</v>
      </c>
      <c r="D1234" s="161" t="s">
        <v>2472</v>
      </c>
      <c r="E1234" s="23" t="s">
        <v>1136</v>
      </c>
      <c r="F1234" s="45" t="s">
        <v>2473</v>
      </c>
      <c r="G1234" s="163">
        <v>1255</v>
      </c>
      <c r="H1234" s="164" t="s">
        <v>2474</v>
      </c>
      <c r="I1234" s="164" t="s">
        <v>482</v>
      </c>
      <c r="J1234" s="26"/>
      <c r="K1234" s="214"/>
    </row>
    <row r="1235" spans="1:11" s="41" customFormat="1" ht="30.95" customHeight="1">
      <c r="A1235" s="41">
        <v>2</v>
      </c>
      <c r="C1235" s="22">
        <f t="shared" si="19"/>
        <v>1228</v>
      </c>
      <c r="D1235" s="161" t="s">
        <v>2475</v>
      </c>
      <c r="E1235" s="23" t="s">
        <v>1136</v>
      </c>
      <c r="F1235" s="45" t="s">
        <v>2473</v>
      </c>
      <c r="G1235" s="163">
        <v>1367</v>
      </c>
      <c r="H1235" s="164" t="s">
        <v>2476</v>
      </c>
      <c r="I1235" s="164" t="s">
        <v>531</v>
      </c>
      <c r="J1235" s="26"/>
    </row>
    <row r="1236" spans="1:11" s="41" customFormat="1" ht="30.95" customHeight="1">
      <c r="A1236" s="41">
        <v>3</v>
      </c>
      <c r="C1236" s="22">
        <f t="shared" si="19"/>
        <v>1229</v>
      </c>
      <c r="D1236" s="161" t="s">
        <v>3794</v>
      </c>
      <c r="E1236" s="23" t="s">
        <v>1136</v>
      </c>
      <c r="F1236" s="45" t="s">
        <v>2473</v>
      </c>
      <c r="G1236" s="163">
        <v>497</v>
      </c>
      <c r="H1236" s="164" t="s">
        <v>2477</v>
      </c>
      <c r="I1236" s="164" t="s">
        <v>244</v>
      </c>
      <c r="J1236" s="26"/>
    </row>
    <row r="1237" spans="1:11" s="41" customFormat="1" ht="30.95" customHeight="1">
      <c r="A1237" s="41">
        <v>4</v>
      </c>
      <c r="C1237" s="22">
        <f t="shared" si="19"/>
        <v>1230</v>
      </c>
      <c r="D1237" s="161" t="s">
        <v>3795</v>
      </c>
      <c r="E1237" s="23" t="s">
        <v>1136</v>
      </c>
      <c r="F1237" s="45" t="s">
        <v>2473</v>
      </c>
      <c r="G1237" s="163">
        <v>610</v>
      </c>
      <c r="H1237" s="164" t="s">
        <v>2477</v>
      </c>
      <c r="I1237" s="164" t="s">
        <v>3785</v>
      </c>
      <c r="J1237" s="26"/>
    </row>
    <row r="1238" spans="1:11" s="41" customFormat="1" ht="30.95" customHeight="1">
      <c r="A1238" s="41">
        <v>5</v>
      </c>
      <c r="C1238" s="22">
        <f t="shared" si="19"/>
        <v>1231</v>
      </c>
      <c r="D1238" s="161" t="s">
        <v>3796</v>
      </c>
      <c r="E1238" s="23" t="s">
        <v>1136</v>
      </c>
      <c r="F1238" s="45" t="s">
        <v>2473</v>
      </c>
      <c r="G1238" s="163">
        <v>410</v>
      </c>
      <c r="H1238" s="164" t="s">
        <v>3786</v>
      </c>
      <c r="I1238" s="164" t="s">
        <v>3785</v>
      </c>
      <c r="J1238" s="26"/>
    </row>
    <row r="1239" spans="1:11" s="41" customFormat="1" ht="30.95" customHeight="1">
      <c r="A1239" s="41">
        <v>6</v>
      </c>
      <c r="C1239" s="22">
        <f t="shared" si="19"/>
        <v>1232</v>
      </c>
      <c r="D1239" s="161" t="s">
        <v>3797</v>
      </c>
      <c r="E1239" s="23" t="s">
        <v>1136</v>
      </c>
      <c r="F1239" s="45" t="s">
        <v>2473</v>
      </c>
      <c r="G1239" s="163">
        <v>1250</v>
      </c>
      <c r="H1239" s="164" t="s">
        <v>3787</v>
      </c>
      <c r="I1239" s="164" t="s">
        <v>2478</v>
      </c>
      <c r="J1239" s="26"/>
    </row>
    <row r="1240" spans="1:11" s="41" customFormat="1" ht="30.95" customHeight="1">
      <c r="A1240" s="41">
        <v>7</v>
      </c>
      <c r="C1240" s="22">
        <f t="shared" si="19"/>
        <v>1233</v>
      </c>
      <c r="D1240" s="161" t="s">
        <v>3798</v>
      </c>
      <c r="E1240" s="23" t="s">
        <v>1136</v>
      </c>
      <c r="F1240" s="45" t="s">
        <v>2473</v>
      </c>
      <c r="G1240" s="163">
        <v>577</v>
      </c>
      <c r="H1240" s="164" t="s">
        <v>2479</v>
      </c>
      <c r="I1240" s="164" t="s">
        <v>542</v>
      </c>
      <c r="J1240" s="26"/>
    </row>
    <row r="1241" spans="1:11" s="41" customFormat="1" ht="30.95" customHeight="1">
      <c r="A1241" s="46">
        <v>8</v>
      </c>
      <c r="B1241" s="47">
        <f>SUM(G1234:G1241)</f>
        <v>6236</v>
      </c>
      <c r="C1241" s="22">
        <f t="shared" si="19"/>
        <v>1234</v>
      </c>
      <c r="D1241" s="161" t="s">
        <v>3799</v>
      </c>
      <c r="E1241" s="23" t="s">
        <v>1136</v>
      </c>
      <c r="F1241" s="45" t="s">
        <v>2473</v>
      </c>
      <c r="G1241" s="163">
        <v>270</v>
      </c>
      <c r="H1241" s="164" t="s">
        <v>2480</v>
      </c>
      <c r="I1241" s="164" t="s">
        <v>2481</v>
      </c>
      <c r="J1241" s="48"/>
    </row>
    <row r="1242" spans="1:11" s="41" customFormat="1" ht="30.95" customHeight="1">
      <c r="A1242" s="41">
        <v>1</v>
      </c>
      <c r="C1242" s="22">
        <f t="shared" si="19"/>
        <v>1235</v>
      </c>
      <c r="D1242" s="161" t="s">
        <v>2482</v>
      </c>
      <c r="E1242" s="23" t="s">
        <v>1136</v>
      </c>
      <c r="F1242" s="45" t="s">
        <v>962</v>
      </c>
      <c r="G1242" s="24">
        <v>193.1</v>
      </c>
      <c r="H1242" s="25" t="s">
        <v>387</v>
      </c>
      <c r="I1242" s="25" t="s">
        <v>2422</v>
      </c>
      <c r="J1242" s="48"/>
    </row>
    <row r="1243" spans="1:11" s="41" customFormat="1" ht="30.95" customHeight="1">
      <c r="A1243" s="41">
        <v>2</v>
      </c>
      <c r="C1243" s="22">
        <f t="shared" si="19"/>
        <v>1236</v>
      </c>
      <c r="D1243" s="161" t="s">
        <v>2483</v>
      </c>
      <c r="E1243" s="23" t="s">
        <v>1136</v>
      </c>
      <c r="F1243" s="45" t="s">
        <v>962</v>
      </c>
      <c r="G1243" s="24">
        <v>352</v>
      </c>
      <c r="H1243" s="25" t="s">
        <v>387</v>
      </c>
      <c r="I1243" s="25" t="s">
        <v>2422</v>
      </c>
      <c r="J1243" s="26"/>
    </row>
    <row r="1244" spans="1:11" s="41" customFormat="1" ht="30.95" customHeight="1">
      <c r="A1244" s="41">
        <v>3</v>
      </c>
      <c r="C1244" s="22">
        <f t="shared" si="19"/>
        <v>1237</v>
      </c>
      <c r="D1244" s="161" t="s">
        <v>2484</v>
      </c>
      <c r="E1244" s="23" t="s">
        <v>1136</v>
      </c>
      <c r="F1244" s="45" t="s">
        <v>962</v>
      </c>
      <c r="G1244" s="24">
        <v>643.20000000000005</v>
      </c>
      <c r="H1244" s="25" t="s">
        <v>2423</v>
      </c>
      <c r="I1244" s="25" t="s">
        <v>608</v>
      </c>
      <c r="J1244" s="26"/>
    </row>
    <row r="1245" spans="1:11" s="41" customFormat="1" ht="30.95" customHeight="1">
      <c r="A1245" s="41">
        <v>4</v>
      </c>
      <c r="C1245" s="22">
        <f t="shared" si="19"/>
        <v>1238</v>
      </c>
      <c r="D1245" s="161" t="s">
        <v>2424</v>
      </c>
      <c r="E1245" s="23" t="s">
        <v>1136</v>
      </c>
      <c r="F1245" s="45" t="s">
        <v>962</v>
      </c>
      <c r="G1245" s="24">
        <v>811.1</v>
      </c>
      <c r="H1245" s="25" t="s">
        <v>2423</v>
      </c>
      <c r="I1245" s="25" t="s">
        <v>608</v>
      </c>
      <c r="J1245" s="26"/>
    </row>
    <row r="1246" spans="1:11" s="41" customFormat="1" ht="30.95" customHeight="1">
      <c r="A1246" s="41">
        <v>5</v>
      </c>
      <c r="C1246" s="22">
        <f t="shared" si="19"/>
        <v>1239</v>
      </c>
      <c r="D1246" s="161" t="s">
        <v>2485</v>
      </c>
      <c r="E1246" s="23" t="s">
        <v>1136</v>
      </c>
      <c r="F1246" s="45" t="s">
        <v>962</v>
      </c>
      <c r="G1246" s="24">
        <v>1039.5</v>
      </c>
      <c r="H1246" s="25" t="s">
        <v>985</v>
      </c>
      <c r="I1246" s="25" t="s">
        <v>608</v>
      </c>
      <c r="J1246" s="26"/>
    </row>
    <row r="1247" spans="1:11" s="41" customFormat="1" ht="30.95" customHeight="1">
      <c r="A1247" s="41">
        <v>6</v>
      </c>
      <c r="C1247" s="22">
        <f t="shared" si="19"/>
        <v>1240</v>
      </c>
      <c r="D1247" s="161" t="s">
        <v>2486</v>
      </c>
      <c r="E1247" s="23" t="s">
        <v>1136</v>
      </c>
      <c r="F1247" s="45" t="s">
        <v>962</v>
      </c>
      <c r="G1247" s="24">
        <v>562.79999999999995</v>
      </c>
      <c r="H1247" s="25" t="s">
        <v>387</v>
      </c>
      <c r="I1247" s="25" t="s">
        <v>985</v>
      </c>
      <c r="J1247" s="26"/>
    </row>
    <row r="1248" spans="1:11" s="41" customFormat="1" ht="30.95" customHeight="1">
      <c r="A1248" s="41">
        <v>7</v>
      </c>
      <c r="C1248" s="22">
        <f t="shared" si="19"/>
        <v>1241</v>
      </c>
      <c r="D1248" s="161" t="s">
        <v>2487</v>
      </c>
      <c r="E1248" s="23" t="s">
        <v>1136</v>
      </c>
      <c r="F1248" s="45" t="s">
        <v>962</v>
      </c>
      <c r="G1248" s="24">
        <v>398.3</v>
      </c>
      <c r="H1248" s="25" t="s">
        <v>2419</v>
      </c>
      <c r="I1248" s="25" t="s">
        <v>610</v>
      </c>
      <c r="J1248" s="26"/>
    </row>
    <row r="1249" spans="1:10" s="41" customFormat="1" ht="30.95" customHeight="1">
      <c r="A1249" s="41">
        <v>8</v>
      </c>
      <c r="C1249" s="22">
        <f t="shared" si="19"/>
        <v>1242</v>
      </c>
      <c r="D1249" s="161" t="s">
        <v>2488</v>
      </c>
      <c r="E1249" s="23" t="s">
        <v>1136</v>
      </c>
      <c r="F1249" s="45" t="s">
        <v>962</v>
      </c>
      <c r="G1249" s="24">
        <v>1918</v>
      </c>
      <c r="H1249" s="25" t="s">
        <v>2489</v>
      </c>
      <c r="I1249" s="25" t="s">
        <v>600</v>
      </c>
      <c r="J1249" s="26"/>
    </row>
    <row r="1250" spans="1:10" s="41" customFormat="1" ht="30.95" customHeight="1">
      <c r="A1250" s="41">
        <v>9</v>
      </c>
      <c r="C1250" s="22">
        <f t="shared" si="19"/>
        <v>1243</v>
      </c>
      <c r="D1250" s="161" t="s">
        <v>2490</v>
      </c>
      <c r="E1250" s="23" t="s">
        <v>1136</v>
      </c>
      <c r="F1250" s="45" t="s">
        <v>962</v>
      </c>
      <c r="G1250" s="24">
        <v>324.60000000000002</v>
      </c>
      <c r="H1250" s="25" t="s">
        <v>612</v>
      </c>
      <c r="I1250" s="25" t="s">
        <v>1031</v>
      </c>
      <c r="J1250" s="26"/>
    </row>
    <row r="1251" spans="1:10" s="41" customFormat="1" ht="30.95" customHeight="1">
      <c r="A1251" s="41">
        <v>10</v>
      </c>
      <c r="C1251" s="22">
        <f t="shared" si="19"/>
        <v>1244</v>
      </c>
      <c r="D1251" s="161" t="s">
        <v>2491</v>
      </c>
      <c r="E1251" s="23" t="s">
        <v>1136</v>
      </c>
      <c r="F1251" s="45" t="s">
        <v>962</v>
      </c>
      <c r="G1251" s="24">
        <v>571.5</v>
      </c>
      <c r="H1251" s="25" t="s">
        <v>976</v>
      </c>
      <c r="I1251" s="25" t="s">
        <v>606</v>
      </c>
      <c r="J1251" s="26"/>
    </row>
    <row r="1252" spans="1:10" s="41" customFormat="1" ht="30.95" customHeight="1">
      <c r="A1252" s="41">
        <v>11</v>
      </c>
      <c r="C1252" s="22">
        <f t="shared" si="19"/>
        <v>1245</v>
      </c>
      <c r="D1252" s="161" t="s">
        <v>2492</v>
      </c>
      <c r="E1252" s="23" t="s">
        <v>1136</v>
      </c>
      <c r="F1252" s="45" t="s">
        <v>962</v>
      </c>
      <c r="G1252" s="24">
        <v>822</v>
      </c>
      <c r="H1252" s="25" t="s">
        <v>1028</v>
      </c>
      <c r="I1252" s="25" t="s">
        <v>2488</v>
      </c>
      <c r="J1252" s="26"/>
    </row>
    <row r="1253" spans="1:10" s="41" customFormat="1" ht="30.95" customHeight="1">
      <c r="A1253" s="41">
        <v>12</v>
      </c>
      <c r="C1253" s="22">
        <f t="shared" si="19"/>
        <v>1246</v>
      </c>
      <c r="D1253" s="161" t="s">
        <v>2493</v>
      </c>
      <c r="E1253" s="23" t="s">
        <v>1136</v>
      </c>
      <c r="F1253" s="45" t="s">
        <v>962</v>
      </c>
      <c r="G1253" s="24">
        <v>213.1</v>
      </c>
      <c r="H1253" s="25" t="s">
        <v>387</v>
      </c>
      <c r="I1253" s="25" t="s">
        <v>433</v>
      </c>
      <c r="J1253" s="26"/>
    </row>
    <row r="1254" spans="1:10" s="41" customFormat="1" ht="30.95" customHeight="1">
      <c r="A1254" s="41">
        <v>13</v>
      </c>
      <c r="C1254" s="22">
        <f t="shared" si="19"/>
        <v>1247</v>
      </c>
      <c r="D1254" s="161" t="s">
        <v>2494</v>
      </c>
      <c r="E1254" s="23" t="s">
        <v>1136</v>
      </c>
      <c r="F1254" s="45" t="s">
        <v>962</v>
      </c>
      <c r="G1254" s="24">
        <v>140</v>
      </c>
      <c r="H1254" s="25" t="s">
        <v>387</v>
      </c>
      <c r="I1254" s="25" t="s">
        <v>433</v>
      </c>
      <c r="J1254" s="26"/>
    </row>
    <row r="1255" spans="1:10" s="41" customFormat="1" ht="30.95" customHeight="1">
      <c r="A1255" s="41">
        <v>14</v>
      </c>
      <c r="C1255" s="22">
        <f t="shared" si="19"/>
        <v>1248</v>
      </c>
      <c r="D1255" s="161" t="s">
        <v>2495</v>
      </c>
      <c r="E1255" s="23" t="s">
        <v>1136</v>
      </c>
      <c r="F1255" s="45" t="s">
        <v>962</v>
      </c>
      <c r="G1255" s="24">
        <v>192.2</v>
      </c>
      <c r="H1255" s="25" t="s">
        <v>387</v>
      </c>
      <c r="I1255" s="25" t="s">
        <v>433</v>
      </c>
      <c r="J1255" s="26"/>
    </row>
    <row r="1256" spans="1:10" s="41" customFormat="1" ht="30.95" customHeight="1">
      <c r="A1256" s="41">
        <v>15</v>
      </c>
      <c r="C1256" s="22">
        <f t="shared" si="19"/>
        <v>1249</v>
      </c>
      <c r="D1256" s="161" t="s">
        <v>2496</v>
      </c>
      <c r="E1256" s="23" t="s">
        <v>1136</v>
      </c>
      <c r="F1256" s="45" t="s">
        <v>962</v>
      </c>
      <c r="G1256" s="24">
        <v>104.8</v>
      </c>
      <c r="H1256" s="25" t="s">
        <v>387</v>
      </c>
      <c r="I1256" s="25" t="s">
        <v>433</v>
      </c>
      <c r="J1256" s="26"/>
    </row>
    <row r="1257" spans="1:10" s="41" customFormat="1" ht="30.95" customHeight="1">
      <c r="A1257" s="41">
        <v>16</v>
      </c>
      <c r="C1257" s="22">
        <f t="shared" si="19"/>
        <v>1250</v>
      </c>
      <c r="D1257" s="161" t="s">
        <v>2497</v>
      </c>
      <c r="E1257" s="23" t="s">
        <v>1136</v>
      </c>
      <c r="F1257" s="45" t="s">
        <v>962</v>
      </c>
      <c r="G1257" s="24">
        <v>126.9</v>
      </c>
      <c r="H1257" s="25" t="s">
        <v>387</v>
      </c>
      <c r="I1257" s="25" t="s">
        <v>433</v>
      </c>
      <c r="J1257" s="26"/>
    </row>
    <row r="1258" spans="1:10" s="41" customFormat="1" ht="30.95" customHeight="1">
      <c r="A1258" s="41">
        <v>17</v>
      </c>
      <c r="C1258" s="22">
        <f t="shared" si="19"/>
        <v>1251</v>
      </c>
      <c r="D1258" s="161" t="s">
        <v>2498</v>
      </c>
      <c r="E1258" s="23" t="s">
        <v>1136</v>
      </c>
      <c r="F1258" s="45" t="s">
        <v>962</v>
      </c>
      <c r="G1258" s="24">
        <v>268.10000000000002</v>
      </c>
      <c r="H1258" s="25" t="s">
        <v>387</v>
      </c>
      <c r="I1258" s="25" t="s">
        <v>433</v>
      </c>
      <c r="J1258" s="26"/>
    </row>
    <row r="1259" spans="1:10" s="41" customFormat="1" ht="30.95" customHeight="1">
      <c r="A1259" s="41">
        <v>18</v>
      </c>
      <c r="C1259" s="22">
        <f t="shared" si="19"/>
        <v>1252</v>
      </c>
      <c r="D1259" s="161" t="s">
        <v>2499</v>
      </c>
      <c r="E1259" s="23" t="s">
        <v>1136</v>
      </c>
      <c r="F1259" s="45" t="s">
        <v>962</v>
      </c>
      <c r="G1259" s="24">
        <v>129.4</v>
      </c>
      <c r="H1259" s="25" t="s">
        <v>2419</v>
      </c>
      <c r="I1259" s="25" t="s">
        <v>3517</v>
      </c>
      <c r="J1259" s="26"/>
    </row>
    <row r="1260" spans="1:10" s="41" customFormat="1" ht="30.95" customHeight="1">
      <c r="A1260" s="41">
        <v>19</v>
      </c>
      <c r="C1260" s="22">
        <f t="shared" si="19"/>
        <v>1253</v>
      </c>
      <c r="D1260" s="161" t="s">
        <v>2500</v>
      </c>
      <c r="E1260" s="23" t="s">
        <v>1136</v>
      </c>
      <c r="F1260" s="45" t="s">
        <v>962</v>
      </c>
      <c r="G1260" s="24">
        <v>124</v>
      </c>
      <c r="H1260" s="25" t="s">
        <v>387</v>
      </c>
      <c r="I1260" s="25" t="s">
        <v>433</v>
      </c>
      <c r="J1260" s="26"/>
    </row>
    <row r="1261" spans="1:10" s="41" customFormat="1" ht="30.95" customHeight="1">
      <c r="A1261" s="41">
        <v>20</v>
      </c>
      <c r="C1261" s="22">
        <f t="shared" si="19"/>
        <v>1254</v>
      </c>
      <c r="D1261" s="161" t="s">
        <v>2501</v>
      </c>
      <c r="E1261" s="23" t="s">
        <v>1136</v>
      </c>
      <c r="F1261" s="45" t="s">
        <v>962</v>
      </c>
      <c r="G1261" s="24">
        <v>169.1</v>
      </c>
      <c r="H1261" s="25" t="s">
        <v>387</v>
      </c>
      <c r="I1261" s="25" t="s">
        <v>433</v>
      </c>
      <c r="J1261" s="26"/>
    </row>
    <row r="1262" spans="1:10" s="41" customFormat="1" ht="30.95" customHeight="1">
      <c r="A1262" s="41">
        <v>21</v>
      </c>
      <c r="C1262" s="22">
        <f t="shared" si="19"/>
        <v>1255</v>
      </c>
      <c r="D1262" s="161" t="s">
        <v>2502</v>
      </c>
      <c r="E1262" s="23" t="s">
        <v>1136</v>
      </c>
      <c r="F1262" s="45" t="s">
        <v>962</v>
      </c>
      <c r="G1262" s="24">
        <v>120.9</v>
      </c>
      <c r="H1262" s="25" t="s">
        <v>387</v>
      </c>
      <c r="I1262" s="25" t="s">
        <v>600</v>
      </c>
      <c r="J1262" s="26"/>
    </row>
    <row r="1263" spans="1:10" s="41" customFormat="1" ht="30.95" customHeight="1">
      <c r="A1263" s="41">
        <v>22</v>
      </c>
      <c r="C1263" s="22">
        <f t="shared" si="19"/>
        <v>1256</v>
      </c>
      <c r="D1263" s="161" t="s">
        <v>2503</v>
      </c>
      <c r="E1263" s="23" t="s">
        <v>1136</v>
      </c>
      <c r="F1263" s="45" t="s">
        <v>962</v>
      </c>
      <c r="G1263" s="24">
        <v>110.9</v>
      </c>
      <c r="H1263" s="25" t="s">
        <v>387</v>
      </c>
      <c r="I1263" s="25" t="s">
        <v>600</v>
      </c>
      <c r="J1263" s="26"/>
    </row>
    <row r="1264" spans="1:10" s="41" customFormat="1" ht="30.95" customHeight="1">
      <c r="A1264" s="41">
        <v>23</v>
      </c>
      <c r="C1264" s="22">
        <f t="shared" si="19"/>
        <v>1257</v>
      </c>
      <c r="D1264" s="161" t="s">
        <v>2504</v>
      </c>
      <c r="E1264" s="23" t="s">
        <v>1136</v>
      </c>
      <c r="F1264" s="45" t="s">
        <v>962</v>
      </c>
      <c r="G1264" s="24">
        <v>283</v>
      </c>
      <c r="H1264" s="25" t="s">
        <v>387</v>
      </c>
      <c r="I1264" s="25" t="s">
        <v>600</v>
      </c>
      <c r="J1264" s="26"/>
    </row>
    <row r="1265" spans="1:10" s="41" customFormat="1" ht="30.95" customHeight="1">
      <c r="A1265" s="41">
        <v>24</v>
      </c>
      <c r="C1265" s="22">
        <f t="shared" si="19"/>
        <v>1258</v>
      </c>
      <c r="D1265" s="161" t="s">
        <v>3900</v>
      </c>
      <c r="E1265" s="23" t="s">
        <v>1136</v>
      </c>
      <c r="F1265" s="45" t="s">
        <v>962</v>
      </c>
      <c r="G1265" s="24">
        <v>599.5</v>
      </c>
      <c r="H1265" s="25" t="s">
        <v>387</v>
      </c>
      <c r="I1265" s="25" t="s">
        <v>600</v>
      </c>
      <c r="J1265" s="26"/>
    </row>
    <row r="1266" spans="1:10" s="41" customFormat="1" ht="30.95" customHeight="1">
      <c r="A1266" s="41">
        <v>25</v>
      </c>
      <c r="C1266" s="22">
        <f t="shared" si="19"/>
        <v>1259</v>
      </c>
      <c r="D1266" s="161" t="s">
        <v>2505</v>
      </c>
      <c r="E1266" s="23" t="s">
        <v>1136</v>
      </c>
      <c r="F1266" s="45" t="s">
        <v>962</v>
      </c>
      <c r="G1266" s="24">
        <v>254.6</v>
      </c>
      <c r="H1266" s="25" t="s">
        <v>387</v>
      </c>
      <c r="I1266" s="25" t="s">
        <v>600</v>
      </c>
      <c r="J1266" s="26"/>
    </row>
    <row r="1267" spans="1:10" s="41" customFormat="1" ht="30.95" customHeight="1">
      <c r="A1267" s="41">
        <v>26</v>
      </c>
      <c r="C1267" s="22">
        <f t="shared" si="19"/>
        <v>1260</v>
      </c>
      <c r="D1267" s="161" t="s">
        <v>2506</v>
      </c>
      <c r="E1267" s="23" t="s">
        <v>1136</v>
      </c>
      <c r="F1267" s="45" t="s">
        <v>962</v>
      </c>
      <c r="G1267" s="24">
        <v>1418</v>
      </c>
      <c r="H1267" s="25" t="s">
        <v>600</v>
      </c>
      <c r="I1267" s="25" t="s">
        <v>1009</v>
      </c>
      <c r="J1267" s="26"/>
    </row>
    <row r="1268" spans="1:10" s="41" customFormat="1" ht="30.95" customHeight="1">
      <c r="A1268" s="41">
        <v>27</v>
      </c>
      <c r="C1268" s="22">
        <f t="shared" si="19"/>
        <v>1261</v>
      </c>
      <c r="D1268" s="161" t="s">
        <v>2507</v>
      </c>
      <c r="E1268" s="23" t="s">
        <v>1136</v>
      </c>
      <c r="F1268" s="45" t="s">
        <v>962</v>
      </c>
      <c r="G1268" s="24">
        <v>228.3</v>
      </c>
      <c r="H1268" s="25" t="s">
        <v>387</v>
      </c>
      <c r="I1268" s="25" t="s">
        <v>623</v>
      </c>
      <c r="J1268" s="26"/>
    </row>
    <row r="1269" spans="1:10" s="41" customFormat="1" ht="30.95" customHeight="1">
      <c r="A1269" s="41">
        <v>28</v>
      </c>
      <c r="C1269" s="22">
        <f t="shared" si="19"/>
        <v>1262</v>
      </c>
      <c r="D1269" s="161" t="s">
        <v>2423</v>
      </c>
      <c r="E1269" s="23" t="s">
        <v>1136</v>
      </c>
      <c r="F1269" s="45" t="s">
        <v>962</v>
      </c>
      <c r="G1269" s="24">
        <v>316.89999999999998</v>
      </c>
      <c r="H1269" s="25" t="s">
        <v>387</v>
      </c>
      <c r="I1269" s="25" t="s">
        <v>600</v>
      </c>
      <c r="J1269" s="26"/>
    </row>
    <row r="1270" spans="1:10" s="41" customFormat="1" ht="30.95" customHeight="1">
      <c r="A1270" s="41">
        <v>29</v>
      </c>
      <c r="C1270" s="22">
        <f t="shared" si="19"/>
        <v>1263</v>
      </c>
      <c r="D1270" s="161" t="s">
        <v>996</v>
      </c>
      <c r="E1270" s="23" t="s">
        <v>1136</v>
      </c>
      <c r="F1270" s="45" t="s">
        <v>962</v>
      </c>
      <c r="G1270" s="24">
        <v>1553.6</v>
      </c>
      <c r="H1270" s="25" t="s">
        <v>461</v>
      </c>
      <c r="I1270" s="25" t="s">
        <v>998</v>
      </c>
      <c r="J1270" s="26"/>
    </row>
    <row r="1271" spans="1:10" s="41" customFormat="1" ht="30.95" customHeight="1">
      <c r="A1271" s="41">
        <v>30</v>
      </c>
      <c r="C1271" s="22">
        <f t="shared" si="19"/>
        <v>1264</v>
      </c>
      <c r="D1271" s="161" t="s">
        <v>2508</v>
      </c>
      <c r="E1271" s="23" t="s">
        <v>1136</v>
      </c>
      <c r="F1271" s="45" t="s">
        <v>962</v>
      </c>
      <c r="G1271" s="24">
        <v>359.9</v>
      </c>
      <c r="H1271" s="25" t="s">
        <v>387</v>
      </c>
      <c r="I1271" s="25" t="s">
        <v>461</v>
      </c>
      <c r="J1271" s="26"/>
    </row>
    <row r="1272" spans="1:10" s="41" customFormat="1" ht="30.95" customHeight="1">
      <c r="A1272" s="41">
        <v>31</v>
      </c>
      <c r="C1272" s="22">
        <f t="shared" si="19"/>
        <v>1265</v>
      </c>
      <c r="D1272" s="161" t="s">
        <v>2509</v>
      </c>
      <c r="E1272" s="23" t="s">
        <v>1136</v>
      </c>
      <c r="F1272" s="45" t="s">
        <v>962</v>
      </c>
      <c r="G1272" s="24">
        <v>421</v>
      </c>
      <c r="H1272" s="25" t="s">
        <v>998</v>
      </c>
      <c r="I1272" s="25" t="s">
        <v>588</v>
      </c>
      <c r="J1272" s="26"/>
    </row>
    <row r="1273" spans="1:10" s="41" customFormat="1" ht="30.95" customHeight="1">
      <c r="A1273" s="41">
        <v>32</v>
      </c>
      <c r="C1273" s="22">
        <f t="shared" si="19"/>
        <v>1266</v>
      </c>
      <c r="D1273" s="161" t="s">
        <v>2510</v>
      </c>
      <c r="E1273" s="23" t="s">
        <v>1136</v>
      </c>
      <c r="F1273" s="45" t="s">
        <v>962</v>
      </c>
      <c r="G1273" s="24">
        <v>277</v>
      </c>
      <c r="H1273" s="25" t="s">
        <v>387</v>
      </c>
      <c r="I1273" s="25" t="s">
        <v>461</v>
      </c>
      <c r="J1273" s="26"/>
    </row>
    <row r="1274" spans="1:10" s="41" customFormat="1" ht="30.95" customHeight="1">
      <c r="A1274" s="41">
        <v>33</v>
      </c>
      <c r="C1274" s="22">
        <f t="shared" si="19"/>
        <v>1267</v>
      </c>
      <c r="D1274" s="161" t="s">
        <v>2511</v>
      </c>
      <c r="E1274" s="23" t="s">
        <v>1136</v>
      </c>
      <c r="F1274" s="45" t="s">
        <v>962</v>
      </c>
      <c r="G1274" s="24">
        <v>540</v>
      </c>
      <c r="H1274" s="25" t="s">
        <v>387</v>
      </c>
      <c r="I1274" s="25" t="s">
        <v>461</v>
      </c>
      <c r="J1274" s="26"/>
    </row>
    <row r="1275" spans="1:10" s="41" customFormat="1" ht="30.95" customHeight="1">
      <c r="A1275" s="41">
        <v>34</v>
      </c>
      <c r="C1275" s="22">
        <f t="shared" si="19"/>
        <v>1268</v>
      </c>
      <c r="D1275" s="161" t="s">
        <v>2512</v>
      </c>
      <c r="E1275" s="23" t="s">
        <v>1136</v>
      </c>
      <c r="F1275" s="45" t="s">
        <v>962</v>
      </c>
      <c r="G1275" s="24">
        <v>1132</v>
      </c>
      <c r="H1275" s="25" t="s">
        <v>433</v>
      </c>
      <c r="I1275" s="25" t="s">
        <v>407</v>
      </c>
      <c r="J1275" s="26"/>
    </row>
    <row r="1276" spans="1:10" s="41" customFormat="1" ht="30.95" customHeight="1">
      <c r="A1276" s="41">
        <v>35</v>
      </c>
      <c r="C1276" s="22">
        <f t="shared" si="19"/>
        <v>1269</v>
      </c>
      <c r="D1276" s="161" t="s">
        <v>2513</v>
      </c>
      <c r="E1276" s="23" t="s">
        <v>1136</v>
      </c>
      <c r="F1276" s="45" t="s">
        <v>962</v>
      </c>
      <c r="G1276" s="24">
        <v>250</v>
      </c>
      <c r="H1276" s="25" t="s">
        <v>387</v>
      </c>
      <c r="I1276" s="25" t="s">
        <v>2512</v>
      </c>
      <c r="J1276" s="26"/>
    </row>
    <row r="1277" spans="1:10" s="41" customFormat="1" ht="30.95" customHeight="1">
      <c r="A1277" s="41">
        <v>36</v>
      </c>
      <c r="C1277" s="22">
        <f t="shared" si="19"/>
        <v>1270</v>
      </c>
      <c r="D1277" s="161" t="s">
        <v>2514</v>
      </c>
      <c r="E1277" s="23" t="s">
        <v>1136</v>
      </c>
      <c r="F1277" s="45" t="s">
        <v>962</v>
      </c>
      <c r="G1277" s="24">
        <v>250.6</v>
      </c>
      <c r="H1277" s="25" t="s">
        <v>387</v>
      </c>
      <c r="I1277" s="25" t="s">
        <v>2515</v>
      </c>
      <c r="J1277" s="26"/>
    </row>
    <row r="1278" spans="1:10" s="41" customFormat="1" ht="30.95" customHeight="1">
      <c r="A1278" s="41">
        <v>37</v>
      </c>
      <c r="C1278" s="22">
        <f t="shared" si="19"/>
        <v>1271</v>
      </c>
      <c r="D1278" s="161" t="s">
        <v>2516</v>
      </c>
      <c r="E1278" s="23" t="s">
        <v>1136</v>
      </c>
      <c r="F1278" s="45" t="s">
        <v>962</v>
      </c>
      <c r="G1278" s="24">
        <v>222</v>
      </c>
      <c r="H1278" s="25" t="s">
        <v>976</v>
      </c>
      <c r="I1278" s="25" t="s">
        <v>2515</v>
      </c>
      <c r="J1278" s="26"/>
    </row>
    <row r="1279" spans="1:10" s="41" customFormat="1" ht="30.95" customHeight="1">
      <c r="A1279" s="41">
        <v>38</v>
      </c>
      <c r="C1279" s="22">
        <f t="shared" si="19"/>
        <v>1272</v>
      </c>
      <c r="D1279" s="161" t="s">
        <v>987</v>
      </c>
      <c r="E1279" s="23" t="s">
        <v>1136</v>
      </c>
      <c r="F1279" s="45" t="s">
        <v>962</v>
      </c>
      <c r="G1279" s="24">
        <v>294.7</v>
      </c>
      <c r="H1279" s="25" t="s">
        <v>387</v>
      </c>
      <c r="I1279" s="25" t="s">
        <v>601</v>
      </c>
      <c r="J1279" s="26"/>
    </row>
    <row r="1280" spans="1:10" s="41" customFormat="1" ht="30.95" customHeight="1">
      <c r="A1280" s="41">
        <v>39</v>
      </c>
      <c r="C1280" s="22">
        <f t="shared" si="19"/>
        <v>1273</v>
      </c>
      <c r="D1280" s="161" t="s">
        <v>1120</v>
      </c>
      <c r="E1280" s="23" t="s">
        <v>1136</v>
      </c>
      <c r="F1280" s="45" t="s">
        <v>962</v>
      </c>
      <c r="G1280" s="24">
        <v>413</v>
      </c>
      <c r="H1280" s="25" t="s">
        <v>387</v>
      </c>
      <c r="I1280" s="25" t="s">
        <v>433</v>
      </c>
      <c r="J1280" s="26"/>
    </row>
    <row r="1281" spans="1:10" s="41" customFormat="1" ht="30.95" customHeight="1">
      <c r="A1281" s="41">
        <v>40</v>
      </c>
      <c r="C1281" s="22">
        <f t="shared" si="19"/>
        <v>1274</v>
      </c>
      <c r="D1281" s="161" t="s">
        <v>2517</v>
      </c>
      <c r="E1281" s="23" t="s">
        <v>1136</v>
      </c>
      <c r="F1281" s="45" t="s">
        <v>962</v>
      </c>
      <c r="G1281" s="24">
        <v>515.79999999999995</v>
      </c>
      <c r="H1281" s="25" t="s">
        <v>433</v>
      </c>
      <c r="I1281" s="25" t="s">
        <v>3518</v>
      </c>
      <c r="J1281" s="26"/>
    </row>
    <row r="1282" spans="1:10" s="41" customFormat="1" ht="30.95" customHeight="1">
      <c r="A1282" s="41">
        <v>41</v>
      </c>
      <c r="C1282" s="22">
        <f t="shared" si="19"/>
        <v>1275</v>
      </c>
      <c r="D1282" s="161" t="s">
        <v>2518</v>
      </c>
      <c r="E1282" s="23" t="s">
        <v>1136</v>
      </c>
      <c r="F1282" s="45" t="s">
        <v>962</v>
      </c>
      <c r="G1282" s="24">
        <v>658.9</v>
      </c>
      <c r="H1282" s="25" t="s">
        <v>387</v>
      </c>
      <c r="I1282" s="25" t="s">
        <v>433</v>
      </c>
      <c r="J1282" s="26"/>
    </row>
    <row r="1283" spans="1:10" s="41" customFormat="1" ht="30.95" customHeight="1">
      <c r="A1283" s="41">
        <v>42</v>
      </c>
      <c r="C1283" s="22">
        <f t="shared" si="19"/>
        <v>1276</v>
      </c>
      <c r="D1283" s="161" t="s">
        <v>2519</v>
      </c>
      <c r="E1283" s="23" t="s">
        <v>1136</v>
      </c>
      <c r="F1283" s="45" t="s">
        <v>962</v>
      </c>
      <c r="G1283" s="24">
        <v>256.8</v>
      </c>
      <c r="H1283" s="25" t="s">
        <v>387</v>
      </c>
      <c r="I1283" s="25" t="s">
        <v>606</v>
      </c>
      <c r="J1283" s="26"/>
    </row>
    <row r="1284" spans="1:10" s="41" customFormat="1" ht="30.95" customHeight="1">
      <c r="A1284" s="41">
        <v>43</v>
      </c>
      <c r="C1284" s="22">
        <f t="shared" si="19"/>
        <v>1277</v>
      </c>
      <c r="D1284" s="161" t="s">
        <v>3519</v>
      </c>
      <c r="E1284" s="23" t="s">
        <v>1136</v>
      </c>
      <c r="F1284" s="45" t="s">
        <v>962</v>
      </c>
      <c r="G1284" s="24">
        <v>304.10000000000002</v>
      </c>
      <c r="H1284" s="25" t="s">
        <v>387</v>
      </c>
      <c r="I1284" s="25" t="s">
        <v>606</v>
      </c>
      <c r="J1284" s="26"/>
    </row>
    <row r="1285" spans="1:10" s="41" customFormat="1" ht="30.95" customHeight="1">
      <c r="A1285" s="41">
        <v>44</v>
      </c>
      <c r="C1285" s="22">
        <f t="shared" si="19"/>
        <v>1278</v>
      </c>
      <c r="D1285" s="161" t="s">
        <v>2520</v>
      </c>
      <c r="E1285" s="23" t="s">
        <v>1136</v>
      </c>
      <c r="F1285" s="45" t="s">
        <v>962</v>
      </c>
      <c r="G1285" s="24">
        <v>1352.5</v>
      </c>
      <c r="H1285" s="25" t="s">
        <v>1035</v>
      </c>
      <c r="I1285" s="25" t="s">
        <v>2521</v>
      </c>
      <c r="J1285" s="26"/>
    </row>
    <row r="1286" spans="1:10" s="41" customFormat="1" ht="30.95" customHeight="1">
      <c r="A1286" s="41">
        <v>45</v>
      </c>
      <c r="C1286" s="22">
        <f t="shared" si="19"/>
        <v>1279</v>
      </c>
      <c r="D1286" s="161" t="s">
        <v>2522</v>
      </c>
      <c r="E1286" s="23" t="s">
        <v>1136</v>
      </c>
      <c r="F1286" s="45" t="s">
        <v>962</v>
      </c>
      <c r="G1286" s="24">
        <v>1500</v>
      </c>
      <c r="H1286" s="25" t="s">
        <v>387</v>
      </c>
      <c r="I1286" s="25" t="s">
        <v>461</v>
      </c>
      <c r="J1286" s="26"/>
    </row>
    <row r="1287" spans="1:10" s="41" customFormat="1" ht="30.95" customHeight="1">
      <c r="A1287" s="41">
        <v>46</v>
      </c>
      <c r="C1287" s="22">
        <f t="shared" si="19"/>
        <v>1280</v>
      </c>
      <c r="D1287" s="161" t="s">
        <v>2523</v>
      </c>
      <c r="E1287" s="23" t="s">
        <v>1136</v>
      </c>
      <c r="F1287" s="45" t="s">
        <v>962</v>
      </c>
      <c r="G1287" s="24">
        <v>313</v>
      </c>
      <c r="H1287" s="25" t="s">
        <v>387</v>
      </c>
      <c r="I1287" s="25" t="s">
        <v>433</v>
      </c>
      <c r="J1287" s="26"/>
    </row>
    <row r="1288" spans="1:10" s="41" customFormat="1" ht="30.95" customHeight="1">
      <c r="A1288" s="41">
        <v>47</v>
      </c>
      <c r="C1288" s="22">
        <f t="shared" si="19"/>
        <v>1281</v>
      </c>
      <c r="D1288" s="161" t="s">
        <v>2524</v>
      </c>
      <c r="E1288" s="23" t="s">
        <v>1136</v>
      </c>
      <c r="F1288" s="45" t="s">
        <v>962</v>
      </c>
      <c r="G1288" s="24">
        <v>153</v>
      </c>
      <c r="H1288" s="25" t="s">
        <v>387</v>
      </c>
      <c r="I1288" s="25" t="s">
        <v>433</v>
      </c>
      <c r="J1288" s="26"/>
    </row>
    <row r="1289" spans="1:10" s="41" customFormat="1" ht="30.95" customHeight="1">
      <c r="A1289" s="41">
        <v>48</v>
      </c>
      <c r="C1289" s="22">
        <f t="shared" si="19"/>
        <v>1282</v>
      </c>
      <c r="D1289" s="161" t="s">
        <v>2525</v>
      </c>
      <c r="E1289" s="23" t="s">
        <v>1136</v>
      </c>
      <c r="F1289" s="45" t="s">
        <v>962</v>
      </c>
      <c r="G1289" s="24">
        <v>236</v>
      </c>
      <c r="H1289" s="25" t="s">
        <v>387</v>
      </c>
      <c r="I1289" s="25" t="s">
        <v>433</v>
      </c>
      <c r="J1289" s="26"/>
    </row>
    <row r="1290" spans="1:10" s="41" customFormat="1" ht="30.95" customHeight="1">
      <c r="A1290" s="41">
        <v>49</v>
      </c>
      <c r="C1290" s="22">
        <f t="shared" ref="C1290:C1353" si="20">C1289+1</f>
        <v>1283</v>
      </c>
      <c r="D1290" s="161" t="s">
        <v>2526</v>
      </c>
      <c r="E1290" s="23" t="s">
        <v>1136</v>
      </c>
      <c r="F1290" s="45" t="s">
        <v>962</v>
      </c>
      <c r="G1290" s="24">
        <v>497</v>
      </c>
      <c r="H1290" s="25" t="s">
        <v>387</v>
      </c>
      <c r="I1290" s="25" t="s">
        <v>461</v>
      </c>
      <c r="J1290" s="26"/>
    </row>
    <row r="1291" spans="1:10" s="41" customFormat="1" ht="30.95" customHeight="1">
      <c r="A1291" s="46">
        <v>50</v>
      </c>
      <c r="B1291" s="47">
        <f>SUM(G1242:G1291)</f>
        <v>24304.699999999997</v>
      </c>
      <c r="C1291" s="22">
        <f t="shared" si="20"/>
        <v>1284</v>
      </c>
      <c r="D1291" s="161" t="s">
        <v>2527</v>
      </c>
      <c r="E1291" s="23" t="s">
        <v>1136</v>
      </c>
      <c r="F1291" s="45" t="s">
        <v>962</v>
      </c>
      <c r="G1291" s="24">
        <v>368</v>
      </c>
      <c r="H1291" s="25" t="s">
        <v>976</v>
      </c>
      <c r="I1291" s="25" t="s">
        <v>597</v>
      </c>
      <c r="J1291" s="26"/>
    </row>
    <row r="1292" spans="1:10" s="41" customFormat="1" ht="30.95" customHeight="1">
      <c r="A1292" s="41">
        <v>1</v>
      </c>
      <c r="C1292" s="22">
        <f t="shared" si="20"/>
        <v>1285</v>
      </c>
      <c r="D1292" s="161" t="s">
        <v>2528</v>
      </c>
      <c r="E1292" s="23" t="s">
        <v>1136</v>
      </c>
      <c r="F1292" s="45" t="s">
        <v>2529</v>
      </c>
      <c r="G1292" s="24">
        <v>400</v>
      </c>
      <c r="H1292" s="25" t="s">
        <v>433</v>
      </c>
      <c r="I1292" s="25" t="s">
        <v>407</v>
      </c>
      <c r="J1292" s="26"/>
    </row>
    <row r="1293" spans="1:10" s="41" customFormat="1" ht="30.95" customHeight="1">
      <c r="A1293" s="41">
        <v>2</v>
      </c>
      <c r="C1293" s="22">
        <f t="shared" si="20"/>
        <v>1286</v>
      </c>
      <c r="D1293" s="161" t="s">
        <v>2530</v>
      </c>
      <c r="E1293" s="23" t="s">
        <v>1136</v>
      </c>
      <c r="F1293" s="45" t="s">
        <v>2529</v>
      </c>
      <c r="G1293" s="24">
        <v>400</v>
      </c>
      <c r="H1293" s="25" t="s">
        <v>433</v>
      </c>
      <c r="I1293" s="25" t="s">
        <v>407</v>
      </c>
      <c r="J1293" s="26"/>
    </row>
    <row r="1294" spans="1:10" s="41" customFormat="1" ht="30.95" customHeight="1">
      <c r="A1294" s="41">
        <v>3</v>
      </c>
      <c r="C1294" s="22">
        <f t="shared" si="20"/>
        <v>1287</v>
      </c>
      <c r="D1294" s="161" t="s">
        <v>2531</v>
      </c>
      <c r="E1294" s="23" t="s">
        <v>1136</v>
      </c>
      <c r="F1294" s="45" t="s">
        <v>2529</v>
      </c>
      <c r="G1294" s="24">
        <v>630</v>
      </c>
      <c r="H1294" s="25" t="s">
        <v>433</v>
      </c>
      <c r="I1294" s="25" t="s">
        <v>407</v>
      </c>
      <c r="J1294" s="26"/>
    </row>
    <row r="1295" spans="1:10" s="41" customFormat="1" ht="30.95" customHeight="1">
      <c r="A1295" s="41">
        <v>4</v>
      </c>
      <c r="C1295" s="22">
        <f t="shared" si="20"/>
        <v>1288</v>
      </c>
      <c r="D1295" s="161" t="s">
        <v>2532</v>
      </c>
      <c r="E1295" s="23" t="s">
        <v>1136</v>
      </c>
      <c r="F1295" s="45" t="s">
        <v>2529</v>
      </c>
      <c r="G1295" s="24">
        <v>130</v>
      </c>
      <c r="H1295" s="25" t="s">
        <v>433</v>
      </c>
      <c r="I1295" s="25" t="s">
        <v>407</v>
      </c>
      <c r="J1295" s="26"/>
    </row>
    <row r="1296" spans="1:10" s="41" customFormat="1" ht="30.95" customHeight="1">
      <c r="A1296" s="41">
        <v>5</v>
      </c>
      <c r="C1296" s="22">
        <f t="shared" si="20"/>
        <v>1289</v>
      </c>
      <c r="D1296" s="161" t="s">
        <v>2533</v>
      </c>
      <c r="E1296" s="23" t="s">
        <v>1136</v>
      </c>
      <c r="F1296" s="45" t="s">
        <v>2529</v>
      </c>
      <c r="G1296" s="24">
        <v>130</v>
      </c>
      <c r="H1296" s="25" t="s">
        <v>433</v>
      </c>
      <c r="I1296" s="25" t="s">
        <v>407</v>
      </c>
      <c r="J1296" s="26"/>
    </row>
    <row r="1297" spans="1:10" s="41" customFormat="1" ht="30.95" customHeight="1">
      <c r="A1297" s="41">
        <v>6</v>
      </c>
      <c r="C1297" s="22">
        <f t="shared" si="20"/>
        <v>1290</v>
      </c>
      <c r="D1297" s="161" t="s">
        <v>2534</v>
      </c>
      <c r="E1297" s="23" t="s">
        <v>1136</v>
      </c>
      <c r="F1297" s="45" t="s">
        <v>2529</v>
      </c>
      <c r="G1297" s="24">
        <v>176</v>
      </c>
      <c r="H1297" s="25" t="s">
        <v>433</v>
      </c>
      <c r="I1297" s="25" t="s">
        <v>407</v>
      </c>
      <c r="J1297" s="26"/>
    </row>
    <row r="1298" spans="1:10" s="41" customFormat="1" ht="30.95" customHeight="1">
      <c r="A1298" s="41">
        <v>7</v>
      </c>
      <c r="C1298" s="22">
        <f t="shared" si="20"/>
        <v>1291</v>
      </c>
      <c r="D1298" s="161" t="s">
        <v>3520</v>
      </c>
      <c r="E1298" s="23" t="s">
        <v>1136</v>
      </c>
      <c r="F1298" s="45" t="s">
        <v>2529</v>
      </c>
      <c r="G1298" s="24">
        <v>66</v>
      </c>
      <c r="H1298" s="25" t="s">
        <v>433</v>
      </c>
      <c r="I1298" s="25" t="s">
        <v>407</v>
      </c>
      <c r="J1298" s="26"/>
    </row>
    <row r="1299" spans="1:10" s="41" customFormat="1" ht="30.95" customHeight="1">
      <c r="A1299" s="41">
        <v>8</v>
      </c>
      <c r="C1299" s="22">
        <f t="shared" si="20"/>
        <v>1292</v>
      </c>
      <c r="D1299" s="161" t="s">
        <v>2535</v>
      </c>
      <c r="E1299" s="23" t="s">
        <v>1136</v>
      </c>
      <c r="F1299" s="45" t="s">
        <v>2529</v>
      </c>
      <c r="G1299" s="24">
        <v>334</v>
      </c>
      <c r="H1299" s="25" t="s">
        <v>433</v>
      </c>
      <c r="I1299" s="25" t="s">
        <v>407</v>
      </c>
      <c r="J1299" s="26"/>
    </row>
    <row r="1300" spans="1:10" s="41" customFormat="1" ht="30.95" customHeight="1">
      <c r="A1300" s="41">
        <v>9</v>
      </c>
      <c r="C1300" s="22">
        <f t="shared" si="20"/>
        <v>1293</v>
      </c>
      <c r="D1300" s="161" t="s">
        <v>2536</v>
      </c>
      <c r="E1300" s="23" t="s">
        <v>1136</v>
      </c>
      <c r="F1300" s="45" t="s">
        <v>2529</v>
      </c>
      <c r="G1300" s="24">
        <v>126</v>
      </c>
      <c r="H1300" s="25" t="s">
        <v>2537</v>
      </c>
      <c r="I1300" s="25" t="s">
        <v>407</v>
      </c>
      <c r="J1300" s="26"/>
    </row>
    <row r="1301" spans="1:10" s="41" customFormat="1" ht="30.95" customHeight="1">
      <c r="A1301" s="41">
        <v>10</v>
      </c>
      <c r="C1301" s="22">
        <f t="shared" si="20"/>
        <v>1294</v>
      </c>
      <c r="D1301" s="161" t="s">
        <v>2538</v>
      </c>
      <c r="E1301" s="23" t="s">
        <v>1136</v>
      </c>
      <c r="F1301" s="45" t="s">
        <v>2529</v>
      </c>
      <c r="G1301" s="24">
        <v>290</v>
      </c>
      <c r="H1301" s="25" t="s">
        <v>433</v>
      </c>
      <c r="I1301" s="25" t="s">
        <v>407</v>
      </c>
      <c r="J1301" s="26"/>
    </row>
    <row r="1302" spans="1:10" s="41" customFormat="1" ht="30.95" customHeight="1">
      <c r="A1302" s="41">
        <v>11</v>
      </c>
      <c r="C1302" s="22">
        <f t="shared" si="20"/>
        <v>1295</v>
      </c>
      <c r="D1302" s="161" t="s">
        <v>2539</v>
      </c>
      <c r="E1302" s="23" t="s">
        <v>1136</v>
      </c>
      <c r="F1302" s="45" t="s">
        <v>2529</v>
      </c>
      <c r="G1302" s="24">
        <v>173</v>
      </c>
      <c r="H1302" s="25" t="s">
        <v>433</v>
      </c>
      <c r="I1302" s="25" t="s">
        <v>407</v>
      </c>
      <c r="J1302" s="26"/>
    </row>
    <row r="1303" spans="1:10" s="41" customFormat="1" ht="30.95" customHeight="1">
      <c r="A1303" s="41">
        <v>12</v>
      </c>
      <c r="C1303" s="22">
        <f t="shared" si="20"/>
        <v>1296</v>
      </c>
      <c r="D1303" s="161" t="s">
        <v>2540</v>
      </c>
      <c r="E1303" s="23" t="s">
        <v>1136</v>
      </c>
      <c r="F1303" s="45" t="s">
        <v>2529</v>
      </c>
      <c r="G1303" s="24">
        <v>350</v>
      </c>
      <c r="H1303" s="25" t="s">
        <v>433</v>
      </c>
      <c r="I1303" s="25" t="s">
        <v>407</v>
      </c>
      <c r="J1303" s="26"/>
    </row>
    <row r="1304" spans="1:10" s="41" customFormat="1" ht="30.95" customHeight="1">
      <c r="A1304" s="41">
        <v>13</v>
      </c>
      <c r="C1304" s="22">
        <f t="shared" si="20"/>
        <v>1297</v>
      </c>
      <c r="D1304" s="161" t="s">
        <v>2541</v>
      </c>
      <c r="E1304" s="23" t="s">
        <v>1136</v>
      </c>
      <c r="F1304" s="45" t="s">
        <v>2529</v>
      </c>
      <c r="G1304" s="24">
        <v>759</v>
      </c>
      <c r="H1304" s="25" t="s">
        <v>433</v>
      </c>
      <c r="I1304" s="25" t="s">
        <v>407</v>
      </c>
      <c r="J1304" s="26"/>
    </row>
    <row r="1305" spans="1:10" s="41" customFormat="1" ht="30.95" customHeight="1">
      <c r="A1305" s="41">
        <v>14</v>
      </c>
      <c r="C1305" s="22">
        <f t="shared" si="20"/>
        <v>1298</v>
      </c>
      <c r="D1305" s="161" t="s">
        <v>2542</v>
      </c>
      <c r="E1305" s="23" t="s">
        <v>1136</v>
      </c>
      <c r="F1305" s="45" t="s">
        <v>2529</v>
      </c>
      <c r="G1305" s="24">
        <v>280</v>
      </c>
      <c r="H1305" s="25" t="s">
        <v>433</v>
      </c>
      <c r="I1305" s="25" t="s">
        <v>407</v>
      </c>
      <c r="J1305" s="26"/>
    </row>
    <row r="1306" spans="1:10" s="41" customFormat="1" ht="30.95" customHeight="1">
      <c r="A1306" s="41">
        <v>15</v>
      </c>
      <c r="C1306" s="22">
        <f t="shared" si="20"/>
        <v>1299</v>
      </c>
      <c r="D1306" s="161" t="s">
        <v>2543</v>
      </c>
      <c r="E1306" s="23" t="s">
        <v>1136</v>
      </c>
      <c r="F1306" s="45" t="s">
        <v>2529</v>
      </c>
      <c r="G1306" s="24">
        <v>304</v>
      </c>
      <c r="H1306" s="25" t="s">
        <v>433</v>
      </c>
      <c r="I1306" s="25" t="s">
        <v>407</v>
      </c>
      <c r="J1306" s="26"/>
    </row>
    <row r="1307" spans="1:10" s="41" customFormat="1" ht="30.95" customHeight="1">
      <c r="A1307" s="41">
        <v>16</v>
      </c>
      <c r="C1307" s="22">
        <f t="shared" si="20"/>
        <v>1300</v>
      </c>
      <c r="D1307" s="161" t="s">
        <v>2544</v>
      </c>
      <c r="E1307" s="23" t="s">
        <v>1136</v>
      </c>
      <c r="F1307" s="45" t="s">
        <v>2529</v>
      </c>
      <c r="G1307" s="24">
        <v>288</v>
      </c>
      <c r="H1307" s="25" t="s">
        <v>433</v>
      </c>
      <c r="I1307" s="25" t="s">
        <v>407</v>
      </c>
      <c r="J1307" s="26"/>
    </row>
    <row r="1308" spans="1:10" s="41" customFormat="1" ht="30.95" customHeight="1">
      <c r="A1308" s="41">
        <v>17</v>
      </c>
      <c r="C1308" s="22">
        <f t="shared" si="20"/>
        <v>1301</v>
      </c>
      <c r="D1308" s="161" t="s">
        <v>2545</v>
      </c>
      <c r="E1308" s="23" t="s">
        <v>1136</v>
      </c>
      <c r="F1308" s="45" t="s">
        <v>2529</v>
      </c>
      <c r="G1308" s="24">
        <v>50</v>
      </c>
      <c r="H1308" s="25" t="s">
        <v>433</v>
      </c>
      <c r="I1308" s="25" t="s">
        <v>407</v>
      </c>
      <c r="J1308" s="26"/>
    </row>
    <row r="1309" spans="1:10" s="41" customFormat="1" ht="30.95" customHeight="1">
      <c r="A1309" s="41">
        <v>18</v>
      </c>
      <c r="C1309" s="22">
        <f t="shared" si="20"/>
        <v>1302</v>
      </c>
      <c r="D1309" s="161" t="s">
        <v>2546</v>
      </c>
      <c r="E1309" s="23" t="s">
        <v>1136</v>
      </c>
      <c r="F1309" s="45" t="s">
        <v>2529</v>
      </c>
      <c r="G1309" s="24">
        <v>740</v>
      </c>
      <c r="H1309" s="25" t="s">
        <v>433</v>
      </c>
      <c r="I1309" s="25" t="s">
        <v>407</v>
      </c>
      <c r="J1309" s="26"/>
    </row>
    <row r="1310" spans="1:10" s="41" customFormat="1" ht="30.95" customHeight="1">
      <c r="A1310" s="41">
        <v>19</v>
      </c>
      <c r="C1310" s="22">
        <f t="shared" si="20"/>
        <v>1303</v>
      </c>
      <c r="D1310" s="161" t="s">
        <v>2547</v>
      </c>
      <c r="E1310" s="23" t="s">
        <v>1136</v>
      </c>
      <c r="F1310" s="45" t="s">
        <v>2529</v>
      </c>
      <c r="G1310" s="24">
        <v>226</v>
      </c>
      <c r="H1310" s="25" t="s">
        <v>433</v>
      </c>
      <c r="I1310" s="25" t="s">
        <v>407</v>
      </c>
      <c r="J1310" s="26"/>
    </row>
    <row r="1311" spans="1:10" s="41" customFormat="1" ht="30.95" customHeight="1">
      <c r="A1311" s="41">
        <v>20</v>
      </c>
      <c r="C1311" s="22">
        <f t="shared" si="20"/>
        <v>1304</v>
      </c>
      <c r="D1311" s="161" t="s">
        <v>2548</v>
      </c>
      <c r="E1311" s="23" t="s">
        <v>1136</v>
      </c>
      <c r="F1311" s="45" t="s">
        <v>2529</v>
      </c>
      <c r="G1311" s="24">
        <v>200</v>
      </c>
      <c r="H1311" s="25" t="s">
        <v>433</v>
      </c>
      <c r="I1311" s="25" t="s">
        <v>407</v>
      </c>
      <c r="J1311" s="26"/>
    </row>
    <row r="1312" spans="1:10" s="41" customFormat="1" ht="30.95" customHeight="1">
      <c r="A1312" s="41">
        <v>21</v>
      </c>
      <c r="C1312" s="22">
        <f t="shared" si="20"/>
        <v>1305</v>
      </c>
      <c r="D1312" s="161" t="s">
        <v>2549</v>
      </c>
      <c r="E1312" s="23" t="s">
        <v>1136</v>
      </c>
      <c r="F1312" s="45" t="s">
        <v>2529</v>
      </c>
      <c r="G1312" s="24">
        <v>685</v>
      </c>
      <c r="H1312" s="25" t="s">
        <v>433</v>
      </c>
      <c r="I1312" s="25" t="s">
        <v>407</v>
      </c>
      <c r="J1312" s="26"/>
    </row>
    <row r="1313" spans="1:10" s="41" customFormat="1" ht="30.95" customHeight="1">
      <c r="A1313" s="41">
        <v>22</v>
      </c>
      <c r="C1313" s="22">
        <f t="shared" si="20"/>
        <v>1306</v>
      </c>
      <c r="D1313" s="161" t="s">
        <v>2550</v>
      </c>
      <c r="E1313" s="23" t="s">
        <v>1136</v>
      </c>
      <c r="F1313" s="45" t="s">
        <v>2529</v>
      </c>
      <c r="G1313" s="24">
        <v>219</v>
      </c>
      <c r="H1313" s="25" t="s">
        <v>433</v>
      </c>
      <c r="I1313" s="25" t="s">
        <v>407</v>
      </c>
      <c r="J1313" s="26"/>
    </row>
    <row r="1314" spans="1:10" s="41" customFormat="1" ht="30.95" customHeight="1">
      <c r="A1314" s="41">
        <v>23</v>
      </c>
      <c r="C1314" s="22">
        <f t="shared" si="20"/>
        <v>1307</v>
      </c>
      <c r="D1314" s="161" t="s">
        <v>2551</v>
      </c>
      <c r="E1314" s="23" t="s">
        <v>1136</v>
      </c>
      <c r="F1314" s="45" t="s">
        <v>2529</v>
      </c>
      <c r="G1314" s="24">
        <v>700</v>
      </c>
      <c r="H1314" s="25" t="s">
        <v>433</v>
      </c>
      <c r="I1314" s="25" t="s">
        <v>407</v>
      </c>
      <c r="J1314" s="26"/>
    </row>
    <row r="1315" spans="1:10" s="41" customFormat="1" ht="30.95" customHeight="1">
      <c r="A1315" s="41">
        <v>24</v>
      </c>
      <c r="C1315" s="22">
        <f t="shared" si="20"/>
        <v>1308</v>
      </c>
      <c r="D1315" s="161" t="s">
        <v>2552</v>
      </c>
      <c r="E1315" s="23" t="s">
        <v>1136</v>
      </c>
      <c r="F1315" s="45" t="s">
        <v>2529</v>
      </c>
      <c r="G1315" s="24">
        <v>276</v>
      </c>
      <c r="H1315" s="25" t="s">
        <v>433</v>
      </c>
      <c r="I1315" s="25" t="s">
        <v>407</v>
      </c>
      <c r="J1315" s="26"/>
    </row>
    <row r="1316" spans="1:10" s="41" customFormat="1" ht="30.95" customHeight="1">
      <c r="A1316" s="41">
        <v>25</v>
      </c>
      <c r="C1316" s="22">
        <f t="shared" si="20"/>
        <v>1309</v>
      </c>
      <c r="D1316" s="161" t="s">
        <v>2553</v>
      </c>
      <c r="E1316" s="23" t="s">
        <v>1136</v>
      </c>
      <c r="F1316" s="45" t="s">
        <v>2529</v>
      </c>
      <c r="G1316" s="24">
        <v>359</v>
      </c>
      <c r="H1316" s="25" t="s">
        <v>433</v>
      </c>
      <c r="I1316" s="25" t="s">
        <v>407</v>
      </c>
      <c r="J1316" s="26"/>
    </row>
    <row r="1317" spans="1:10" s="41" customFormat="1" ht="30.95" customHeight="1">
      <c r="A1317" s="41">
        <v>26</v>
      </c>
      <c r="C1317" s="22">
        <f t="shared" si="20"/>
        <v>1310</v>
      </c>
      <c r="D1317" s="161" t="s">
        <v>2554</v>
      </c>
      <c r="E1317" s="23" t="s">
        <v>1136</v>
      </c>
      <c r="F1317" s="45" t="s">
        <v>2529</v>
      </c>
      <c r="G1317" s="24">
        <v>396</v>
      </c>
      <c r="H1317" s="25" t="s">
        <v>433</v>
      </c>
      <c r="I1317" s="25" t="s">
        <v>407</v>
      </c>
      <c r="J1317" s="26"/>
    </row>
    <row r="1318" spans="1:10" s="41" customFormat="1" ht="30.95" customHeight="1">
      <c r="A1318" s="41">
        <v>27</v>
      </c>
      <c r="C1318" s="22">
        <f t="shared" si="20"/>
        <v>1311</v>
      </c>
      <c r="D1318" s="161" t="s">
        <v>2555</v>
      </c>
      <c r="E1318" s="23" t="s">
        <v>1136</v>
      </c>
      <c r="F1318" s="45" t="s">
        <v>2529</v>
      </c>
      <c r="G1318" s="24">
        <v>1135</v>
      </c>
      <c r="H1318" s="25" t="s">
        <v>433</v>
      </c>
      <c r="I1318" s="25" t="s">
        <v>407</v>
      </c>
      <c r="J1318" s="26"/>
    </row>
    <row r="1319" spans="1:10" s="41" customFormat="1" ht="30.95" customHeight="1">
      <c r="A1319" s="41">
        <v>28</v>
      </c>
      <c r="C1319" s="22">
        <f t="shared" si="20"/>
        <v>1312</v>
      </c>
      <c r="D1319" s="161" t="s">
        <v>2556</v>
      </c>
      <c r="E1319" s="23" t="s">
        <v>1136</v>
      </c>
      <c r="F1319" s="45" t="s">
        <v>2529</v>
      </c>
      <c r="G1319" s="24">
        <v>470</v>
      </c>
      <c r="H1319" s="25" t="s">
        <v>433</v>
      </c>
      <c r="I1319" s="25" t="s">
        <v>407</v>
      </c>
      <c r="J1319" s="26"/>
    </row>
    <row r="1320" spans="1:10" s="41" customFormat="1" ht="30.95" customHeight="1">
      <c r="A1320" s="41">
        <v>29</v>
      </c>
      <c r="C1320" s="22">
        <f t="shared" si="20"/>
        <v>1313</v>
      </c>
      <c r="D1320" s="161" t="s">
        <v>2557</v>
      </c>
      <c r="E1320" s="23" t="s">
        <v>1136</v>
      </c>
      <c r="F1320" s="45" t="s">
        <v>2529</v>
      </c>
      <c r="G1320" s="24">
        <v>2300</v>
      </c>
      <c r="H1320" s="25" t="s">
        <v>433</v>
      </c>
      <c r="I1320" s="25" t="s">
        <v>407</v>
      </c>
      <c r="J1320" s="26"/>
    </row>
    <row r="1321" spans="1:10" s="41" customFormat="1" ht="30.95" customHeight="1">
      <c r="A1321" s="41">
        <v>30</v>
      </c>
      <c r="C1321" s="22">
        <f t="shared" si="20"/>
        <v>1314</v>
      </c>
      <c r="D1321" s="161" t="s">
        <v>2558</v>
      </c>
      <c r="E1321" s="23" t="s">
        <v>1136</v>
      </c>
      <c r="F1321" s="45" t="s">
        <v>2529</v>
      </c>
      <c r="G1321" s="24">
        <v>298</v>
      </c>
      <c r="H1321" s="25" t="s">
        <v>433</v>
      </c>
      <c r="I1321" s="25" t="s">
        <v>407</v>
      </c>
      <c r="J1321" s="26"/>
    </row>
    <row r="1322" spans="1:10" s="41" customFormat="1" ht="30.95" customHeight="1">
      <c r="A1322" s="41">
        <v>31</v>
      </c>
      <c r="C1322" s="22">
        <f t="shared" si="20"/>
        <v>1315</v>
      </c>
      <c r="D1322" s="161" t="s">
        <v>2559</v>
      </c>
      <c r="E1322" s="23" t="s">
        <v>1136</v>
      </c>
      <c r="F1322" s="45" t="s">
        <v>2529</v>
      </c>
      <c r="G1322" s="24">
        <v>551</v>
      </c>
      <c r="H1322" s="25" t="s">
        <v>433</v>
      </c>
      <c r="I1322" s="25" t="s">
        <v>407</v>
      </c>
      <c r="J1322" s="26"/>
    </row>
    <row r="1323" spans="1:10" s="41" customFormat="1" ht="30.95" customHeight="1">
      <c r="A1323" s="41">
        <v>32</v>
      </c>
      <c r="C1323" s="22">
        <f t="shared" si="20"/>
        <v>1316</v>
      </c>
      <c r="D1323" s="161" t="s">
        <v>2560</v>
      </c>
      <c r="E1323" s="23" t="s">
        <v>1136</v>
      </c>
      <c r="F1323" s="45" t="s">
        <v>2529</v>
      </c>
      <c r="G1323" s="24">
        <v>258</v>
      </c>
      <c r="H1323" s="25" t="s">
        <v>433</v>
      </c>
      <c r="I1323" s="25" t="s">
        <v>407</v>
      </c>
      <c r="J1323" s="26"/>
    </row>
    <row r="1324" spans="1:10" s="41" customFormat="1" ht="30.95" customHeight="1">
      <c r="A1324" s="41">
        <v>33</v>
      </c>
      <c r="C1324" s="22">
        <f t="shared" si="20"/>
        <v>1317</v>
      </c>
      <c r="D1324" s="161" t="s">
        <v>2561</v>
      </c>
      <c r="E1324" s="23" t="s">
        <v>1136</v>
      </c>
      <c r="F1324" s="45" t="s">
        <v>2529</v>
      </c>
      <c r="G1324" s="24">
        <v>486</v>
      </c>
      <c r="H1324" s="25" t="s">
        <v>433</v>
      </c>
      <c r="I1324" s="25" t="s">
        <v>407</v>
      </c>
      <c r="J1324" s="26"/>
    </row>
    <row r="1325" spans="1:10" s="41" customFormat="1" ht="30.95" customHeight="1">
      <c r="A1325" s="41">
        <v>34</v>
      </c>
      <c r="C1325" s="22">
        <f t="shared" si="20"/>
        <v>1318</v>
      </c>
      <c r="D1325" s="161" t="s">
        <v>2562</v>
      </c>
      <c r="E1325" s="23" t="s">
        <v>1136</v>
      </c>
      <c r="F1325" s="45" t="s">
        <v>2529</v>
      </c>
      <c r="G1325" s="24">
        <v>539</v>
      </c>
      <c r="H1325" s="25" t="s">
        <v>433</v>
      </c>
      <c r="I1325" s="25" t="s">
        <v>407</v>
      </c>
      <c r="J1325" s="26"/>
    </row>
    <row r="1326" spans="1:10" s="41" customFormat="1" ht="30.95" customHeight="1">
      <c r="A1326" s="41">
        <v>35</v>
      </c>
      <c r="C1326" s="22">
        <f t="shared" si="20"/>
        <v>1319</v>
      </c>
      <c r="D1326" s="161" t="s">
        <v>2563</v>
      </c>
      <c r="E1326" s="23" t="s">
        <v>1136</v>
      </c>
      <c r="F1326" s="45" t="s">
        <v>2529</v>
      </c>
      <c r="G1326" s="24">
        <v>280</v>
      </c>
      <c r="H1326" s="25" t="s">
        <v>433</v>
      </c>
      <c r="I1326" s="25" t="s">
        <v>407</v>
      </c>
      <c r="J1326" s="26"/>
    </row>
    <row r="1327" spans="1:10" s="41" customFormat="1" ht="30.95" customHeight="1">
      <c r="A1327" s="41">
        <v>36</v>
      </c>
      <c r="C1327" s="22">
        <f t="shared" si="20"/>
        <v>1320</v>
      </c>
      <c r="D1327" s="161" t="s">
        <v>2564</v>
      </c>
      <c r="E1327" s="23" t="s">
        <v>1136</v>
      </c>
      <c r="F1327" s="45" t="s">
        <v>2529</v>
      </c>
      <c r="G1327" s="24">
        <v>70</v>
      </c>
      <c r="H1327" s="25" t="s">
        <v>433</v>
      </c>
      <c r="I1327" s="25" t="s">
        <v>407</v>
      </c>
      <c r="J1327" s="26"/>
    </row>
    <row r="1328" spans="1:10" s="41" customFormat="1" ht="30.95" customHeight="1">
      <c r="A1328" s="41">
        <v>37</v>
      </c>
      <c r="C1328" s="22">
        <f t="shared" si="20"/>
        <v>1321</v>
      </c>
      <c r="D1328" s="161" t="s">
        <v>2565</v>
      </c>
      <c r="E1328" s="23" t="s">
        <v>1136</v>
      </c>
      <c r="F1328" s="45" t="s">
        <v>2529</v>
      </c>
      <c r="G1328" s="24">
        <v>580</v>
      </c>
      <c r="H1328" s="25" t="s">
        <v>433</v>
      </c>
      <c r="I1328" s="25" t="s">
        <v>407</v>
      </c>
      <c r="J1328" s="26"/>
    </row>
    <row r="1329" spans="1:10" s="41" customFormat="1" ht="30.95" customHeight="1">
      <c r="A1329" s="41">
        <v>38</v>
      </c>
      <c r="C1329" s="22">
        <f t="shared" si="20"/>
        <v>1322</v>
      </c>
      <c r="D1329" s="161" t="s">
        <v>2566</v>
      </c>
      <c r="E1329" s="23" t="s">
        <v>1136</v>
      </c>
      <c r="F1329" s="45" t="s">
        <v>2529</v>
      </c>
      <c r="G1329" s="24">
        <v>96</v>
      </c>
      <c r="H1329" s="25" t="s">
        <v>433</v>
      </c>
      <c r="I1329" s="25" t="s">
        <v>407</v>
      </c>
      <c r="J1329" s="26"/>
    </row>
    <row r="1330" spans="1:10" s="41" customFormat="1" ht="30.95" customHeight="1">
      <c r="A1330" s="41">
        <v>39</v>
      </c>
      <c r="C1330" s="22">
        <f t="shared" si="20"/>
        <v>1323</v>
      </c>
      <c r="D1330" s="161" t="s">
        <v>2567</v>
      </c>
      <c r="E1330" s="23" t="s">
        <v>1136</v>
      </c>
      <c r="F1330" s="45" t="s">
        <v>2529</v>
      </c>
      <c r="G1330" s="24">
        <v>166</v>
      </c>
      <c r="H1330" s="25" t="s">
        <v>433</v>
      </c>
      <c r="I1330" s="25" t="s">
        <v>407</v>
      </c>
      <c r="J1330" s="26"/>
    </row>
    <row r="1331" spans="1:10" s="41" customFormat="1" ht="30.95" customHeight="1">
      <c r="A1331" s="41">
        <v>40</v>
      </c>
      <c r="C1331" s="22">
        <f t="shared" si="20"/>
        <v>1324</v>
      </c>
      <c r="D1331" s="161" t="s">
        <v>2568</v>
      </c>
      <c r="E1331" s="23" t="s">
        <v>1136</v>
      </c>
      <c r="F1331" s="45" t="s">
        <v>2529</v>
      </c>
      <c r="G1331" s="24">
        <v>850</v>
      </c>
      <c r="H1331" s="25" t="s">
        <v>433</v>
      </c>
      <c r="I1331" s="25" t="s">
        <v>407</v>
      </c>
      <c r="J1331" s="26"/>
    </row>
    <row r="1332" spans="1:10" s="41" customFormat="1" ht="30.95" customHeight="1">
      <c r="A1332" s="41">
        <v>41</v>
      </c>
      <c r="C1332" s="22">
        <f t="shared" si="20"/>
        <v>1325</v>
      </c>
      <c r="D1332" s="161" t="s">
        <v>2569</v>
      </c>
      <c r="E1332" s="23" t="s">
        <v>1136</v>
      </c>
      <c r="F1332" s="45" t="s">
        <v>2529</v>
      </c>
      <c r="G1332" s="24">
        <v>230</v>
      </c>
      <c r="H1332" s="25" t="s">
        <v>2570</v>
      </c>
      <c r="I1332" s="25" t="s">
        <v>407</v>
      </c>
      <c r="J1332" s="26"/>
    </row>
    <row r="1333" spans="1:10" s="41" customFormat="1" ht="30.95" customHeight="1">
      <c r="A1333" s="41">
        <v>42</v>
      </c>
      <c r="C1333" s="22">
        <f t="shared" si="20"/>
        <v>1326</v>
      </c>
      <c r="D1333" s="161" t="s">
        <v>2571</v>
      </c>
      <c r="E1333" s="23" t="s">
        <v>1136</v>
      </c>
      <c r="F1333" s="45" t="s">
        <v>2529</v>
      </c>
      <c r="G1333" s="24">
        <v>1580</v>
      </c>
      <c r="H1333" s="25" t="s">
        <v>2448</v>
      </c>
      <c r="I1333" s="25" t="s">
        <v>407</v>
      </c>
      <c r="J1333" s="26"/>
    </row>
    <row r="1334" spans="1:10" s="41" customFormat="1" ht="30.95" customHeight="1">
      <c r="A1334" s="41">
        <v>43</v>
      </c>
      <c r="C1334" s="22">
        <f t="shared" si="20"/>
        <v>1327</v>
      </c>
      <c r="D1334" s="161" t="s">
        <v>2572</v>
      </c>
      <c r="E1334" s="23" t="s">
        <v>1136</v>
      </c>
      <c r="F1334" s="45" t="s">
        <v>2529</v>
      </c>
      <c r="G1334" s="24">
        <v>405</v>
      </c>
      <c r="H1334" s="25" t="s">
        <v>2448</v>
      </c>
      <c r="I1334" s="25" t="s">
        <v>407</v>
      </c>
      <c r="J1334" s="26"/>
    </row>
    <row r="1335" spans="1:10" s="41" customFormat="1" ht="30.95" customHeight="1">
      <c r="A1335" s="41">
        <v>44</v>
      </c>
      <c r="C1335" s="22">
        <f t="shared" si="20"/>
        <v>1328</v>
      </c>
      <c r="D1335" s="161" t="s">
        <v>2573</v>
      </c>
      <c r="E1335" s="23" t="s">
        <v>1136</v>
      </c>
      <c r="F1335" s="45" t="s">
        <v>2529</v>
      </c>
      <c r="G1335" s="24">
        <v>444</v>
      </c>
      <c r="H1335" s="25" t="s">
        <v>2450</v>
      </c>
      <c r="I1335" s="25" t="s">
        <v>2574</v>
      </c>
      <c r="J1335" s="26"/>
    </row>
    <row r="1336" spans="1:10" s="41" customFormat="1" ht="30.95" customHeight="1">
      <c r="A1336" s="41">
        <v>45</v>
      </c>
      <c r="C1336" s="22">
        <f t="shared" si="20"/>
        <v>1329</v>
      </c>
      <c r="D1336" s="161" t="s">
        <v>2575</v>
      </c>
      <c r="E1336" s="23" t="s">
        <v>1136</v>
      </c>
      <c r="F1336" s="45" t="s">
        <v>2529</v>
      </c>
      <c r="G1336" s="24">
        <v>200</v>
      </c>
      <c r="H1336" s="25" t="s">
        <v>2450</v>
      </c>
      <c r="I1336" s="25" t="s">
        <v>407</v>
      </c>
      <c r="J1336" s="26"/>
    </row>
    <row r="1337" spans="1:10" s="41" customFormat="1" ht="30.95" customHeight="1">
      <c r="A1337" s="41">
        <v>46</v>
      </c>
      <c r="C1337" s="22">
        <f t="shared" si="20"/>
        <v>1330</v>
      </c>
      <c r="D1337" s="161" t="s">
        <v>2576</v>
      </c>
      <c r="E1337" s="23" t="s">
        <v>1136</v>
      </c>
      <c r="F1337" s="45" t="s">
        <v>2529</v>
      </c>
      <c r="G1337" s="24">
        <v>300</v>
      </c>
      <c r="H1337" s="25" t="s">
        <v>2450</v>
      </c>
      <c r="I1337" s="25" t="s">
        <v>407</v>
      </c>
      <c r="J1337" s="26"/>
    </row>
    <row r="1338" spans="1:10" s="41" customFormat="1" ht="30.95" customHeight="1">
      <c r="A1338" s="41">
        <v>47</v>
      </c>
      <c r="C1338" s="22">
        <f t="shared" si="20"/>
        <v>1331</v>
      </c>
      <c r="D1338" s="161" t="s">
        <v>2577</v>
      </c>
      <c r="E1338" s="23" t="s">
        <v>1136</v>
      </c>
      <c r="F1338" s="45" t="s">
        <v>2529</v>
      </c>
      <c r="G1338" s="24">
        <v>265</v>
      </c>
      <c r="H1338" s="25" t="s">
        <v>2449</v>
      </c>
      <c r="I1338" s="25" t="s">
        <v>407</v>
      </c>
      <c r="J1338" s="26"/>
    </row>
    <row r="1339" spans="1:10" s="41" customFormat="1" ht="30.95" customHeight="1">
      <c r="A1339" s="41">
        <v>48</v>
      </c>
      <c r="C1339" s="22">
        <f t="shared" si="20"/>
        <v>1332</v>
      </c>
      <c r="D1339" s="161" t="s">
        <v>2578</v>
      </c>
      <c r="E1339" s="23" t="s">
        <v>1136</v>
      </c>
      <c r="F1339" s="45" t="s">
        <v>2529</v>
      </c>
      <c r="G1339" s="24">
        <v>250</v>
      </c>
      <c r="H1339" s="25" t="s">
        <v>2449</v>
      </c>
      <c r="I1339" s="25" t="s">
        <v>407</v>
      </c>
      <c r="J1339" s="26"/>
    </row>
    <row r="1340" spans="1:10" s="41" customFormat="1" ht="30.95" customHeight="1">
      <c r="A1340" s="41">
        <v>49</v>
      </c>
      <c r="C1340" s="22">
        <f t="shared" si="20"/>
        <v>1333</v>
      </c>
      <c r="D1340" s="161" t="s">
        <v>2579</v>
      </c>
      <c r="E1340" s="23" t="s">
        <v>1136</v>
      </c>
      <c r="F1340" s="45" t="s">
        <v>2529</v>
      </c>
      <c r="G1340" s="24">
        <v>286</v>
      </c>
      <c r="H1340" s="25" t="s">
        <v>2450</v>
      </c>
      <c r="I1340" s="25" t="s">
        <v>407</v>
      </c>
      <c r="J1340" s="26"/>
    </row>
    <row r="1341" spans="1:10" s="41" customFormat="1" ht="30.95" customHeight="1">
      <c r="A1341" s="41">
        <v>50</v>
      </c>
      <c r="C1341" s="22">
        <f t="shared" si="20"/>
        <v>1334</v>
      </c>
      <c r="D1341" s="161" t="s">
        <v>2580</v>
      </c>
      <c r="E1341" s="23" t="s">
        <v>1136</v>
      </c>
      <c r="F1341" s="45" t="s">
        <v>2529</v>
      </c>
      <c r="G1341" s="24">
        <v>256</v>
      </c>
      <c r="H1341" s="25" t="s">
        <v>2450</v>
      </c>
      <c r="I1341" s="25" t="s">
        <v>407</v>
      </c>
      <c r="J1341" s="26"/>
    </row>
    <row r="1342" spans="1:10" s="41" customFormat="1" ht="30.95" customHeight="1">
      <c r="A1342" s="41">
        <v>51</v>
      </c>
      <c r="C1342" s="22">
        <f t="shared" si="20"/>
        <v>1335</v>
      </c>
      <c r="D1342" s="161" t="s">
        <v>2581</v>
      </c>
      <c r="E1342" s="23" t="s">
        <v>1136</v>
      </c>
      <c r="F1342" s="45" t="s">
        <v>2529</v>
      </c>
      <c r="G1342" s="24">
        <v>250</v>
      </c>
      <c r="H1342" s="25" t="s">
        <v>2450</v>
      </c>
      <c r="I1342" s="25" t="s">
        <v>407</v>
      </c>
      <c r="J1342" s="26"/>
    </row>
    <row r="1343" spans="1:10" s="41" customFormat="1" ht="30.95" customHeight="1">
      <c r="A1343" s="41">
        <v>52</v>
      </c>
      <c r="C1343" s="22">
        <f t="shared" si="20"/>
        <v>1336</v>
      </c>
      <c r="D1343" s="161" t="s">
        <v>2582</v>
      </c>
      <c r="E1343" s="23" t="s">
        <v>1136</v>
      </c>
      <c r="F1343" s="45" t="s">
        <v>2529</v>
      </c>
      <c r="G1343" s="24">
        <v>285</v>
      </c>
      <c r="H1343" s="25" t="s">
        <v>2450</v>
      </c>
      <c r="I1343" s="25" t="s">
        <v>407</v>
      </c>
      <c r="J1343" s="26"/>
    </row>
    <row r="1344" spans="1:10" s="41" customFormat="1" ht="30.95" customHeight="1">
      <c r="A1344" s="41">
        <v>53</v>
      </c>
      <c r="C1344" s="22">
        <f t="shared" si="20"/>
        <v>1337</v>
      </c>
      <c r="D1344" s="161" t="s">
        <v>2583</v>
      </c>
      <c r="E1344" s="23" t="s">
        <v>1136</v>
      </c>
      <c r="F1344" s="45" t="s">
        <v>2529</v>
      </c>
      <c r="G1344" s="24">
        <v>350</v>
      </c>
      <c r="H1344" s="25" t="s">
        <v>2449</v>
      </c>
      <c r="I1344" s="25" t="s">
        <v>407</v>
      </c>
      <c r="J1344" s="26"/>
    </row>
    <row r="1345" spans="1:10" s="41" customFormat="1" ht="30.95" customHeight="1">
      <c r="A1345" s="41">
        <v>54</v>
      </c>
      <c r="C1345" s="22">
        <f t="shared" si="20"/>
        <v>1338</v>
      </c>
      <c r="D1345" s="161" t="s">
        <v>2422</v>
      </c>
      <c r="E1345" s="23" t="s">
        <v>1136</v>
      </c>
      <c r="F1345" s="45" t="s">
        <v>2529</v>
      </c>
      <c r="G1345" s="24">
        <v>3150</v>
      </c>
      <c r="H1345" s="25" t="s">
        <v>2573</v>
      </c>
      <c r="I1345" s="25" t="s">
        <v>2584</v>
      </c>
      <c r="J1345" s="26"/>
    </row>
    <row r="1346" spans="1:10" s="41" customFormat="1" ht="30.95" customHeight="1">
      <c r="A1346" s="41">
        <v>55</v>
      </c>
      <c r="C1346" s="22">
        <f t="shared" si="20"/>
        <v>1339</v>
      </c>
      <c r="D1346" s="161" t="s">
        <v>2585</v>
      </c>
      <c r="E1346" s="23" t="s">
        <v>1136</v>
      </c>
      <c r="F1346" s="45" t="s">
        <v>2529</v>
      </c>
      <c r="G1346" s="24">
        <v>130</v>
      </c>
      <c r="H1346" s="25" t="s">
        <v>2422</v>
      </c>
      <c r="I1346" s="25" t="s">
        <v>407</v>
      </c>
      <c r="J1346" s="26"/>
    </row>
    <row r="1347" spans="1:10" s="41" customFormat="1" ht="30.95" customHeight="1">
      <c r="A1347" s="41">
        <v>56</v>
      </c>
      <c r="C1347" s="22">
        <f t="shared" si="20"/>
        <v>1340</v>
      </c>
      <c r="D1347" s="161" t="s">
        <v>2586</v>
      </c>
      <c r="E1347" s="23" t="s">
        <v>1136</v>
      </c>
      <c r="F1347" s="45" t="s">
        <v>2529</v>
      </c>
      <c r="G1347" s="24">
        <v>350</v>
      </c>
      <c r="H1347" s="25" t="s">
        <v>2422</v>
      </c>
      <c r="I1347" s="25" t="s">
        <v>407</v>
      </c>
      <c r="J1347" s="26"/>
    </row>
    <row r="1348" spans="1:10" s="41" customFormat="1" ht="30.95" customHeight="1">
      <c r="A1348" s="41">
        <v>57</v>
      </c>
      <c r="C1348" s="22">
        <f t="shared" si="20"/>
        <v>1341</v>
      </c>
      <c r="D1348" s="161" t="s">
        <v>2420</v>
      </c>
      <c r="E1348" s="23" t="s">
        <v>1136</v>
      </c>
      <c r="F1348" s="45" t="s">
        <v>2529</v>
      </c>
      <c r="G1348" s="24">
        <v>1350</v>
      </c>
      <c r="H1348" s="25" t="s">
        <v>2587</v>
      </c>
      <c r="I1348" s="25" t="s">
        <v>2588</v>
      </c>
      <c r="J1348" s="26"/>
    </row>
    <row r="1349" spans="1:10" s="41" customFormat="1" ht="30.95" customHeight="1">
      <c r="A1349" s="41">
        <v>58</v>
      </c>
      <c r="C1349" s="22">
        <f t="shared" si="20"/>
        <v>1342</v>
      </c>
      <c r="D1349" s="161" t="s">
        <v>3800</v>
      </c>
      <c r="E1349" s="23" t="s">
        <v>1136</v>
      </c>
      <c r="F1349" s="45" t="s">
        <v>2529</v>
      </c>
      <c r="G1349" s="24">
        <v>1200</v>
      </c>
      <c r="H1349" s="25" t="s">
        <v>2589</v>
      </c>
      <c r="I1349" s="25" t="s">
        <v>407</v>
      </c>
      <c r="J1349" s="26"/>
    </row>
    <row r="1350" spans="1:10" s="41" customFormat="1" ht="30.95" customHeight="1">
      <c r="A1350" s="41">
        <v>59</v>
      </c>
      <c r="C1350" s="22">
        <f t="shared" si="20"/>
        <v>1343</v>
      </c>
      <c r="D1350" s="161" t="s">
        <v>3801</v>
      </c>
      <c r="E1350" s="23" t="s">
        <v>1136</v>
      </c>
      <c r="F1350" s="45" t="s">
        <v>2529</v>
      </c>
      <c r="G1350" s="24">
        <v>750</v>
      </c>
      <c r="H1350" s="25" t="s">
        <v>2590</v>
      </c>
      <c r="I1350" s="25" t="s">
        <v>407</v>
      </c>
      <c r="J1350" s="26"/>
    </row>
    <row r="1351" spans="1:10" s="41" customFormat="1" ht="30.95" customHeight="1">
      <c r="A1351" s="41">
        <v>60</v>
      </c>
      <c r="C1351" s="22">
        <f t="shared" si="20"/>
        <v>1344</v>
      </c>
      <c r="D1351" s="161" t="s">
        <v>2591</v>
      </c>
      <c r="E1351" s="23" t="s">
        <v>1136</v>
      </c>
      <c r="F1351" s="45" t="s">
        <v>2529</v>
      </c>
      <c r="G1351" s="24">
        <v>1050</v>
      </c>
      <c r="H1351" s="25" t="s">
        <v>3521</v>
      </c>
      <c r="I1351" s="25" t="s">
        <v>407</v>
      </c>
      <c r="J1351" s="26"/>
    </row>
    <row r="1352" spans="1:10" s="41" customFormat="1" ht="30.95" customHeight="1">
      <c r="A1352" s="41">
        <v>61</v>
      </c>
      <c r="C1352" s="22">
        <f t="shared" si="20"/>
        <v>1345</v>
      </c>
      <c r="D1352" s="161" t="s">
        <v>3802</v>
      </c>
      <c r="E1352" s="23" t="s">
        <v>1136</v>
      </c>
      <c r="F1352" s="45" t="s">
        <v>2529</v>
      </c>
      <c r="G1352" s="24">
        <v>1860</v>
      </c>
      <c r="H1352" s="25" t="s">
        <v>2592</v>
      </c>
      <c r="I1352" s="25" t="s">
        <v>407</v>
      </c>
      <c r="J1352" s="26"/>
    </row>
    <row r="1353" spans="1:10" s="41" customFormat="1" ht="30.95" customHeight="1">
      <c r="A1353" s="41">
        <v>62</v>
      </c>
      <c r="C1353" s="22">
        <f t="shared" si="20"/>
        <v>1346</v>
      </c>
      <c r="D1353" s="161" t="s">
        <v>3803</v>
      </c>
      <c r="E1353" s="23" t="s">
        <v>1136</v>
      </c>
      <c r="F1353" s="45" t="s">
        <v>2529</v>
      </c>
      <c r="G1353" s="24">
        <v>525</v>
      </c>
      <c r="H1353" s="25" t="s">
        <v>252</v>
      </c>
      <c r="I1353" s="25" t="s">
        <v>407</v>
      </c>
      <c r="J1353" s="26"/>
    </row>
    <row r="1354" spans="1:10" s="41" customFormat="1" ht="30.95" customHeight="1">
      <c r="A1354" s="41">
        <v>63</v>
      </c>
      <c r="C1354" s="22">
        <f t="shared" ref="C1354:C1417" si="21">C1353+1</f>
        <v>1347</v>
      </c>
      <c r="D1354" s="161" t="s">
        <v>3804</v>
      </c>
      <c r="E1354" s="23" t="s">
        <v>1136</v>
      </c>
      <c r="F1354" s="45" t="s">
        <v>2529</v>
      </c>
      <c r="G1354" s="24">
        <v>1050</v>
      </c>
      <c r="H1354" s="25" t="s">
        <v>2593</v>
      </c>
      <c r="I1354" s="25" t="s">
        <v>407</v>
      </c>
      <c r="J1354" s="26"/>
    </row>
    <row r="1355" spans="1:10" s="41" customFormat="1" ht="30.95" customHeight="1">
      <c r="A1355" s="41">
        <v>64</v>
      </c>
      <c r="C1355" s="22">
        <f t="shared" si="21"/>
        <v>1348</v>
      </c>
      <c r="D1355" s="161" t="s">
        <v>3805</v>
      </c>
      <c r="E1355" s="23" t="s">
        <v>1136</v>
      </c>
      <c r="F1355" s="45" t="s">
        <v>2529</v>
      </c>
      <c r="G1355" s="24">
        <v>300</v>
      </c>
      <c r="H1355" s="25" t="s">
        <v>3522</v>
      </c>
      <c r="I1355" s="25" t="s">
        <v>407</v>
      </c>
      <c r="J1355" s="26"/>
    </row>
    <row r="1356" spans="1:10" s="41" customFormat="1" ht="30.95" customHeight="1">
      <c r="A1356" s="41">
        <v>65</v>
      </c>
      <c r="C1356" s="22">
        <f t="shared" si="21"/>
        <v>1349</v>
      </c>
      <c r="D1356" s="161" t="s">
        <v>3806</v>
      </c>
      <c r="E1356" s="23" t="s">
        <v>1136</v>
      </c>
      <c r="F1356" s="45" t="s">
        <v>2529</v>
      </c>
      <c r="G1356" s="24">
        <v>350</v>
      </c>
      <c r="H1356" s="25" t="s">
        <v>3522</v>
      </c>
      <c r="I1356" s="25" t="s">
        <v>407</v>
      </c>
      <c r="J1356" s="26"/>
    </row>
    <row r="1357" spans="1:10" s="41" customFormat="1" ht="30.95" customHeight="1">
      <c r="A1357" s="41">
        <v>66</v>
      </c>
      <c r="C1357" s="22">
        <f t="shared" si="21"/>
        <v>1350</v>
      </c>
      <c r="D1357" s="166" t="s">
        <v>3807</v>
      </c>
      <c r="E1357" s="23" t="s">
        <v>1136</v>
      </c>
      <c r="F1357" s="45" t="s">
        <v>2529</v>
      </c>
      <c r="G1357" s="24">
        <v>200</v>
      </c>
      <c r="H1357" s="25" t="s">
        <v>3522</v>
      </c>
      <c r="I1357" s="25" t="s">
        <v>407</v>
      </c>
      <c r="J1357" s="26"/>
    </row>
    <row r="1358" spans="1:10" s="41" customFormat="1" ht="30.95" customHeight="1">
      <c r="A1358" s="41">
        <v>67</v>
      </c>
      <c r="C1358" s="22">
        <f t="shared" si="21"/>
        <v>1351</v>
      </c>
      <c r="D1358" s="166" t="s">
        <v>3808</v>
      </c>
      <c r="E1358" s="23" t="s">
        <v>1136</v>
      </c>
      <c r="F1358" s="45" t="s">
        <v>2529</v>
      </c>
      <c r="G1358" s="24">
        <v>800</v>
      </c>
      <c r="H1358" s="25" t="s">
        <v>2594</v>
      </c>
      <c r="I1358" s="25" t="s">
        <v>407</v>
      </c>
      <c r="J1358" s="26"/>
    </row>
    <row r="1359" spans="1:10" s="41" customFormat="1" ht="30.95" customHeight="1">
      <c r="A1359" s="41">
        <v>68</v>
      </c>
      <c r="C1359" s="22">
        <f t="shared" si="21"/>
        <v>1352</v>
      </c>
      <c r="D1359" s="166" t="s">
        <v>3809</v>
      </c>
      <c r="E1359" s="23" t="s">
        <v>1136</v>
      </c>
      <c r="F1359" s="45" t="s">
        <v>2529</v>
      </c>
      <c r="G1359" s="24">
        <v>400</v>
      </c>
      <c r="H1359" s="25" t="s">
        <v>2595</v>
      </c>
      <c r="I1359" s="25" t="s">
        <v>407</v>
      </c>
      <c r="J1359" s="26"/>
    </row>
    <row r="1360" spans="1:10" s="41" customFormat="1" ht="30.95" customHeight="1">
      <c r="A1360" s="41">
        <v>69</v>
      </c>
      <c r="C1360" s="22">
        <f t="shared" si="21"/>
        <v>1353</v>
      </c>
      <c r="D1360" s="166" t="s">
        <v>2596</v>
      </c>
      <c r="E1360" s="23" t="s">
        <v>1136</v>
      </c>
      <c r="F1360" s="45" t="s">
        <v>2529</v>
      </c>
      <c r="G1360" s="24">
        <v>900</v>
      </c>
      <c r="H1360" s="25" t="s">
        <v>252</v>
      </c>
      <c r="I1360" s="25" t="s">
        <v>407</v>
      </c>
      <c r="J1360" s="26"/>
    </row>
    <row r="1361" spans="1:10" s="41" customFormat="1" ht="30.95" customHeight="1">
      <c r="A1361" s="41">
        <v>70</v>
      </c>
      <c r="C1361" s="22">
        <f t="shared" si="21"/>
        <v>1354</v>
      </c>
      <c r="D1361" s="166" t="s">
        <v>2597</v>
      </c>
      <c r="E1361" s="23" t="s">
        <v>1136</v>
      </c>
      <c r="F1361" s="45" t="s">
        <v>2529</v>
      </c>
      <c r="G1361" s="24">
        <v>350</v>
      </c>
      <c r="H1361" s="25" t="s">
        <v>252</v>
      </c>
      <c r="I1361" s="25" t="s">
        <v>407</v>
      </c>
      <c r="J1361" s="26"/>
    </row>
    <row r="1362" spans="1:10" s="41" customFormat="1" ht="30.95" customHeight="1">
      <c r="A1362" s="41">
        <v>71</v>
      </c>
      <c r="C1362" s="22">
        <f t="shared" si="21"/>
        <v>1355</v>
      </c>
      <c r="D1362" s="166" t="s">
        <v>2598</v>
      </c>
      <c r="E1362" s="23" t="s">
        <v>1136</v>
      </c>
      <c r="F1362" s="45" t="s">
        <v>2529</v>
      </c>
      <c r="G1362" s="24">
        <v>250</v>
      </c>
      <c r="H1362" s="25" t="s">
        <v>3523</v>
      </c>
      <c r="I1362" s="25" t="s">
        <v>407</v>
      </c>
      <c r="J1362" s="26"/>
    </row>
    <row r="1363" spans="1:10" s="41" customFormat="1" ht="30.95" customHeight="1">
      <c r="A1363" s="41">
        <v>72</v>
      </c>
      <c r="C1363" s="22">
        <f t="shared" si="21"/>
        <v>1356</v>
      </c>
      <c r="D1363" s="166" t="s">
        <v>2599</v>
      </c>
      <c r="E1363" s="23" t="s">
        <v>1136</v>
      </c>
      <c r="F1363" s="45" t="s">
        <v>2529</v>
      </c>
      <c r="G1363" s="24">
        <v>350</v>
      </c>
      <c r="H1363" s="25" t="s">
        <v>3524</v>
      </c>
      <c r="I1363" s="25" t="s">
        <v>407</v>
      </c>
      <c r="J1363" s="26"/>
    </row>
    <row r="1364" spans="1:10" s="41" customFormat="1" ht="30.95" customHeight="1">
      <c r="A1364" s="41">
        <v>73</v>
      </c>
      <c r="C1364" s="22">
        <f t="shared" si="21"/>
        <v>1357</v>
      </c>
      <c r="D1364" s="166" t="s">
        <v>2600</v>
      </c>
      <c r="E1364" s="23" t="s">
        <v>1136</v>
      </c>
      <c r="F1364" s="45" t="s">
        <v>2529</v>
      </c>
      <c r="G1364" s="24">
        <v>300</v>
      </c>
      <c r="H1364" s="25" t="s">
        <v>2601</v>
      </c>
      <c r="I1364" s="25" t="s">
        <v>407</v>
      </c>
      <c r="J1364" s="26"/>
    </row>
    <row r="1365" spans="1:10" s="41" customFormat="1" ht="30.95" customHeight="1">
      <c r="A1365" s="41">
        <v>74</v>
      </c>
      <c r="C1365" s="22">
        <f t="shared" si="21"/>
        <v>1358</v>
      </c>
      <c r="D1365" s="166" t="s">
        <v>2602</v>
      </c>
      <c r="E1365" s="23" t="s">
        <v>1136</v>
      </c>
      <c r="F1365" s="45" t="s">
        <v>2529</v>
      </c>
      <c r="G1365" s="24">
        <v>750</v>
      </c>
      <c r="H1365" s="25" t="s">
        <v>2601</v>
      </c>
      <c r="I1365" s="25" t="s">
        <v>2603</v>
      </c>
      <c r="J1365" s="26"/>
    </row>
    <row r="1366" spans="1:10" s="41" customFormat="1" ht="30.95" customHeight="1">
      <c r="A1366" s="41">
        <v>75</v>
      </c>
      <c r="C1366" s="22">
        <f t="shared" si="21"/>
        <v>1359</v>
      </c>
      <c r="D1366" s="166" t="s">
        <v>2604</v>
      </c>
      <c r="E1366" s="23" t="s">
        <v>1136</v>
      </c>
      <c r="F1366" s="45" t="s">
        <v>2529</v>
      </c>
      <c r="G1366" s="24">
        <v>825</v>
      </c>
      <c r="H1366" s="25" t="s">
        <v>2601</v>
      </c>
      <c r="I1366" s="25" t="s">
        <v>2603</v>
      </c>
      <c r="J1366" s="26"/>
    </row>
    <row r="1367" spans="1:10" s="41" customFormat="1" ht="30.95" customHeight="1">
      <c r="A1367" s="41">
        <v>76</v>
      </c>
      <c r="C1367" s="22">
        <f t="shared" si="21"/>
        <v>1360</v>
      </c>
      <c r="D1367" s="166" t="s">
        <v>2605</v>
      </c>
      <c r="E1367" s="23" t="s">
        <v>1136</v>
      </c>
      <c r="F1367" s="45" t="s">
        <v>2529</v>
      </c>
      <c r="G1367" s="24">
        <v>320</v>
      </c>
      <c r="H1367" s="25" t="s">
        <v>2606</v>
      </c>
      <c r="I1367" s="25" t="s">
        <v>407</v>
      </c>
      <c r="J1367" s="26"/>
    </row>
    <row r="1368" spans="1:10" s="41" customFormat="1" ht="30.95" customHeight="1">
      <c r="A1368" s="41">
        <v>77</v>
      </c>
      <c r="C1368" s="22">
        <f t="shared" si="21"/>
        <v>1361</v>
      </c>
      <c r="D1368" s="166" t="s">
        <v>2607</v>
      </c>
      <c r="E1368" s="23" t="s">
        <v>1136</v>
      </c>
      <c r="F1368" s="45" t="s">
        <v>2529</v>
      </c>
      <c r="G1368" s="24">
        <v>150</v>
      </c>
      <c r="H1368" s="25" t="s">
        <v>2601</v>
      </c>
      <c r="I1368" s="25" t="s">
        <v>379</v>
      </c>
      <c r="J1368" s="26"/>
    </row>
    <row r="1369" spans="1:10" s="41" customFormat="1" ht="30.95" customHeight="1">
      <c r="A1369" s="41">
        <v>78</v>
      </c>
      <c r="C1369" s="22">
        <f t="shared" si="21"/>
        <v>1362</v>
      </c>
      <c r="D1369" s="166" t="s">
        <v>3810</v>
      </c>
      <c r="E1369" s="23" t="s">
        <v>1136</v>
      </c>
      <c r="F1369" s="45" t="s">
        <v>2529</v>
      </c>
      <c r="G1369" s="24">
        <v>225</v>
      </c>
      <c r="H1369" s="25" t="s">
        <v>2608</v>
      </c>
      <c r="I1369" s="25" t="s">
        <v>407</v>
      </c>
      <c r="J1369" s="26"/>
    </row>
    <row r="1370" spans="1:10" s="41" customFormat="1" ht="30.95" customHeight="1">
      <c r="A1370" s="41">
        <v>79</v>
      </c>
      <c r="C1370" s="22">
        <f t="shared" si="21"/>
        <v>1363</v>
      </c>
      <c r="D1370" s="166" t="s">
        <v>2609</v>
      </c>
      <c r="E1370" s="23" t="s">
        <v>1136</v>
      </c>
      <c r="F1370" s="45" t="s">
        <v>2529</v>
      </c>
      <c r="G1370" s="24">
        <v>410</v>
      </c>
      <c r="H1370" s="25" t="s">
        <v>2608</v>
      </c>
      <c r="I1370" s="25" t="s">
        <v>407</v>
      </c>
      <c r="J1370" s="26"/>
    </row>
    <row r="1371" spans="1:10" s="41" customFormat="1" ht="30.95" customHeight="1">
      <c r="A1371" s="41">
        <v>80</v>
      </c>
      <c r="C1371" s="22">
        <f t="shared" si="21"/>
        <v>1364</v>
      </c>
      <c r="D1371" s="166" t="s">
        <v>2610</v>
      </c>
      <c r="E1371" s="23" t="s">
        <v>1136</v>
      </c>
      <c r="F1371" s="45" t="s">
        <v>2529</v>
      </c>
      <c r="G1371" s="24">
        <v>445</v>
      </c>
      <c r="H1371" s="25" t="s">
        <v>2608</v>
      </c>
      <c r="I1371" s="25" t="s">
        <v>407</v>
      </c>
      <c r="J1371" s="26"/>
    </row>
    <row r="1372" spans="1:10" s="41" customFormat="1" ht="30.95" customHeight="1">
      <c r="A1372" s="41">
        <v>81</v>
      </c>
      <c r="C1372" s="22">
        <f t="shared" si="21"/>
        <v>1365</v>
      </c>
      <c r="D1372" s="166" t="s">
        <v>3811</v>
      </c>
      <c r="E1372" s="23" t="s">
        <v>1136</v>
      </c>
      <c r="F1372" s="45" t="s">
        <v>2529</v>
      </c>
      <c r="G1372" s="24">
        <v>376</v>
      </c>
      <c r="H1372" s="25" t="s">
        <v>2608</v>
      </c>
      <c r="I1372" s="25" t="s">
        <v>407</v>
      </c>
      <c r="J1372" s="26"/>
    </row>
    <row r="1373" spans="1:10" s="41" customFormat="1" ht="30.95" customHeight="1">
      <c r="A1373" s="41">
        <v>82</v>
      </c>
      <c r="C1373" s="22">
        <f t="shared" si="21"/>
        <v>1366</v>
      </c>
      <c r="D1373" s="166" t="s">
        <v>3525</v>
      </c>
      <c r="E1373" s="23" t="s">
        <v>1136</v>
      </c>
      <c r="F1373" s="45" t="s">
        <v>2529</v>
      </c>
      <c r="G1373" s="24">
        <v>900</v>
      </c>
      <c r="H1373" s="25" t="s">
        <v>2608</v>
      </c>
      <c r="I1373" s="25" t="s">
        <v>407</v>
      </c>
      <c r="J1373" s="26"/>
    </row>
    <row r="1374" spans="1:10" s="41" customFormat="1" ht="30.95" customHeight="1">
      <c r="A1374" s="41">
        <v>83</v>
      </c>
      <c r="C1374" s="22">
        <f t="shared" si="21"/>
        <v>1367</v>
      </c>
      <c r="D1374" s="166" t="s">
        <v>3526</v>
      </c>
      <c r="E1374" s="23" t="s">
        <v>1136</v>
      </c>
      <c r="F1374" s="45" t="s">
        <v>2529</v>
      </c>
      <c r="G1374" s="24">
        <v>1044</v>
      </c>
      <c r="H1374" s="25" t="s">
        <v>2608</v>
      </c>
      <c r="I1374" s="25" t="s">
        <v>407</v>
      </c>
      <c r="J1374" s="26"/>
    </row>
    <row r="1375" spans="1:10" s="41" customFormat="1" ht="30.95" customHeight="1">
      <c r="A1375" s="41">
        <v>84</v>
      </c>
      <c r="C1375" s="22">
        <f t="shared" si="21"/>
        <v>1368</v>
      </c>
      <c r="D1375" s="166" t="s">
        <v>2611</v>
      </c>
      <c r="E1375" s="23" t="s">
        <v>1136</v>
      </c>
      <c r="F1375" s="45" t="s">
        <v>2529</v>
      </c>
      <c r="G1375" s="24">
        <v>240</v>
      </c>
      <c r="H1375" s="25" t="s">
        <v>2608</v>
      </c>
      <c r="I1375" s="25" t="s">
        <v>407</v>
      </c>
      <c r="J1375" s="26"/>
    </row>
    <row r="1376" spans="1:10" s="41" customFormat="1" ht="30.95" customHeight="1">
      <c r="A1376" s="41">
        <v>85</v>
      </c>
      <c r="C1376" s="22">
        <f t="shared" si="21"/>
        <v>1369</v>
      </c>
      <c r="D1376" s="166" t="s">
        <v>3812</v>
      </c>
      <c r="E1376" s="23" t="s">
        <v>1136</v>
      </c>
      <c r="F1376" s="45" t="s">
        <v>2529</v>
      </c>
      <c r="G1376" s="24">
        <v>560</v>
      </c>
      <c r="H1376" s="25" t="s">
        <v>2608</v>
      </c>
      <c r="I1376" s="25" t="s">
        <v>407</v>
      </c>
      <c r="J1376" s="26"/>
    </row>
    <row r="1377" spans="1:10" s="41" customFormat="1" ht="30.95" customHeight="1">
      <c r="A1377" s="41">
        <v>86</v>
      </c>
      <c r="C1377" s="22">
        <f t="shared" si="21"/>
        <v>1370</v>
      </c>
      <c r="D1377" s="166" t="s">
        <v>2612</v>
      </c>
      <c r="E1377" s="23" t="s">
        <v>1136</v>
      </c>
      <c r="F1377" s="45" t="s">
        <v>2529</v>
      </c>
      <c r="G1377" s="24">
        <v>700</v>
      </c>
      <c r="H1377" s="25" t="s">
        <v>2608</v>
      </c>
      <c r="I1377" s="25" t="s">
        <v>407</v>
      </c>
      <c r="J1377" s="26"/>
    </row>
    <row r="1378" spans="1:10" s="41" customFormat="1" ht="30.95" customHeight="1">
      <c r="A1378" s="41">
        <v>87</v>
      </c>
      <c r="C1378" s="22">
        <f t="shared" si="21"/>
        <v>1371</v>
      </c>
      <c r="D1378" s="166" t="s">
        <v>2613</v>
      </c>
      <c r="E1378" s="23" t="s">
        <v>1136</v>
      </c>
      <c r="F1378" s="45" t="s">
        <v>2529</v>
      </c>
      <c r="G1378" s="24">
        <v>274</v>
      </c>
      <c r="H1378" s="25" t="s">
        <v>2608</v>
      </c>
      <c r="I1378" s="25" t="s">
        <v>407</v>
      </c>
      <c r="J1378" s="26"/>
    </row>
    <row r="1379" spans="1:10" s="41" customFormat="1" ht="30.95" customHeight="1">
      <c r="A1379" s="41">
        <v>88</v>
      </c>
      <c r="C1379" s="22">
        <f t="shared" si="21"/>
        <v>1372</v>
      </c>
      <c r="D1379" s="166" t="s">
        <v>2614</v>
      </c>
      <c r="E1379" s="23" t="s">
        <v>1136</v>
      </c>
      <c r="F1379" s="45" t="s">
        <v>2529</v>
      </c>
      <c r="G1379" s="24">
        <v>168</v>
      </c>
      <c r="H1379" s="25" t="s">
        <v>2615</v>
      </c>
      <c r="I1379" s="25" t="s">
        <v>407</v>
      </c>
      <c r="J1379" s="26"/>
    </row>
    <row r="1380" spans="1:10" s="41" customFormat="1" ht="30.95" customHeight="1">
      <c r="A1380" s="41">
        <v>89</v>
      </c>
      <c r="C1380" s="22">
        <f t="shared" si="21"/>
        <v>1373</v>
      </c>
      <c r="D1380" s="166" t="s">
        <v>2616</v>
      </c>
      <c r="E1380" s="23" t="s">
        <v>1136</v>
      </c>
      <c r="F1380" s="45" t="s">
        <v>2529</v>
      </c>
      <c r="G1380" s="24">
        <v>665</v>
      </c>
      <c r="H1380" s="25" t="s">
        <v>2617</v>
      </c>
      <c r="I1380" s="25" t="s">
        <v>407</v>
      </c>
      <c r="J1380" s="26"/>
    </row>
    <row r="1381" spans="1:10" s="41" customFormat="1" ht="30.95" customHeight="1">
      <c r="A1381" s="41">
        <v>90</v>
      </c>
      <c r="C1381" s="22">
        <f t="shared" si="21"/>
        <v>1374</v>
      </c>
      <c r="D1381" s="166" t="s">
        <v>430</v>
      </c>
      <c r="E1381" s="23" t="s">
        <v>1136</v>
      </c>
      <c r="F1381" s="45" t="s">
        <v>2529</v>
      </c>
      <c r="G1381" s="24">
        <v>1155</v>
      </c>
      <c r="H1381" s="25" t="s">
        <v>2615</v>
      </c>
      <c r="I1381" s="25" t="s">
        <v>407</v>
      </c>
      <c r="J1381" s="26"/>
    </row>
    <row r="1382" spans="1:10" s="41" customFormat="1" ht="30.95" customHeight="1">
      <c r="A1382" s="41">
        <v>91</v>
      </c>
      <c r="C1382" s="22">
        <f t="shared" si="21"/>
        <v>1375</v>
      </c>
      <c r="D1382" s="166" t="s">
        <v>2618</v>
      </c>
      <c r="E1382" s="23" t="s">
        <v>1136</v>
      </c>
      <c r="F1382" s="45" t="s">
        <v>2529</v>
      </c>
      <c r="G1382" s="24">
        <v>350</v>
      </c>
      <c r="H1382" s="25" t="s">
        <v>2619</v>
      </c>
      <c r="I1382" s="25" t="s">
        <v>407</v>
      </c>
      <c r="J1382" s="26"/>
    </row>
    <row r="1383" spans="1:10" s="41" customFormat="1" ht="30.95" customHeight="1">
      <c r="A1383" s="41">
        <v>92</v>
      </c>
      <c r="C1383" s="22">
        <f t="shared" si="21"/>
        <v>1376</v>
      </c>
      <c r="D1383" s="166" t="s">
        <v>2620</v>
      </c>
      <c r="E1383" s="23" t="s">
        <v>1136</v>
      </c>
      <c r="F1383" s="45" t="s">
        <v>2529</v>
      </c>
      <c r="G1383" s="24">
        <v>1125</v>
      </c>
      <c r="H1383" s="25" t="s">
        <v>2615</v>
      </c>
      <c r="I1383" s="25" t="s">
        <v>407</v>
      </c>
      <c r="J1383" s="26"/>
    </row>
    <row r="1384" spans="1:10" s="41" customFormat="1" ht="30.95" customHeight="1">
      <c r="A1384" s="41">
        <v>93</v>
      </c>
      <c r="C1384" s="22">
        <f t="shared" si="21"/>
        <v>1377</v>
      </c>
      <c r="D1384" s="166" t="s">
        <v>630</v>
      </c>
      <c r="E1384" s="23" t="s">
        <v>1136</v>
      </c>
      <c r="F1384" s="45" t="s">
        <v>2529</v>
      </c>
      <c r="G1384" s="24">
        <v>6450</v>
      </c>
      <c r="H1384" s="25" t="s">
        <v>2621</v>
      </c>
      <c r="I1384" s="25" t="s">
        <v>2622</v>
      </c>
      <c r="J1384" s="26"/>
    </row>
    <row r="1385" spans="1:10" s="41" customFormat="1" ht="30.95" customHeight="1">
      <c r="A1385" s="41">
        <v>94</v>
      </c>
      <c r="C1385" s="22">
        <f t="shared" si="21"/>
        <v>1378</v>
      </c>
      <c r="D1385" s="166" t="s">
        <v>2623</v>
      </c>
      <c r="E1385" s="23" t="s">
        <v>1136</v>
      </c>
      <c r="F1385" s="45" t="s">
        <v>2529</v>
      </c>
      <c r="G1385" s="24">
        <v>260</v>
      </c>
      <c r="H1385" s="25" t="s">
        <v>3527</v>
      </c>
      <c r="I1385" s="25" t="s">
        <v>407</v>
      </c>
      <c r="J1385" s="26"/>
    </row>
    <row r="1386" spans="1:10" s="41" customFormat="1" ht="30.95" customHeight="1">
      <c r="A1386" s="41">
        <v>95</v>
      </c>
      <c r="C1386" s="22">
        <f t="shared" si="21"/>
        <v>1379</v>
      </c>
      <c r="D1386" s="166" t="s">
        <v>2624</v>
      </c>
      <c r="E1386" s="23" t="s">
        <v>1136</v>
      </c>
      <c r="F1386" s="45" t="s">
        <v>2529</v>
      </c>
      <c r="G1386" s="24">
        <v>970</v>
      </c>
      <c r="H1386" s="25" t="s">
        <v>3527</v>
      </c>
      <c r="I1386" s="25" t="s">
        <v>407</v>
      </c>
      <c r="J1386" s="26"/>
    </row>
    <row r="1387" spans="1:10" s="41" customFormat="1" ht="30.95" customHeight="1">
      <c r="A1387" s="41">
        <v>96</v>
      </c>
      <c r="C1387" s="22">
        <f t="shared" si="21"/>
        <v>1380</v>
      </c>
      <c r="D1387" s="166" t="s">
        <v>2625</v>
      </c>
      <c r="E1387" s="23" t="s">
        <v>1136</v>
      </c>
      <c r="F1387" s="45" t="s">
        <v>2529</v>
      </c>
      <c r="G1387" s="24">
        <v>820</v>
      </c>
      <c r="H1387" s="25" t="s">
        <v>2626</v>
      </c>
      <c r="I1387" s="25" t="s">
        <v>3528</v>
      </c>
      <c r="J1387" s="26"/>
    </row>
    <row r="1388" spans="1:10" s="41" customFormat="1" ht="30.95" customHeight="1">
      <c r="A1388" s="41">
        <v>97</v>
      </c>
      <c r="C1388" s="22">
        <f t="shared" si="21"/>
        <v>1381</v>
      </c>
      <c r="D1388" s="166" t="s">
        <v>2627</v>
      </c>
      <c r="E1388" s="23" t="s">
        <v>1136</v>
      </c>
      <c r="F1388" s="45" t="s">
        <v>2529</v>
      </c>
      <c r="G1388" s="24">
        <v>900</v>
      </c>
      <c r="H1388" s="25" t="s">
        <v>3527</v>
      </c>
      <c r="I1388" s="25" t="s">
        <v>407</v>
      </c>
      <c r="J1388" s="26"/>
    </row>
    <row r="1389" spans="1:10" s="41" customFormat="1" ht="30.95" customHeight="1">
      <c r="A1389" s="41">
        <v>98</v>
      </c>
      <c r="C1389" s="22">
        <f t="shared" si="21"/>
        <v>1382</v>
      </c>
      <c r="D1389" s="166" t="s">
        <v>1246</v>
      </c>
      <c r="E1389" s="23" t="s">
        <v>1136</v>
      </c>
      <c r="F1389" s="45" t="s">
        <v>2529</v>
      </c>
      <c r="G1389" s="24">
        <v>1950</v>
      </c>
      <c r="H1389" s="25" t="s">
        <v>3527</v>
      </c>
      <c r="I1389" s="25" t="s">
        <v>407</v>
      </c>
      <c r="J1389" s="26"/>
    </row>
    <row r="1390" spans="1:10" s="41" customFormat="1" ht="30.95" customHeight="1">
      <c r="A1390" s="41">
        <v>99</v>
      </c>
      <c r="C1390" s="22">
        <f t="shared" si="21"/>
        <v>1383</v>
      </c>
      <c r="D1390" s="166" t="s">
        <v>1255</v>
      </c>
      <c r="E1390" s="23" t="s">
        <v>1136</v>
      </c>
      <c r="F1390" s="45" t="s">
        <v>2529</v>
      </c>
      <c r="G1390" s="24">
        <v>1425</v>
      </c>
      <c r="H1390" s="25" t="s">
        <v>3527</v>
      </c>
      <c r="I1390" s="25" t="s">
        <v>407</v>
      </c>
      <c r="J1390" s="26"/>
    </row>
    <row r="1391" spans="1:10" s="41" customFormat="1" ht="30.95" customHeight="1">
      <c r="A1391" s="41">
        <v>100</v>
      </c>
      <c r="C1391" s="22">
        <f t="shared" si="21"/>
        <v>1384</v>
      </c>
      <c r="D1391" s="166" t="s">
        <v>2628</v>
      </c>
      <c r="E1391" s="23" t="s">
        <v>1136</v>
      </c>
      <c r="F1391" s="45" t="s">
        <v>2529</v>
      </c>
      <c r="G1391" s="24">
        <v>900</v>
      </c>
      <c r="H1391" s="25" t="s">
        <v>3529</v>
      </c>
      <c r="I1391" s="25" t="s">
        <v>407</v>
      </c>
      <c r="J1391" s="26"/>
    </row>
    <row r="1392" spans="1:10" s="41" customFormat="1" ht="30.95" customHeight="1">
      <c r="A1392" s="41">
        <v>101</v>
      </c>
      <c r="C1392" s="22">
        <f t="shared" si="21"/>
        <v>1385</v>
      </c>
      <c r="D1392" s="166" t="s">
        <v>3530</v>
      </c>
      <c r="E1392" s="23" t="s">
        <v>1136</v>
      </c>
      <c r="F1392" s="45" t="s">
        <v>2529</v>
      </c>
      <c r="G1392" s="24">
        <v>1125</v>
      </c>
      <c r="H1392" s="25" t="s">
        <v>3531</v>
      </c>
      <c r="I1392" s="25" t="s">
        <v>407</v>
      </c>
      <c r="J1392" s="26"/>
    </row>
    <row r="1393" spans="1:10" s="41" customFormat="1" ht="30.95" customHeight="1">
      <c r="A1393" s="41">
        <v>102</v>
      </c>
      <c r="C1393" s="22">
        <f t="shared" si="21"/>
        <v>1386</v>
      </c>
      <c r="D1393" s="166" t="s">
        <v>1272</v>
      </c>
      <c r="E1393" s="23" t="s">
        <v>1136</v>
      </c>
      <c r="F1393" s="45" t="s">
        <v>2529</v>
      </c>
      <c r="G1393" s="24">
        <v>705</v>
      </c>
      <c r="H1393" s="25" t="s">
        <v>3527</v>
      </c>
      <c r="I1393" s="25" t="s">
        <v>407</v>
      </c>
      <c r="J1393" s="26"/>
    </row>
    <row r="1394" spans="1:10" s="41" customFormat="1" ht="30.95" customHeight="1">
      <c r="A1394" s="41">
        <v>103</v>
      </c>
      <c r="C1394" s="22">
        <f t="shared" si="21"/>
        <v>1387</v>
      </c>
      <c r="D1394" s="166" t="s">
        <v>3532</v>
      </c>
      <c r="E1394" s="23" t="s">
        <v>1136</v>
      </c>
      <c r="F1394" s="45" t="s">
        <v>2529</v>
      </c>
      <c r="G1394" s="24">
        <v>1750</v>
      </c>
      <c r="H1394" s="25" t="s">
        <v>3533</v>
      </c>
      <c r="I1394" s="25" t="s">
        <v>3534</v>
      </c>
      <c r="J1394" s="26"/>
    </row>
    <row r="1395" spans="1:10" s="41" customFormat="1" ht="30.95" customHeight="1">
      <c r="A1395" s="41">
        <v>104</v>
      </c>
      <c r="C1395" s="22">
        <f t="shared" si="21"/>
        <v>1388</v>
      </c>
      <c r="D1395" s="166" t="s">
        <v>3535</v>
      </c>
      <c r="E1395" s="23" t="s">
        <v>1136</v>
      </c>
      <c r="F1395" s="45" t="s">
        <v>2529</v>
      </c>
      <c r="G1395" s="24">
        <v>1750</v>
      </c>
      <c r="H1395" s="25" t="s">
        <v>3536</v>
      </c>
      <c r="I1395" s="25" t="s">
        <v>3537</v>
      </c>
      <c r="J1395" s="26"/>
    </row>
    <row r="1396" spans="1:10" s="41" customFormat="1" ht="30.95" customHeight="1">
      <c r="A1396" s="41">
        <v>105</v>
      </c>
      <c r="C1396" s="22">
        <f t="shared" si="21"/>
        <v>1389</v>
      </c>
      <c r="D1396" s="166" t="s">
        <v>2629</v>
      </c>
      <c r="E1396" s="23" t="s">
        <v>1136</v>
      </c>
      <c r="F1396" s="45" t="s">
        <v>2529</v>
      </c>
      <c r="G1396" s="24">
        <v>1450</v>
      </c>
      <c r="H1396" s="25" t="s">
        <v>3538</v>
      </c>
      <c r="I1396" s="25" t="s">
        <v>3539</v>
      </c>
      <c r="J1396" s="26"/>
    </row>
    <row r="1397" spans="1:10" s="41" customFormat="1" ht="48.75" customHeight="1">
      <c r="A1397" s="41">
        <v>106</v>
      </c>
      <c r="C1397" s="22">
        <f t="shared" si="21"/>
        <v>1390</v>
      </c>
      <c r="D1397" s="166" t="s">
        <v>3540</v>
      </c>
      <c r="E1397" s="23" t="s">
        <v>1136</v>
      </c>
      <c r="F1397" s="45" t="s">
        <v>2529</v>
      </c>
      <c r="G1397" s="24">
        <v>2750</v>
      </c>
      <c r="H1397" s="25" t="s">
        <v>3541</v>
      </c>
      <c r="I1397" s="25" t="s">
        <v>3542</v>
      </c>
      <c r="J1397" s="26"/>
    </row>
    <row r="1398" spans="1:10" s="41" customFormat="1" ht="33.75" customHeight="1">
      <c r="A1398" s="41">
        <v>107</v>
      </c>
      <c r="C1398" s="22">
        <f t="shared" si="21"/>
        <v>1391</v>
      </c>
      <c r="D1398" s="166" t="s">
        <v>2630</v>
      </c>
      <c r="E1398" s="23" t="s">
        <v>1136</v>
      </c>
      <c r="F1398" s="45" t="s">
        <v>2529</v>
      </c>
      <c r="G1398" s="24">
        <v>2200</v>
      </c>
      <c r="H1398" s="25" t="s">
        <v>3543</v>
      </c>
      <c r="I1398" s="25" t="s">
        <v>3544</v>
      </c>
      <c r="J1398" s="26"/>
    </row>
    <row r="1399" spans="1:10" s="41" customFormat="1" ht="30.95" customHeight="1">
      <c r="A1399" s="41">
        <v>108</v>
      </c>
      <c r="B1399" s="47">
        <f>SUM(G1292:G1399)</f>
        <v>78219</v>
      </c>
      <c r="C1399" s="22">
        <f t="shared" si="21"/>
        <v>1392</v>
      </c>
      <c r="D1399" s="166" t="s">
        <v>3545</v>
      </c>
      <c r="E1399" s="23" t="s">
        <v>1136</v>
      </c>
      <c r="F1399" s="45" t="s">
        <v>2529</v>
      </c>
      <c r="G1399" s="24">
        <v>4650</v>
      </c>
      <c r="H1399" s="25" t="s">
        <v>3546</v>
      </c>
      <c r="I1399" s="25" t="s">
        <v>1498</v>
      </c>
      <c r="J1399" s="48"/>
    </row>
    <row r="1400" spans="1:10" s="41" customFormat="1" ht="30.95" customHeight="1">
      <c r="A1400" s="41">
        <v>1</v>
      </c>
      <c r="C1400" s="22">
        <f t="shared" si="21"/>
        <v>1393</v>
      </c>
      <c r="D1400" s="161" t="s">
        <v>2631</v>
      </c>
      <c r="E1400" s="23" t="s">
        <v>1136</v>
      </c>
      <c r="F1400" s="45" t="s">
        <v>2632</v>
      </c>
      <c r="G1400" s="24">
        <v>2440</v>
      </c>
      <c r="H1400" s="25" t="s">
        <v>17</v>
      </c>
      <c r="I1400" s="25" t="s">
        <v>3547</v>
      </c>
      <c r="J1400" s="26"/>
    </row>
    <row r="1401" spans="1:10" s="41" customFormat="1" ht="30.95" customHeight="1">
      <c r="A1401" s="41">
        <v>2</v>
      </c>
      <c r="C1401" s="22">
        <f t="shared" si="21"/>
        <v>1394</v>
      </c>
      <c r="D1401" s="161" t="s">
        <v>2633</v>
      </c>
      <c r="E1401" s="23" t="s">
        <v>1136</v>
      </c>
      <c r="F1401" s="45" t="s">
        <v>2632</v>
      </c>
      <c r="G1401" s="24">
        <v>1128</v>
      </c>
      <c r="H1401" s="25" t="s">
        <v>1197</v>
      </c>
      <c r="I1401" s="25" t="s">
        <v>25</v>
      </c>
      <c r="J1401" s="26"/>
    </row>
    <row r="1402" spans="1:10" s="41" customFormat="1" ht="30.95" customHeight="1">
      <c r="A1402" s="41">
        <v>3</v>
      </c>
      <c r="C1402" s="22">
        <f t="shared" si="21"/>
        <v>1395</v>
      </c>
      <c r="D1402" s="161" t="s">
        <v>2634</v>
      </c>
      <c r="E1402" s="23" t="s">
        <v>1136</v>
      </c>
      <c r="F1402" s="45" t="s">
        <v>2632</v>
      </c>
      <c r="G1402" s="24">
        <v>3267</v>
      </c>
      <c r="H1402" s="25" t="s">
        <v>1049</v>
      </c>
      <c r="I1402" s="25" t="s">
        <v>2635</v>
      </c>
      <c r="J1402" s="26"/>
    </row>
    <row r="1403" spans="1:10" s="41" customFormat="1" ht="30.95" customHeight="1">
      <c r="A1403" s="41">
        <v>4</v>
      </c>
      <c r="C1403" s="22">
        <f t="shared" si="21"/>
        <v>1396</v>
      </c>
      <c r="D1403" s="161" t="s">
        <v>2636</v>
      </c>
      <c r="E1403" s="23" t="s">
        <v>1136</v>
      </c>
      <c r="F1403" s="45" t="s">
        <v>2632</v>
      </c>
      <c r="G1403" s="24">
        <v>811</v>
      </c>
      <c r="H1403" s="25" t="s">
        <v>2637</v>
      </c>
      <c r="I1403" s="25" t="s">
        <v>2634</v>
      </c>
      <c r="J1403" s="26"/>
    </row>
    <row r="1404" spans="1:10" s="41" customFormat="1" ht="30.95" customHeight="1">
      <c r="A1404" s="41">
        <v>5</v>
      </c>
      <c r="C1404" s="22">
        <f t="shared" si="21"/>
        <v>1397</v>
      </c>
      <c r="D1404" s="161" t="s">
        <v>2638</v>
      </c>
      <c r="E1404" s="23" t="s">
        <v>1136</v>
      </c>
      <c r="F1404" s="45" t="s">
        <v>2632</v>
      </c>
      <c r="G1404" s="24">
        <v>938</v>
      </c>
      <c r="H1404" s="25" t="s">
        <v>2637</v>
      </c>
      <c r="I1404" s="25" t="s">
        <v>2639</v>
      </c>
      <c r="J1404" s="26"/>
    </row>
    <row r="1405" spans="1:10" s="41" customFormat="1" ht="30.95" customHeight="1">
      <c r="A1405" s="41">
        <v>6</v>
      </c>
      <c r="C1405" s="22">
        <f t="shared" si="21"/>
        <v>1398</v>
      </c>
      <c r="D1405" s="161" t="s">
        <v>2640</v>
      </c>
      <c r="E1405" s="23" t="s">
        <v>1136</v>
      </c>
      <c r="F1405" s="45" t="s">
        <v>2632</v>
      </c>
      <c r="G1405" s="24">
        <v>776</v>
      </c>
      <c r="H1405" s="25" t="s">
        <v>2641</v>
      </c>
      <c r="I1405" s="25" t="s">
        <v>2642</v>
      </c>
      <c r="J1405" s="26"/>
    </row>
    <row r="1406" spans="1:10" s="41" customFormat="1" ht="30.95" customHeight="1">
      <c r="A1406" s="41">
        <v>7</v>
      </c>
      <c r="C1406" s="22">
        <f t="shared" si="21"/>
        <v>1399</v>
      </c>
      <c r="D1406" s="161" t="s">
        <v>2643</v>
      </c>
      <c r="E1406" s="23" t="s">
        <v>1136</v>
      </c>
      <c r="F1406" s="45" t="s">
        <v>2632</v>
      </c>
      <c r="G1406" s="24">
        <v>1196</v>
      </c>
      <c r="H1406" s="25" t="s">
        <v>1143</v>
      </c>
      <c r="I1406" s="25" t="s">
        <v>17</v>
      </c>
      <c r="J1406" s="26"/>
    </row>
    <row r="1407" spans="1:10" s="41" customFormat="1" ht="30.95" customHeight="1">
      <c r="A1407" s="41">
        <v>8</v>
      </c>
      <c r="C1407" s="22">
        <f t="shared" si="21"/>
        <v>1400</v>
      </c>
      <c r="D1407" s="161" t="s">
        <v>2644</v>
      </c>
      <c r="E1407" s="23" t="s">
        <v>1136</v>
      </c>
      <c r="F1407" s="45" t="s">
        <v>2632</v>
      </c>
      <c r="G1407" s="24">
        <v>1691</v>
      </c>
      <c r="H1407" s="25" t="s">
        <v>17</v>
      </c>
      <c r="I1407" s="25" t="s">
        <v>2645</v>
      </c>
      <c r="J1407" s="26"/>
    </row>
    <row r="1408" spans="1:10" s="41" customFormat="1" ht="30.95" customHeight="1">
      <c r="A1408" s="41">
        <v>9</v>
      </c>
      <c r="C1408" s="22">
        <f t="shared" si="21"/>
        <v>1401</v>
      </c>
      <c r="D1408" s="161" t="s">
        <v>1122</v>
      </c>
      <c r="E1408" s="23" t="s">
        <v>1136</v>
      </c>
      <c r="F1408" s="45" t="s">
        <v>2632</v>
      </c>
      <c r="G1408" s="24">
        <v>3766</v>
      </c>
      <c r="H1408" s="25" t="s">
        <v>2645</v>
      </c>
      <c r="I1408" s="25" t="s">
        <v>17</v>
      </c>
      <c r="J1408" s="26"/>
    </row>
    <row r="1409" spans="1:10" s="41" customFormat="1" ht="30.95" customHeight="1">
      <c r="A1409" s="41">
        <v>10</v>
      </c>
      <c r="C1409" s="22">
        <f t="shared" si="21"/>
        <v>1402</v>
      </c>
      <c r="D1409" s="161" t="s">
        <v>2646</v>
      </c>
      <c r="E1409" s="23" t="s">
        <v>1136</v>
      </c>
      <c r="F1409" s="45" t="s">
        <v>2632</v>
      </c>
      <c r="G1409" s="24">
        <v>1013</v>
      </c>
      <c r="H1409" s="25" t="s">
        <v>2647</v>
      </c>
      <c r="I1409" s="25" t="s">
        <v>2648</v>
      </c>
      <c r="J1409" s="26"/>
    </row>
    <row r="1410" spans="1:10" s="41" customFormat="1" ht="30.95" customHeight="1">
      <c r="A1410" s="41">
        <v>11</v>
      </c>
      <c r="C1410" s="22">
        <f t="shared" si="21"/>
        <v>1403</v>
      </c>
      <c r="D1410" s="161" t="s">
        <v>2649</v>
      </c>
      <c r="E1410" s="23" t="s">
        <v>1136</v>
      </c>
      <c r="F1410" s="45" t="s">
        <v>2632</v>
      </c>
      <c r="G1410" s="24">
        <v>1728</v>
      </c>
      <c r="H1410" s="25" t="s">
        <v>2647</v>
      </c>
      <c r="I1410" s="25" t="s">
        <v>2650</v>
      </c>
      <c r="J1410" s="26"/>
    </row>
    <row r="1411" spans="1:10" s="41" customFormat="1" ht="30.95" customHeight="1">
      <c r="A1411" s="41">
        <v>12</v>
      </c>
      <c r="C1411" s="22">
        <f t="shared" si="21"/>
        <v>1404</v>
      </c>
      <c r="D1411" s="161" t="s">
        <v>2650</v>
      </c>
      <c r="E1411" s="23" t="s">
        <v>1136</v>
      </c>
      <c r="F1411" s="45" t="s">
        <v>2632</v>
      </c>
      <c r="G1411" s="24">
        <v>1689</v>
      </c>
      <c r="H1411" s="25" t="s">
        <v>2651</v>
      </c>
      <c r="I1411" s="25" t="s">
        <v>2652</v>
      </c>
      <c r="J1411" s="26"/>
    </row>
    <row r="1412" spans="1:10" s="41" customFormat="1" ht="30.95" customHeight="1">
      <c r="A1412" s="41">
        <v>13</v>
      </c>
      <c r="C1412" s="22">
        <f t="shared" si="21"/>
        <v>1405</v>
      </c>
      <c r="D1412" s="161" t="s">
        <v>2653</v>
      </c>
      <c r="E1412" s="23" t="s">
        <v>1136</v>
      </c>
      <c r="F1412" s="45" t="s">
        <v>2632</v>
      </c>
      <c r="G1412" s="24">
        <v>957</v>
      </c>
      <c r="H1412" s="25" t="s">
        <v>2650</v>
      </c>
      <c r="I1412" s="25" t="s">
        <v>2645</v>
      </c>
      <c r="J1412" s="26"/>
    </row>
    <row r="1413" spans="1:10" s="41" customFormat="1" ht="30.95" customHeight="1">
      <c r="A1413" s="41">
        <v>14</v>
      </c>
      <c r="C1413" s="22">
        <f t="shared" si="21"/>
        <v>1406</v>
      </c>
      <c r="D1413" s="161" t="s">
        <v>2654</v>
      </c>
      <c r="E1413" s="23" t="s">
        <v>1136</v>
      </c>
      <c r="F1413" s="45" t="s">
        <v>2632</v>
      </c>
      <c r="G1413" s="24">
        <v>1960</v>
      </c>
      <c r="H1413" s="25" t="s">
        <v>1049</v>
      </c>
      <c r="I1413" s="25" t="s">
        <v>2655</v>
      </c>
      <c r="J1413" s="26"/>
    </row>
    <row r="1414" spans="1:10" s="41" customFormat="1" ht="30.95" customHeight="1">
      <c r="A1414" s="41">
        <v>15</v>
      </c>
      <c r="C1414" s="22">
        <f t="shared" si="21"/>
        <v>1407</v>
      </c>
      <c r="D1414" s="161" t="s">
        <v>2656</v>
      </c>
      <c r="E1414" s="23" t="s">
        <v>1136</v>
      </c>
      <c r="F1414" s="45" t="s">
        <v>2632</v>
      </c>
      <c r="G1414" s="24">
        <v>1002</v>
      </c>
      <c r="H1414" s="25" t="s">
        <v>2657</v>
      </c>
      <c r="I1414" s="25" t="s">
        <v>25</v>
      </c>
      <c r="J1414" s="26"/>
    </row>
    <row r="1415" spans="1:10" s="41" customFormat="1" ht="30.95" customHeight="1">
      <c r="A1415" s="41">
        <v>16</v>
      </c>
      <c r="C1415" s="22">
        <f t="shared" si="21"/>
        <v>1408</v>
      </c>
      <c r="D1415" s="161" t="s">
        <v>3548</v>
      </c>
      <c r="E1415" s="23" t="s">
        <v>1136</v>
      </c>
      <c r="F1415" s="45" t="s">
        <v>2632</v>
      </c>
      <c r="G1415" s="24">
        <v>3417</v>
      </c>
      <c r="H1415" s="25" t="s">
        <v>2658</v>
      </c>
      <c r="I1415" s="25" t="s">
        <v>2659</v>
      </c>
      <c r="J1415" s="26"/>
    </row>
    <row r="1416" spans="1:10" s="41" customFormat="1" ht="30.95" customHeight="1">
      <c r="A1416" s="41">
        <v>17</v>
      </c>
      <c r="C1416" s="22">
        <f t="shared" si="21"/>
        <v>1409</v>
      </c>
      <c r="D1416" s="161" t="s">
        <v>2660</v>
      </c>
      <c r="E1416" s="23" t="s">
        <v>1136</v>
      </c>
      <c r="F1416" s="45" t="s">
        <v>2632</v>
      </c>
      <c r="G1416" s="24">
        <v>1420</v>
      </c>
      <c r="H1416" s="25" t="s">
        <v>2656</v>
      </c>
      <c r="I1416" s="25" t="s">
        <v>2657</v>
      </c>
      <c r="J1416" s="26"/>
    </row>
    <row r="1417" spans="1:10" s="41" customFormat="1" ht="30.95" customHeight="1">
      <c r="A1417" s="41">
        <v>18</v>
      </c>
      <c r="C1417" s="22">
        <f t="shared" si="21"/>
        <v>1410</v>
      </c>
      <c r="D1417" s="161" t="s">
        <v>2661</v>
      </c>
      <c r="E1417" s="23" t="s">
        <v>1136</v>
      </c>
      <c r="F1417" s="45" t="s">
        <v>2632</v>
      </c>
      <c r="G1417" s="24">
        <v>2076</v>
      </c>
      <c r="H1417" s="25" t="s">
        <v>2662</v>
      </c>
      <c r="I1417" s="25" t="s">
        <v>2663</v>
      </c>
      <c r="J1417" s="26"/>
    </row>
    <row r="1418" spans="1:10" s="41" customFormat="1" ht="30.95" customHeight="1">
      <c r="A1418" s="41">
        <v>19</v>
      </c>
      <c r="C1418" s="22">
        <f t="shared" ref="C1418:C1481" si="22">C1417+1</f>
        <v>1411</v>
      </c>
      <c r="D1418" s="161" t="s">
        <v>2664</v>
      </c>
      <c r="E1418" s="23" t="s">
        <v>1136</v>
      </c>
      <c r="F1418" s="45" t="s">
        <v>2632</v>
      </c>
      <c r="G1418" s="24">
        <v>590</v>
      </c>
      <c r="H1418" s="25" t="s">
        <v>2663</v>
      </c>
      <c r="I1418" s="25" t="s">
        <v>2665</v>
      </c>
      <c r="J1418" s="26"/>
    </row>
    <row r="1419" spans="1:10" s="41" customFormat="1" ht="30.95" customHeight="1">
      <c r="A1419" s="41">
        <v>20</v>
      </c>
      <c r="C1419" s="22">
        <f t="shared" si="22"/>
        <v>1412</v>
      </c>
      <c r="D1419" s="161" t="s">
        <v>2666</v>
      </c>
      <c r="E1419" s="23" t="s">
        <v>1136</v>
      </c>
      <c r="F1419" s="45" t="s">
        <v>2632</v>
      </c>
      <c r="G1419" s="24">
        <v>2827</v>
      </c>
      <c r="H1419" s="25" t="s">
        <v>2645</v>
      </c>
      <c r="I1419" s="25" t="s">
        <v>17</v>
      </c>
      <c r="J1419" s="26"/>
    </row>
    <row r="1420" spans="1:10" s="41" customFormat="1" ht="30.95" customHeight="1">
      <c r="A1420" s="41">
        <v>21</v>
      </c>
      <c r="C1420" s="22">
        <f t="shared" si="22"/>
        <v>1413</v>
      </c>
      <c r="D1420" s="161" t="s">
        <v>2667</v>
      </c>
      <c r="E1420" s="23" t="s">
        <v>1136</v>
      </c>
      <c r="F1420" s="45" t="s">
        <v>2632</v>
      </c>
      <c r="G1420" s="24">
        <v>700</v>
      </c>
      <c r="H1420" s="25" t="s">
        <v>2644</v>
      </c>
      <c r="I1420" s="25" t="s">
        <v>2659</v>
      </c>
      <c r="J1420" s="26"/>
    </row>
    <row r="1421" spans="1:10" s="41" customFormat="1" ht="30.95" customHeight="1">
      <c r="A1421" s="41">
        <v>22</v>
      </c>
      <c r="C1421" s="22">
        <f t="shared" si="22"/>
        <v>1414</v>
      </c>
      <c r="D1421" s="161" t="s">
        <v>2668</v>
      </c>
      <c r="E1421" s="23" t="s">
        <v>1136</v>
      </c>
      <c r="F1421" s="45" t="s">
        <v>2632</v>
      </c>
      <c r="G1421" s="24">
        <v>1498</v>
      </c>
      <c r="H1421" s="25" t="s">
        <v>2669</v>
      </c>
      <c r="I1421" s="25" t="s">
        <v>25</v>
      </c>
      <c r="J1421" s="26"/>
    </row>
    <row r="1422" spans="1:10" s="41" customFormat="1" ht="30.95" customHeight="1">
      <c r="A1422" s="41">
        <v>23</v>
      </c>
      <c r="C1422" s="22">
        <f t="shared" si="22"/>
        <v>1415</v>
      </c>
      <c r="D1422" s="161" t="s">
        <v>2670</v>
      </c>
      <c r="E1422" s="23" t="s">
        <v>1136</v>
      </c>
      <c r="F1422" s="45" t="s">
        <v>2632</v>
      </c>
      <c r="G1422" s="24">
        <v>3020</v>
      </c>
      <c r="H1422" s="25" t="s">
        <v>2669</v>
      </c>
      <c r="I1422" s="25" t="s">
        <v>25</v>
      </c>
      <c r="J1422" s="26"/>
    </row>
    <row r="1423" spans="1:10" s="41" customFormat="1" ht="30.95" customHeight="1">
      <c r="A1423" s="41">
        <v>24</v>
      </c>
      <c r="C1423" s="22">
        <f t="shared" si="22"/>
        <v>1416</v>
      </c>
      <c r="D1423" s="161" t="s">
        <v>2671</v>
      </c>
      <c r="E1423" s="23" t="s">
        <v>1136</v>
      </c>
      <c r="F1423" s="45" t="s">
        <v>2632</v>
      </c>
      <c r="G1423" s="24">
        <v>1475</v>
      </c>
      <c r="H1423" s="25" t="s">
        <v>2669</v>
      </c>
      <c r="I1423" s="25" t="s">
        <v>25</v>
      </c>
      <c r="J1423" s="26"/>
    </row>
    <row r="1424" spans="1:10" s="41" customFormat="1" ht="30.95" customHeight="1">
      <c r="A1424" s="41">
        <v>25</v>
      </c>
      <c r="C1424" s="22">
        <f t="shared" si="22"/>
        <v>1417</v>
      </c>
      <c r="D1424" s="161" t="s">
        <v>1047</v>
      </c>
      <c r="E1424" s="23" t="s">
        <v>1136</v>
      </c>
      <c r="F1424" s="45" t="s">
        <v>2632</v>
      </c>
      <c r="G1424" s="24">
        <v>1477</v>
      </c>
      <c r="H1424" s="25" t="s">
        <v>2669</v>
      </c>
      <c r="I1424" s="25" t="s">
        <v>25</v>
      </c>
      <c r="J1424" s="26"/>
    </row>
    <row r="1425" spans="1:10" s="41" customFormat="1" ht="30.95" customHeight="1">
      <c r="A1425" s="41">
        <v>26</v>
      </c>
      <c r="C1425" s="22">
        <f t="shared" si="22"/>
        <v>1418</v>
      </c>
      <c r="D1425" s="161" t="s">
        <v>2672</v>
      </c>
      <c r="E1425" s="23" t="s">
        <v>1136</v>
      </c>
      <c r="F1425" s="45" t="s">
        <v>2632</v>
      </c>
      <c r="G1425" s="24">
        <v>1480</v>
      </c>
      <c r="H1425" s="25" t="s">
        <v>2669</v>
      </c>
      <c r="I1425" s="25" t="s">
        <v>25</v>
      </c>
      <c r="J1425" s="26"/>
    </row>
    <row r="1426" spans="1:10" s="41" customFormat="1" ht="30.95" customHeight="1">
      <c r="A1426" s="41">
        <v>27</v>
      </c>
      <c r="C1426" s="22">
        <f t="shared" si="22"/>
        <v>1419</v>
      </c>
      <c r="D1426" s="161" t="s">
        <v>2673</v>
      </c>
      <c r="E1426" s="23" t="s">
        <v>1136</v>
      </c>
      <c r="F1426" s="45" t="s">
        <v>2632</v>
      </c>
      <c r="G1426" s="24">
        <v>1472</v>
      </c>
      <c r="H1426" s="25" t="s">
        <v>2669</v>
      </c>
      <c r="I1426" s="25" t="s">
        <v>25</v>
      </c>
      <c r="J1426" s="26"/>
    </row>
    <row r="1427" spans="1:10" s="41" customFormat="1" ht="30.95" customHeight="1">
      <c r="A1427" s="41">
        <v>28</v>
      </c>
      <c r="C1427" s="22">
        <f t="shared" si="22"/>
        <v>1420</v>
      </c>
      <c r="D1427" s="161" t="s">
        <v>23</v>
      </c>
      <c r="E1427" s="23" t="s">
        <v>1136</v>
      </c>
      <c r="F1427" s="45" t="s">
        <v>2632</v>
      </c>
      <c r="G1427" s="24">
        <v>1477</v>
      </c>
      <c r="H1427" s="25" t="s">
        <v>2669</v>
      </c>
      <c r="I1427" s="25" t="s">
        <v>25</v>
      </c>
      <c r="J1427" s="26"/>
    </row>
    <row r="1428" spans="1:10" s="41" customFormat="1" ht="30.95" customHeight="1">
      <c r="A1428" s="41">
        <v>29</v>
      </c>
      <c r="C1428" s="22">
        <f t="shared" si="22"/>
        <v>1421</v>
      </c>
      <c r="D1428" s="161" t="s">
        <v>2674</v>
      </c>
      <c r="E1428" s="23" t="s">
        <v>1136</v>
      </c>
      <c r="F1428" s="45" t="s">
        <v>2632</v>
      </c>
      <c r="G1428" s="24">
        <v>1450</v>
      </c>
      <c r="H1428" s="25" t="s">
        <v>2669</v>
      </c>
      <c r="I1428" s="25" t="s">
        <v>25</v>
      </c>
      <c r="J1428" s="26"/>
    </row>
    <row r="1429" spans="1:10" s="41" customFormat="1" ht="30.95" customHeight="1">
      <c r="A1429" s="41">
        <v>30</v>
      </c>
      <c r="C1429" s="22">
        <f t="shared" si="22"/>
        <v>1422</v>
      </c>
      <c r="D1429" s="161" t="s">
        <v>2675</v>
      </c>
      <c r="E1429" s="23" t="s">
        <v>1136</v>
      </c>
      <c r="F1429" s="45" t="s">
        <v>2632</v>
      </c>
      <c r="G1429" s="24">
        <v>1483</v>
      </c>
      <c r="H1429" s="25" t="s">
        <v>2669</v>
      </c>
      <c r="I1429" s="25" t="s">
        <v>25</v>
      </c>
      <c r="J1429" s="26"/>
    </row>
    <row r="1430" spans="1:10" s="41" customFormat="1" ht="30.95" customHeight="1">
      <c r="A1430" s="41">
        <v>31</v>
      </c>
      <c r="C1430" s="22">
        <f t="shared" si="22"/>
        <v>1423</v>
      </c>
      <c r="D1430" s="161" t="s">
        <v>2676</v>
      </c>
      <c r="E1430" s="23" t="s">
        <v>1136</v>
      </c>
      <c r="F1430" s="45" t="s">
        <v>2632</v>
      </c>
      <c r="G1430" s="24">
        <v>1207</v>
      </c>
      <c r="H1430" s="25" t="s">
        <v>2669</v>
      </c>
      <c r="I1430" s="25" t="s">
        <v>25</v>
      </c>
      <c r="J1430" s="26"/>
    </row>
    <row r="1431" spans="1:10" s="41" customFormat="1" ht="30.95" customHeight="1">
      <c r="A1431" s="41">
        <v>32</v>
      </c>
      <c r="C1431" s="22">
        <f t="shared" si="22"/>
        <v>1424</v>
      </c>
      <c r="D1431" s="161" t="s">
        <v>2677</v>
      </c>
      <c r="E1431" s="23" t="s">
        <v>1136</v>
      </c>
      <c r="F1431" s="45" t="s">
        <v>2632</v>
      </c>
      <c r="G1431" s="24">
        <v>1859</v>
      </c>
      <c r="H1431" s="25" t="s">
        <v>2669</v>
      </c>
      <c r="I1431" s="25" t="s">
        <v>25</v>
      </c>
      <c r="J1431" s="26"/>
    </row>
    <row r="1432" spans="1:10" s="41" customFormat="1" ht="30.95" customHeight="1">
      <c r="A1432" s="41">
        <v>33</v>
      </c>
      <c r="C1432" s="22">
        <f t="shared" si="22"/>
        <v>1425</v>
      </c>
      <c r="D1432" s="161" t="s">
        <v>2678</v>
      </c>
      <c r="E1432" s="23" t="s">
        <v>1136</v>
      </c>
      <c r="F1432" s="45" t="s">
        <v>2632</v>
      </c>
      <c r="G1432" s="24">
        <v>402</v>
      </c>
      <c r="H1432" s="25" t="s">
        <v>2669</v>
      </c>
      <c r="I1432" s="25" t="s">
        <v>407</v>
      </c>
      <c r="J1432" s="26"/>
    </row>
    <row r="1433" spans="1:10" s="41" customFormat="1" ht="30.95" customHeight="1">
      <c r="A1433" s="41">
        <v>34</v>
      </c>
      <c r="C1433" s="22">
        <f t="shared" si="22"/>
        <v>1426</v>
      </c>
      <c r="D1433" s="161" t="s">
        <v>2679</v>
      </c>
      <c r="E1433" s="23" t="s">
        <v>1136</v>
      </c>
      <c r="F1433" s="45" t="s">
        <v>2632</v>
      </c>
      <c r="G1433" s="24">
        <v>1051</v>
      </c>
      <c r="H1433" s="25" t="s">
        <v>2669</v>
      </c>
      <c r="I1433" s="25" t="s">
        <v>25</v>
      </c>
      <c r="J1433" s="26"/>
    </row>
    <row r="1434" spans="1:10" s="41" customFormat="1" ht="30.95" customHeight="1">
      <c r="A1434" s="41">
        <v>35</v>
      </c>
      <c r="C1434" s="22">
        <f t="shared" si="22"/>
        <v>1427</v>
      </c>
      <c r="D1434" s="161" t="s">
        <v>2680</v>
      </c>
      <c r="E1434" s="23" t="s">
        <v>1136</v>
      </c>
      <c r="F1434" s="45" t="s">
        <v>2632</v>
      </c>
      <c r="G1434" s="24">
        <v>995</v>
      </c>
      <c r="H1434" s="25" t="s">
        <v>2669</v>
      </c>
      <c r="I1434" s="25" t="s">
        <v>1465</v>
      </c>
      <c r="J1434" s="26"/>
    </row>
    <row r="1435" spans="1:10" s="41" customFormat="1" ht="30.95" customHeight="1">
      <c r="A1435" s="41">
        <v>36</v>
      </c>
      <c r="C1435" s="22">
        <f t="shared" si="22"/>
        <v>1428</v>
      </c>
      <c r="D1435" s="161" t="s">
        <v>2681</v>
      </c>
      <c r="E1435" s="23" t="s">
        <v>1136</v>
      </c>
      <c r="F1435" s="45" t="s">
        <v>2632</v>
      </c>
      <c r="G1435" s="24">
        <v>1292</v>
      </c>
      <c r="H1435" s="25" t="s">
        <v>2669</v>
      </c>
      <c r="I1435" s="25" t="s">
        <v>2652</v>
      </c>
      <c r="J1435" s="26"/>
    </row>
    <row r="1436" spans="1:10" s="41" customFormat="1" ht="30.95" customHeight="1">
      <c r="A1436" s="41">
        <v>37</v>
      </c>
      <c r="C1436" s="22">
        <f t="shared" si="22"/>
        <v>1429</v>
      </c>
      <c r="D1436" s="161" t="s">
        <v>2682</v>
      </c>
      <c r="E1436" s="23" t="s">
        <v>1136</v>
      </c>
      <c r="F1436" s="45" t="s">
        <v>2632</v>
      </c>
      <c r="G1436" s="24">
        <v>1710</v>
      </c>
      <c r="H1436" s="25" t="s">
        <v>1082</v>
      </c>
      <c r="I1436" s="25" t="s">
        <v>2683</v>
      </c>
      <c r="J1436" s="26"/>
    </row>
    <row r="1437" spans="1:10" s="41" customFormat="1" ht="30.95" customHeight="1">
      <c r="A1437" s="41">
        <v>38</v>
      </c>
      <c r="C1437" s="22">
        <f t="shared" si="22"/>
        <v>1430</v>
      </c>
      <c r="D1437" s="161" t="s">
        <v>2684</v>
      </c>
      <c r="E1437" s="23" t="s">
        <v>1136</v>
      </c>
      <c r="F1437" s="45" t="s">
        <v>2632</v>
      </c>
      <c r="G1437" s="24">
        <v>938</v>
      </c>
      <c r="H1437" s="25" t="s">
        <v>2682</v>
      </c>
      <c r="I1437" s="25" t="s">
        <v>2685</v>
      </c>
      <c r="J1437" s="26"/>
    </row>
    <row r="1438" spans="1:10" s="41" customFormat="1" ht="30.95" customHeight="1">
      <c r="A1438" s="41">
        <v>39</v>
      </c>
      <c r="C1438" s="22">
        <f t="shared" si="22"/>
        <v>1431</v>
      </c>
      <c r="D1438" s="161" t="s">
        <v>2686</v>
      </c>
      <c r="E1438" s="23" t="s">
        <v>1136</v>
      </c>
      <c r="F1438" s="45" t="s">
        <v>2632</v>
      </c>
      <c r="G1438" s="24">
        <v>1070</v>
      </c>
      <c r="H1438" s="25" t="s">
        <v>1082</v>
      </c>
      <c r="I1438" s="25" t="s">
        <v>2687</v>
      </c>
      <c r="J1438" s="26"/>
    </row>
    <row r="1439" spans="1:10" s="41" customFormat="1" ht="30.95" customHeight="1">
      <c r="A1439" s="41">
        <v>40</v>
      </c>
      <c r="C1439" s="22">
        <f t="shared" si="22"/>
        <v>1432</v>
      </c>
      <c r="D1439" s="161" t="s">
        <v>2688</v>
      </c>
      <c r="E1439" s="23" t="s">
        <v>1136</v>
      </c>
      <c r="F1439" s="45" t="s">
        <v>2632</v>
      </c>
      <c r="G1439" s="24">
        <v>1112</v>
      </c>
      <c r="H1439" s="25" t="s">
        <v>1082</v>
      </c>
      <c r="I1439" s="25" t="s">
        <v>2689</v>
      </c>
      <c r="J1439" s="26"/>
    </row>
    <row r="1440" spans="1:10" s="41" customFormat="1" ht="30.95" customHeight="1">
      <c r="A1440" s="41">
        <v>41</v>
      </c>
      <c r="C1440" s="22">
        <f t="shared" si="22"/>
        <v>1433</v>
      </c>
      <c r="D1440" s="161" t="s">
        <v>2690</v>
      </c>
      <c r="E1440" s="23" t="s">
        <v>1136</v>
      </c>
      <c r="F1440" s="45" t="s">
        <v>2632</v>
      </c>
      <c r="G1440" s="24">
        <v>593</v>
      </c>
      <c r="H1440" s="25" t="s">
        <v>1082</v>
      </c>
      <c r="I1440" s="25" t="s">
        <v>407</v>
      </c>
      <c r="J1440" s="26"/>
    </row>
    <row r="1441" spans="1:10" s="41" customFormat="1" ht="30.95" customHeight="1">
      <c r="A1441" s="41">
        <v>42</v>
      </c>
      <c r="C1441" s="22">
        <f t="shared" si="22"/>
        <v>1434</v>
      </c>
      <c r="D1441" s="161" t="s">
        <v>18</v>
      </c>
      <c r="E1441" s="23" t="s">
        <v>1136</v>
      </c>
      <c r="F1441" s="45" t="s">
        <v>2632</v>
      </c>
      <c r="G1441" s="24">
        <v>961</v>
      </c>
      <c r="H1441" s="25" t="s">
        <v>1082</v>
      </c>
      <c r="I1441" s="25" t="s">
        <v>2691</v>
      </c>
      <c r="J1441" s="26"/>
    </row>
    <row r="1442" spans="1:10" s="41" customFormat="1" ht="30.95" customHeight="1">
      <c r="A1442" s="41">
        <v>43</v>
      </c>
      <c r="C1442" s="22">
        <f t="shared" si="22"/>
        <v>1435</v>
      </c>
      <c r="D1442" s="161" t="s">
        <v>2692</v>
      </c>
      <c r="E1442" s="23" t="s">
        <v>1136</v>
      </c>
      <c r="F1442" s="45" t="s">
        <v>2632</v>
      </c>
      <c r="G1442" s="24">
        <v>959</v>
      </c>
      <c r="H1442" s="25" t="s">
        <v>2693</v>
      </c>
      <c r="I1442" s="25" t="s">
        <v>25</v>
      </c>
      <c r="J1442" s="26"/>
    </row>
    <row r="1443" spans="1:10" s="41" customFormat="1" ht="30.95" customHeight="1">
      <c r="A1443" s="41">
        <v>44</v>
      </c>
      <c r="C1443" s="22">
        <f t="shared" si="22"/>
        <v>1436</v>
      </c>
      <c r="D1443" s="161" t="s">
        <v>2693</v>
      </c>
      <c r="E1443" s="23" t="s">
        <v>1136</v>
      </c>
      <c r="F1443" s="45" t="s">
        <v>2632</v>
      </c>
      <c r="G1443" s="24">
        <v>2691</v>
      </c>
      <c r="H1443" s="25" t="s">
        <v>2692</v>
      </c>
      <c r="I1443" s="25" t="s">
        <v>25</v>
      </c>
      <c r="J1443" s="26"/>
    </row>
    <row r="1444" spans="1:10" s="41" customFormat="1" ht="30.95" customHeight="1">
      <c r="A1444" s="41">
        <v>45</v>
      </c>
      <c r="C1444" s="22">
        <f t="shared" si="22"/>
        <v>1437</v>
      </c>
      <c r="D1444" s="161" t="s">
        <v>676</v>
      </c>
      <c r="E1444" s="23" t="s">
        <v>1136</v>
      </c>
      <c r="F1444" s="45" t="s">
        <v>2632</v>
      </c>
      <c r="G1444" s="24">
        <v>2325</v>
      </c>
      <c r="H1444" s="25" t="s">
        <v>2694</v>
      </c>
      <c r="I1444" s="25" t="s">
        <v>2695</v>
      </c>
      <c r="J1444" s="26"/>
    </row>
    <row r="1445" spans="1:10" s="41" customFormat="1" ht="30.95" customHeight="1">
      <c r="A1445" s="41">
        <v>46</v>
      </c>
      <c r="C1445" s="22">
        <f t="shared" si="22"/>
        <v>1438</v>
      </c>
      <c r="D1445" s="161" t="s">
        <v>249</v>
      </c>
      <c r="E1445" s="23" t="s">
        <v>1136</v>
      </c>
      <c r="F1445" s="45" t="s">
        <v>2632</v>
      </c>
      <c r="G1445" s="24">
        <v>2292</v>
      </c>
      <c r="H1445" s="25" t="s">
        <v>1082</v>
      </c>
      <c r="I1445" s="25" t="s">
        <v>242</v>
      </c>
      <c r="J1445" s="26"/>
    </row>
    <row r="1446" spans="1:10" s="41" customFormat="1" ht="30.95" customHeight="1">
      <c r="A1446" s="41">
        <v>47</v>
      </c>
      <c r="C1446" s="22">
        <f t="shared" si="22"/>
        <v>1439</v>
      </c>
      <c r="D1446" s="161" t="s">
        <v>2696</v>
      </c>
      <c r="E1446" s="23" t="s">
        <v>1136</v>
      </c>
      <c r="F1446" s="45" t="s">
        <v>2632</v>
      </c>
      <c r="G1446" s="24">
        <v>1126</v>
      </c>
      <c r="H1446" s="25" t="s">
        <v>1170</v>
      </c>
      <c r="I1446" s="25" t="s">
        <v>2697</v>
      </c>
      <c r="J1446" s="26"/>
    </row>
    <row r="1447" spans="1:10" s="41" customFormat="1" ht="30.95" customHeight="1">
      <c r="A1447" s="41">
        <v>48</v>
      </c>
      <c r="C1447" s="22">
        <f t="shared" si="22"/>
        <v>1440</v>
      </c>
      <c r="D1447" s="161" t="s">
        <v>58</v>
      </c>
      <c r="E1447" s="23" t="s">
        <v>1136</v>
      </c>
      <c r="F1447" s="45" t="s">
        <v>2632</v>
      </c>
      <c r="G1447" s="24">
        <v>1439</v>
      </c>
      <c r="H1447" s="25" t="s">
        <v>1170</v>
      </c>
      <c r="I1447" s="25" t="s">
        <v>2697</v>
      </c>
      <c r="J1447" s="26"/>
    </row>
    <row r="1448" spans="1:10" s="41" customFormat="1" ht="30.95" customHeight="1">
      <c r="A1448" s="41">
        <v>49</v>
      </c>
      <c r="C1448" s="22">
        <f t="shared" si="22"/>
        <v>1441</v>
      </c>
      <c r="D1448" s="161" t="s">
        <v>2698</v>
      </c>
      <c r="E1448" s="23" t="s">
        <v>1136</v>
      </c>
      <c r="F1448" s="45" t="s">
        <v>2632</v>
      </c>
      <c r="G1448" s="24">
        <v>845</v>
      </c>
      <c r="H1448" s="25" t="s">
        <v>1170</v>
      </c>
      <c r="I1448" s="25" t="s">
        <v>2697</v>
      </c>
      <c r="J1448" s="26"/>
    </row>
    <row r="1449" spans="1:10" s="41" customFormat="1" ht="30.95" customHeight="1">
      <c r="A1449" s="41">
        <v>50</v>
      </c>
      <c r="C1449" s="22">
        <f t="shared" si="22"/>
        <v>1442</v>
      </c>
      <c r="D1449" s="161" t="s">
        <v>39</v>
      </c>
      <c r="E1449" s="23" t="s">
        <v>1136</v>
      </c>
      <c r="F1449" s="45" t="s">
        <v>2632</v>
      </c>
      <c r="G1449" s="24">
        <v>6396</v>
      </c>
      <c r="H1449" s="25" t="s">
        <v>1462</v>
      </c>
      <c r="I1449" s="25" t="s">
        <v>1463</v>
      </c>
      <c r="J1449" s="26"/>
    </row>
    <row r="1450" spans="1:10" s="41" customFormat="1" ht="30.95" customHeight="1">
      <c r="A1450" s="41">
        <v>51</v>
      </c>
      <c r="C1450" s="22">
        <f t="shared" si="22"/>
        <v>1443</v>
      </c>
      <c r="D1450" s="161" t="s">
        <v>2699</v>
      </c>
      <c r="E1450" s="23" t="s">
        <v>1136</v>
      </c>
      <c r="F1450" s="45" t="s">
        <v>2632</v>
      </c>
      <c r="G1450" s="24">
        <v>1589</v>
      </c>
      <c r="H1450" s="25" t="s">
        <v>2700</v>
      </c>
      <c r="I1450" s="25" t="s">
        <v>407</v>
      </c>
      <c r="J1450" s="26"/>
    </row>
    <row r="1451" spans="1:10" s="41" customFormat="1" ht="30.95" customHeight="1">
      <c r="A1451" s="41">
        <v>52</v>
      </c>
      <c r="C1451" s="22">
        <f t="shared" si="22"/>
        <v>1444</v>
      </c>
      <c r="D1451" s="161" t="s">
        <v>595</v>
      </c>
      <c r="E1451" s="23" t="s">
        <v>1136</v>
      </c>
      <c r="F1451" s="45" t="s">
        <v>2632</v>
      </c>
      <c r="G1451" s="24">
        <v>1584</v>
      </c>
      <c r="H1451" s="25" t="s">
        <v>23</v>
      </c>
      <c r="I1451" s="25" t="s">
        <v>2701</v>
      </c>
      <c r="J1451" s="26"/>
    </row>
    <row r="1452" spans="1:10" s="41" customFormat="1" ht="30.95" customHeight="1">
      <c r="A1452" s="41">
        <v>53</v>
      </c>
      <c r="C1452" s="22">
        <f t="shared" si="22"/>
        <v>1445</v>
      </c>
      <c r="D1452" s="161" t="s">
        <v>2702</v>
      </c>
      <c r="E1452" s="23" t="s">
        <v>1136</v>
      </c>
      <c r="F1452" s="45" t="s">
        <v>2632</v>
      </c>
      <c r="G1452" s="24">
        <v>2613</v>
      </c>
      <c r="H1452" s="25" t="s">
        <v>23</v>
      </c>
      <c r="I1452" s="25" t="s">
        <v>2701</v>
      </c>
      <c r="J1452" s="26"/>
    </row>
    <row r="1453" spans="1:10" s="41" customFormat="1" ht="30.95" customHeight="1">
      <c r="A1453" s="41">
        <v>54</v>
      </c>
      <c r="C1453" s="22">
        <f t="shared" si="22"/>
        <v>1446</v>
      </c>
      <c r="D1453" s="186" t="s">
        <v>2703</v>
      </c>
      <c r="E1453" s="23" t="s">
        <v>1136</v>
      </c>
      <c r="F1453" s="45" t="s">
        <v>2632</v>
      </c>
      <c r="G1453" s="24">
        <v>158</v>
      </c>
      <c r="H1453" s="25" t="s">
        <v>2675</v>
      </c>
      <c r="I1453" s="25" t="s">
        <v>2701</v>
      </c>
      <c r="J1453" s="26"/>
    </row>
    <row r="1454" spans="1:10" s="41" customFormat="1" ht="30.95" customHeight="1">
      <c r="A1454" s="41">
        <v>55</v>
      </c>
      <c r="C1454" s="22">
        <f t="shared" si="22"/>
        <v>1447</v>
      </c>
      <c r="D1454" s="186" t="s">
        <v>2704</v>
      </c>
      <c r="E1454" s="23" t="s">
        <v>1136</v>
      </c>
      <c r="F1454" s="45" t="s">
        <v>2632</v>
      </c>
      <c r="G1454" s="24">
        <v>141</v>
      </c>
      <c r="H1454" s="25" t="s">
        <v>1102</v>
      </c>
      <c r="I1454" s="25" t="s">
        <v>244</v>
      </c>
      <c r="J1454" s="26"/>
    </row>
    <row r="1455" spans="1:10" s="41" customFormat="1" ht="30.95" customHeight="1">
      <c r="A1455" s="41">
        <v>56</v>
      </c>
      <c r="C1455" s="22">
        <f t="shared" si="22"/>
        <v>1448</v>
      </c>
      <c r="D1455" s="186" t="s">
        <v>2705</v>
      </c>
      <c r="E1455" s="23" t="s">
        <v>1136</v>
      </c>
      <c r="F1455" s="45" t="s">
        <v>2632</v>
      </c>
      <c r="G1455" s="24">
        <v>107</v>
      </c>
      <c r="H1455" s="25" t="s">
        <v>1102</v>
      </c>
      <c r="I1455" s="25" t="s">
        <v>244</v>
      </c>
      <c r="J1455" s="26"/>
    </row>
    <row r="1456" spans="1:10" s="41" customFormat="1" ht="30.95" customHeight="1">
      <c r="A1456" s="41">
        <v>57</v>
      </c>
      <c r="C1456" s="22">
        <f t="shared" si="22"/>
        <v>1449</v>
      </c>
      <c r="D1456" s="186" t="s">
        <v>2706</v>
      </c>
      <c r="E1456" s="23" t="s">
        <v>1136</v>
      </c>
      <c r="F1456" s="45" t="s">
        <v>2632</v>
      </c>
      <c r="G1456" s="24">
        <v>189</v>
      </c>
      <c r="H1456" s="25" t="s">
        <v>1102</v>
      </c>
      <c r="I1456" s="25" t="s">
        <v>244</v>
      </c>
      <c r="J1456" s="26"/>
    </row>
    <row r="1457" spans="1:10" s="41" customFormat="1" ht="30.95" customHeight="1">
      <c r="A1457" s="41">
        <v>58</v>
      </c>
      <c r="C1457" s="22">
        <f t="shared" si="22"/>
        <v>1450</v>
      </c>
      <c r="D1457" s="186" t="s">
        <v>2707</v>
      </c>
      <c r="E1457" s="23" t="s">
        <v>1136</v>
      </c>
      <c r="F1457" s="45" t="s">
        <v>2632</v>
      </c>
      <c r="G1457" s="24">
        <v>204</v>
      </c>
      <c r="H1457" s="25" t="s">
        <v>1102</v>
      </c>
      <c r="I1457" s="25" t="s">
        <v>244</v>
      </c>
      <c r="J1457" s="26"/>
    </row>
    <row r="1458" spans="1:10" s="41" customFormat="1" ht="30.95" customHeight="1">
      <c r="A1458" s="41">
        <v>59</v>
      </c>
      <c r="C1458" s="22">
        <f t="shared" si="22"/>
        <v>1451</v>
      </c>
      <c r="D1458" s="186" t="s">
        <v>2645</v>
      </c>
      <c r="E1458" s="23" t="s">
        <v>1136</v>
      </c>
      <c r="F1458" s="45" t="s">
        <v>2632</v>
      </c>
      <c r="G1458" s="24">
        <v>3000</v>
      </c>
      <c r="H1458" s="25" t="s">
        <v>1165</v>
      </c>
      <c r="I1458" s="25" t="s">
        <v>2708</v>
      </c>
      <c r="J1458" s="40"/>
    </row>
    <row r="1459" spans="1:10" s="41" customFormat="1" ht="30.95" customHeight="1">
      <c r="A1459" s="41">
        <v>60</v>
      </c>
      <c r="C1459" s="22">
        <f t="shared" si="22"/>
        <v>1452</v>
      </c>
      <c r="D1459" s="186" t="s">
        <v>2709</v>
      </c>
      <c r="E1459" s="23" t="s">
        <v>1136</v>
      </c>
      <c r="F1459" s="45" t="s">
        <v>2632</v>
      </c>
      <c r="G1459" s="24">
        <v>1400</v>
      </c>
      <c r="H1459" s="25" t="s">
        <v>1086</v>
      </c>
      <c r="I1459" s="25" t="s">
        <v>244</v>
      </c>
      <c r="J1459" s="40"/>
    </row>
    <row r="1460" spans="1:10" s="41" customFormat="1" ht="30.95" customHeight="1">
      <c r="A1460" s="41">
        <v>61</v>
      </c>
      <c r="C1460" s="22">
        <f t="shared" si="22"/>
        <v>1453</v>
      </c>
      <c r="D1460" s="186" t="s">
        <v>2710</v>
      </c>
      <c r="E1460" s="23" t="s">
        <v>1136</v>
      </c>
      <c r="F1460" s="45" t="s">
        <v>2632</v>
      </c>
      <c r="G1460" s="24">
        <v>1200</v>
      </c>
      <c r="H1460" s="25" t="s">
        <v>1086</v>
      </c>
      <c r="I1460" s="25" t="s">
        <v>244</v>
      </c>
      <c r="J1460" s="40"/>
    </row>
    <row r="1461" spans="1:10" s="41" customFormat="1" ht="30.95" customHeight="1">
      <c r="A1461" s="41">
        <v>62</v>
      </c>
      <c r="C1461" s="22">
        <f t="shared" si="22"/>
        <v>1454</v>
      </c>
      <c r="D1461" s="186" t="s">
        <v>2711</v>
      </c>
      <c r="E1461" s="23" t="s">
        <v>1136</v>
      </c>
      <c r="F1461" s="45" t="s">
        <v>2632</v>
      </c>
      <c r="G1461" s="24">
        <v>1200</v>
      </c>
      <c r="H1461" s="25" t="s">
        <v>2712</v>
      </c>
      <c r="I1461" s="25" t="s">
        <v>244</v>
      </c>
      <c r="J1461" s="40"/>
    </row>
    <row r="1462" spans="1:10" s="41" customFormat="1" ht="30.95" customHeight="1">
      <c r="A1462" s="41">
        <v>63</v>
      </c>
      <c r="C1462" s="22">
        <f t="shared" si="22"/>
        <v>1455</v>
      </c>
      <c r="D1462" s="186" t="s">
        <v>2713</v>
      </c>
      <c r="E1462" s="23" t="s">
        <v>1136</v>
      </c>
      <c r="F1462" s="45" t="s">
        <v>2632</v>
      </c>
      <c r="G1462" s="24">
        <v>1400</v>
      </c>
      <c r="H1462" s="25" t="s">
        <v>2712</v>
      </c>
      <c r="I1462" s="25" t="s">
        <v>244</v>
      </c>
      <c r="J1462" s="40"/>
    </row>
    <row r="1463" spans="1:10" s="41" customFormat="1" ht="30.95" customHeight="1">
      <c r="A1463" s="41">
        <v>64</v>
      </c>
      <c r="C1463" s="22">
        <f t="shared" si="22"/>
        <v>1456</v>
      </c>
      <c r="D1463" s="186" t="s">
        <v>2714</v>
      </c>
      <c r="E1463" s="23" t="s">
        <v>1136</v>
      </c>
      <c r="F1463" s="45" t="s">
        <v>2632</v>
      </c>
      <c r="G1463" s="24">
        <v>700</v>
      </c>
      <c r="H1463" s="25" t="s">
        <v>2712</v>
      </c>
      <c r="I1463" s="25" t="s">
        <v>244</v>
      </c>
      <c r="J1463" s="40"/>
    </row>
    <row r="1464" spans="1:10" s="41" customFormat="1" ht="30.95" customHeight="1">
      <c r="A1464" s="41">
        <v>65</v>
      </c>
      <c r="C1464" s="22">
        <f t="shared" si="22"/>
        <v>1457</v>
      </c>
      <c r="D1464" s="186" t="s">
        <v>2715</v>
      </c>
      <c r="E1464" s="23" t="s">
        <v>1136</v>
      </c>
      <c r="F1464" s="45" t="s">
        <v>2632</v>
      </c>
      <c r="G1464" s="24">
        <v>1300</v>
      </c>
      <c r="H1464" s="25" t="s">
        <v>2712</v>
      </c>
      <c r="I1464" s="25" t="s">
        <v>244</v>
      </c>
      <c r="J1464" s="40"/>
    </row>
    <row r="1465" spans="1:10" s="41" customFormat="1" ht="30.95" customHeight="1">
      <c r="A1465" s="41">
        <v>66</v>
      </c>
      <c r="C1465" s="22">
        <f t="shared" si="22"/>
        <v>1458</v>
      </c>
      <c r="D1465" s="186" t="s">
        <v>2716</v>
      </c>
      <c r="E1465" s="23" t="s">
        <v>1136</v>
      </c>
      <c r="F1465" s="45" t="s">
        <v>2632</v>
      </c>
      <c r="G1465" s="24">
        <v>2300</v>
      </c>
      <c r="H1465" s="25" t="s">
        <v>2712</v>
      </c>
      <c r="I1465" s="25" t="s">
        <v>244</v>
      </c>
      <c r="J1465" s="40"/>
    </row>
    <row r="1466" spans="1:10" s="41" customFormat="1" ht="30.95" customHeight="1">
      <c r="A1466" s="41">
        <v>67</v>
      </c>
      <c r="C1466" s="22">
        <f t="shared" si="22"/>
        <v>1459</v>
      </c>
      <c r="D1466" s="186" t="s">
        <v>2717</v>
      </c>
      <c r="E1466" s="23" t="s">
        <v>1136</v>
      </c>
      <c r="F1466" s="45" t="s">
        <v>2632</v>
      </c>
      <c r="G1466" s="24">
        <v>1800</v>
      </c>
      <c r="H1466" s="25" t="s">
        <v>2712</v>
      </c>
      <c r="I1466" s="25" t="s">
        <v>244</v>
      </c>
      <c r="J1466" s="40"/>
    </row>
    <row r="1467" spans="1:10" s="41" customFormat="1" ht="30.95" customHeight="1">
      <c r="A1467" s="41">
        <v>68</v>
      </c>
      <c r="C1467" s="22">
        <f t="shared" si="22"/>
        <v>1460</v>
      </c>
      <c r="D1467" s="186" t="s">
        <v>2718</v>
      </c>
      <c r="E1467" s="23" t="s">
        <v>1136</v>
      </c>
      <c r="F1467" s="45" t="s">
        <v>2632</v>
      </c>
      <c r="G1467" s="24">
        <v>2900</v>
      </c>
      <c r="H1467" s="25" t="s">
        <v>2712</v>
      </c>
      <c r="I1467" s="25" t="s">
        <v>244</v>
      </c>
      <c r="J1467" s="40"/>
    </row>
    <row r="1468" spans="1:10" s="41" customFormat="1" ht="30.95" customHeight="1">
      <c r="A1468" s="41">
        <v>69</v>
      </c>
      <c r="C1468" s="22">
        <f t="shared" si="22"/>
        <v>1461</v>
      </c>
      <c r="D1468" s="186" t="s">
        <v>2719</v>
      </c>
      <c r="E1468" s="23" t="s">
        <v>1136</v>
      </c>
      <c r="F1468" s="45" t="s">
        <v>2632</v>
      </c>
      <c r="G1468" s="24">
        <v>4800</v>
      </c>
      <c r="H1468" s="25" t="s">
        <v>2720</v>
      </c>
      <c r="I1468" s="25" t="s">
        <v>244</v>
      </c>
      <c r="J1468" s="40"/>
    </row>
    <row r="1469" spans="1:10" s="41" customFormat="1" ht="30.95" customHeight="1">
      <c r="A1469" s="41">
        <v>70</v>
      </c>
      <c r="C1469" s="22">
        <f t="shared" si="22"/>
        <v>1462</v>
      </c>
      <c r="D1469" s="186" t="s">
        <v>839</v>
      </c>
      <c r="E1469" s="23" t="s">
        <v>1136</v>
      </c>
      <c r="F1469" s="45" t="s">
        <v>2632</v>
      </c>
      <c r="G1469" s="24">
        <v>2600</v>
      </c>
      <c r="H1469" s="25" t="s">
        <v>2720</v>
      </c>
      <c r="I1469" s="25" t="s">
        <v>2721</v>
      </c>
      <c r="J1469" s="40"/>
    </row>
    <row r="1470" spans="1:10" s="41" customFormat="1" ht="30.95" customHeight="1">
      <c r="A1470" s="41">
        <v>71</v>
      </c>
      <c r="C1470" s="22">
        <f t="shared" si="22"/>
        <v>1463</v>
      </c>
      <c r="D1470" s="186" t="s">
        <v>2722</v>
      </c>
      <c r="E1470" s="23" t="s">
        <v>1136</v>
      </c>
      <c r="F1470" s="45" t="s">
        <v>2632</v>
      </c>
      <c r="G1470" s="24">
        <v>2600</v>
      </c>
      <c r="H1470" s="25" t="s">
        <v>246</v>
      </c>
      <c r="I1470" s="25" t="s">
        <v>244</v>
      </c>
      <c r="J1470" s="40"/>
    </row>
    <row r="1471" spans="1:10" s="41" customFormat="1" ht="30.95" customHeight="1">
      <c r="A1471" s="41">
        <v>72</v>
      </c>
      <c r="C1471" s="22">
        <f t="shared" si="22"/>
        <v>1464</v>
      </c>
      <c r="D1471" s="186" t="s">
        <v>2723</v>
      </c>
      <c r="E1471" s="23" t="s">
        <v>1136</v>
      </c>
      <c r="F1471" s="45" t="s">
        <v>2632</v>
      </c>
      <c r="G1471" s="24">
        <v>1300</v>
      </c>
      <c r="H1471" s="25" t="s">
        <v>247</v>
      </c>
      <c r="I1471" s="25" t="s">
        <v>244</v>
      </c>
      <c r="J1471" s="40"/>
    </row>
    <row r="1472" spans="1:10" s="41" customFormat="1" ht="30.95" customHeight="1">
      <c r="A1472" s="41">
        <v>73</v>
      </c>
      <c r="C1472" s="22">
        <f t="shared" si="22"/>
        <v>1465</v>
      </c>
      <c r="D1472" s="186" t="s">
        <v>2724</v>
      </c>
      <c r="E1472" s="23" t="s">
        <v>1136</v>
      </c>
      <c r="F1472" s="45" t="s">
        <v>2632</v>
      </c>
      <c r="G1472" s="24">
        <v>1700</v>
      </c>
      <c r="H1472" s="25" t="s">
        <v>1086</v>
      </c>
      <c r="I1472" s="25" t="s">
        <v>244</v>
      </c>
      <c r="J1472" s="40"/>
    </row>
    <row r="1473" spans="1:10" s="41" customFormat="1" ht="30.95" customHeight="1">
      <c r="A1473" s="41">
        <v>74</v>
      </c>
      <c r="C1473" s="22">
        <f t="shared" si="22"/>
        <v>1466</v>
      </c>
      <c r="D1473" s="186" t="s">
        <v>43</v>
      </c>
      <c r="E1473" s="23" t="s">
        <v>1136</v>
      </c>
      <c r="F1473" s="45" t="s">
        <v>2632</v>
      </c>
      <c r="G1473" s="24">
        <v>1600</v>
      </c>
      <c r="H1473" s="25" t="s">
        <v>2725</v>
      </c>
      <c r="I1473" s="25" t="s">
        <v>244</v>
      </c>
      <c r="J1473" s="40"/>
    </row>
    <row r="1474" spans="1:10" s="41" customFormat="1" ht="30.95" customHeight="1">
      <c r="A1474" s="41">
        <v>75</v>
      </c>
      <c r="C1474" s="22">
        <f t="shared" si="22"/>
        <v>1467</v>
      </c>
      <c r="D1474" s="186" t="s">
        <v>2726</v>
      </c>
      <c r="E1474" s="23" t="s">
        <v>1136</v>
      </c>
      <c r="F1474" s="45" t="s">
        <v>2632</v>
      </c>
      <c r="G1474" s="24">
        <v>1600</v>
      </c>
      <c r="H1474" s="25" t="s">
        <v>2712</v>
      </c>
      <c r="I1474" s="25" t="s">
        <v>244</v>
      </c>
      <c r="J1474" s="40"/>
    </row>
    <row r="1475" spans="1:10" s="41" customFormat="1" ht="30.95" customHeight="1">
      <c r="A1475" s="41">
        <v>76</v>
      </c>
      <c r="C1475" s="22">
        <f t="shared" si="22"/>
        <v>1468</v>
      </c>
      <c r="D1475" s="186" t="s">
        <v>2727</v>
      </c>
      <c r="E1475" s="23" t="s">
        <v>1136</v>
      </c>
      <c r="F1475" s="45" t="s">
        <v>2632</v>
      </c>
      <c r="G1475" s="24">
        <v>1100</v>
      </c>
      <c r="H1475" s="25" t="s">
        <v>2712</v>
      </c>
      <c r="I1475" s="25" t="s">
        <v>244</v>
      </c>
      <c r="J1475" s="40"/>
    </row>
    <row r="1476" spans="1:10" s="41" customFormat="1" ht="30.95" customHeight="1">
      <c r="A1476" s="41">
        <v>77</v>
      </c>
      <c r="C1476" s="22">
        <f t="shared" si="22"/>
        <v>1469</v>
      </c>
      <c r="D1476" s="186" t="s">
        <v>2728</v>
      </c>
      <c r="E1476" s="23" t="s">
        <v>1136</v>
      </c>
      <c r="F1476" s="45" t="s">
        <v>2632</v>
      </c>
      <c r="G1476" s="24">
        <v>1600</v>
      </c>
      <c r="H1476" s="25" t="s">
        <v>2712</v>
      </c>
      <c r="I1476" s="25" t="s">
        <v>244</v>
      </c>
      <c r="J1476" s="40"/>
    </row>
    <row r="1477" spans="1:10" s="41" customFormat="1" ht="30.95" customHeight="1">
      <c r="A1477" s="41">
        <v>78</v>
      </c>
      <c r="C1477" s="22">
        <f t="shared" si="22"/>
        <v>1470</v>
      </c>
      <c r="D1477" s="186" t="s">
        <v>2729</v>
      </c>
      <c r="E1477" s="23" t="s">
        <v>1136</v>
      </c>
      <c r="F1477" s="45" t="s">
        <v>2632</v>
      </c>
      <c r="G1477" s="24">
        <v>2300</v>
      </c>
      <c r="H1477" s="25" t="s">
        <v>2730</v>
      </c>
      <c r="I1477" s="25" t="s">
        <v>244</v>
      </c>
      <c r="J1477" s="40"/>
    </row>
    <row r="1478" spans="1:10" s="41" customFormat="1" ht="30.95" customHeight="1">
      <c r="A1478" s="41">
        <v>79</v>
      </c>
      <c r="C1478" s="22">
        <f t="shared" si="22"/>
        <v>1471</v>
      </c>
      <c r="D1478" s="186" t="s">
        <v>2471</v>
      </c>
      <c r="E1478" s="23" t="s">
        <v>1136</v>
      </c>
      <c r="F1478" s="45" t="s">
        <v>2632</v>
      </c>
      <c r="G1478" s="24">
        <v>600</v>
      </c>
      <c r="H1478" s="25" t="s">
        <v>247</v>
      </c>
      <c r="I1478" s="25" t="s">
        <v>244</v>
      </c>
      <c r="J1478" s="40"/>
    </row>
    <row r="1479" spans="1:10" s="41" customFormat="1" ht="30.95" customHeight="1">
      <c r="A1479" s="41">
        <v>80</v>
      </c>
      <c r="C1479" s="22">
        <f t="shared" si="22"/>
        <v>1472</v>
      </c>
      <c r="D1479" s="186" t="s">
        <v>2731</v>
      </c>
      <c r="E1479" s="23" t="s">
        <v>1136</v>
      </c>
      <c r="F1479" s="45" t="s">
        <v>2632</v>
      </c>
      <c r="G1479" s="24">
        <v>900</v>
      </c>
      <c r="H1479" s="25" t="s">
        <v>2721</v>
      </c>
      <c r="I1479" s="25" t="s">
        <v>244</v>
      </c>
      <c r="J1479" s="40"/>
    </row>
    <row r="1480" spans="1:10" s="41" customFormat="1" ht="30.95" customHeight="1">
      <c r="A1480" s="41">
        <v>81</v>
      </c>
      <c r="C1480" s="22">
        <f t="shared" si="22"/>
        <v>1473</v>
      </c>
      <c r="D1480" s="186" t="s">
        <v>2732</v>
      </c>
      <c r="E1480" s="23" t="s">
        <v>1136</v>
      </c>
      <c r="F1480" s="45" t="s">
        <v>2632</v>
      </c>
      <c r="G1480" s="24">
        <v>1800</v>
      </c>
      <c r="H1480" s="25" t="s">
        <v>2721</v>
      </c>
      <c r="I1480" s="25" t="s">
        <v>244</v>
      </c>
      <c r="J1480" s="40"/>
    </row>
    <row r="1481" spans="1:10" s="41" customFormat="1" ht="30.95" customHeight="1">
      <c r="A1481" s="41">
        <v>82</v>
      </c>
      <c r="C1481" s="22">
        <f t="shared" si="22"/>
        <v>1474</v>
      </c>
      <c r="D1481" s="186" t="s">
        <v>2733</v>
      </c>
      <c r="E1481" s="23" t="s">
        <v>1136</v>
      </c>
      <c r="F1481" s="45" t="s">
        <v>2632</v>
      </c>
      <c r="G1481" s="24">
        <v>2100</v>
      </c>
      <c r="H1481" s="25" t="s">
        <v>245</v>
      </c>
      <c r="I1481" s="25" t="s">
        <v>244</v>
      </c>
      <c r="J1481" s="40"/>
    </row>
    <row r="1482" spans="1:10" s="41" customFormat="1" ht="30.95" customHeight="1">
      <c r="A1482" s="41">
        <v>83</v>
      </c>
      <c r="C1482" s="22">
        <f t="shared" ref="C1482:C1545" si="23">C1481+1</f>
        <v>1475</v>
      </c>
      <c r="D1482" s="186" t="s">
        <v>1399</v>
      </c>
      <c r="E1482" s="23" t="s">
        <v>1136</v>
      </c>
      <c r="F1482" s="45" t="s">
        <v>2632</v>
      </c>
      <c r="G1482" s="24">
        <v>2400</v>
      </c>
      <c r="H1482" s="25" t="s">
        <v>245</v>
      </c>
      <c r="I1482" s="25" t="s">
        <v>244</v>
      </c>
      <c r="J1482" s="40"/>
    </row>
    <row r="1483" spans="1:10" s="41" customFormat="1" ht="30.95" customHeight="1">
      <c r="A1483" s="41">
        <v>84</v>
      </c>
      <c r="C1483" s="22">
        <f t="shared" si="23"/>
        <v>1476</v>
      </c>
      <c r="D1483" s="186" t="s">
        <v>1411</v>
      </c>
      <c r="E1483" s="23" t="s">
        <v>1136</v>
      </c>
      <c r="F1483" s="45" t="s">
        <v>2632</v>
      </c>
      <c r="G1483" s="24">
        <v>2800</v>
      </c>
      <c r="H1483" s="25" t="s">
        <v>245</v>
      </c>
      <c r="I1483" s="25" t="s">
        <v>244</v>
      </c>
      <c r="J1483" s="40"/>
    </row>
    <row r="1484" spans="1:10" s="41" customFormat="1" ht="30.95" customHeight="1">
      <c r="A1484" s="41">
        <v>85</v>
      </c>
      <c r="C1484" s="22">
        <f t="shared" si="23"/>
        <v>1477</v>
      </c>
      <c r="D1484" s="186" t="s">
        <v>1416</v>
      </c>
      <c r="E1484" s="23" t="s">
        <v>1136</v>
      </c>
      <c r="F1484" s="45" t="s">
        <v>2632</v>
      </c>
      <c r="G1484" s="24">
        <v>2300</v>
      </c>
      <c r="H1484" s="25" t="s">
        <v>245</v>
      </c>
      <c r="I1484" s="25" t="s">
        <v>244</v>
      </c>
      <c r="J1484" s="40"/>
    </row>
    <row r="1485" spans="1:10" s="41" customFormat="1" ht="30.95" customHeight="1">
      <c r="A1485" s="41">
        <v>86</v>
      </c>
      <c r="C1485" s="22">
        <f t="shared" si="23"/>
        <v>1478</v>
      </c>
      <c r="D1485" s="186" t="s">
        <v>1246</v>
      </c>
      <c r="E1485" s="23" t="s">
        <v>1136</v>
      </c>
      <c r="F1485" s="45" t="s">
        <v>2632</v>
      </c>
      <c r="G1485" s="24">
        <v>950</v>
      </c>
      <c r="H1485" s="25" t="s">
        <v>246</v>
      </c>
      <c r="I1485" s="25" t="s">
        <v>244</v>
      </c>
      <c r="J1485" s="40"/>
    </row>
    <row r="1486" spans="1:10" s="41" customFormat="1" ht="30.95" customHeight="1">
      <c r="A1486" s="41">
        <v>87</v>
      </c>
      <c r="C1486" s="22">
        <f t="shared" si="23"/>
        <v>1479</v>
      </c>
      <c r="D1486" s="186" t="s">
        <v>1255</v>
      </c>
      <c r="E1486" s="23" t="s">
        <v>1136</v>
      </c>
      <c r="F1486" s="45" t="s">
        <v>2632</v>
      </c>
      <c r="G1486" s="24">
        <v>1450</v>
      </c>
      <c r="H1486" s="25" t="s">
        <v>246</v>
      </c>
      <c r="I1486" s="25" t="s">
        <v>244</v>
      </c>
      <c r="J1486" s="40"/>
    </row>
    <row r="1487" spans="1:10" s="41" customFormat="1" ht="30.95" customHeight="1">
      <c r="A1487" s="41">
        <v>88</v>
      </c>
      <c r="C1487" s="22">
        <f t="shared" si="23"/>
        <v>1480</v>
      </c>
      <c r="D1487" s="186" t="s">
        <v>1272</v>
      </c>
      <c r="E1487" s="23" t="s">
        <v>1136</v>
      </c>
      <c r="F1487" s="45" t="s">
        <v>2632</v>
      </c>
      <c r="G1487" s="24">
        <v>1100</v>
      </c>
      <c r="H1487" s="25" t="s">
        <v>246</v>
      </c>
      <c r="I1487" s="25" t="s">
        <v>244</v>
      </c>
      <c r="J1487" s="40"/>
    </row>
    <row r="1488" spans="1:10" s="41" customFormat="1" ht="30.95" customHeight="1">
      <c r="A1488" s="41">
        <v>89</v>
      </c>
      <c r="C1488" s="22">
        <f t="shared" si="23"/>
        <v>1481</v>
      </c>
      <c r="D1488" s="186" t="s">
        <v>1289</v>
      </c>
      <c r="E1488" s="23" t="s">
        <v>1136</v>
      </c>
      <c r="F1488" s="45" t="s">
        <v>2632</v>
      </c>
      <c r="G1488" s="24">
        <v>650</v>
      </c>
      <c r="H1488" s="25" t="s">
        <v>246</v>
      </c>
      <c r="I1488" s="25" t="s">
        <v>244</v>
      </c>
      <c r="J1488" s="40"/>
    </row>
    <row r="1489" spans="1:10" s="41" customFormat="1" ht="30.95" customHeight="1">
      <c r="A1489" s="41">
        <v>90</v>
      </c>
      <c r="C1489" s="22">
        <f t="shared" si="23"/>
        <v>1482</v>
      </c>
      <c r="D1489" s="186" t="s">
        <v>1306</v>
      </c>
      <c r="E1489" s="23" t="s">
        <v>1136</v>
      </c>
      <c r="F1489" s="45" t="s">
        <v>2632</v>
      </c>
      <c r="G1489" s="24">
        <v>1200</v>
      </c>
      <c r="H1489" s="25" t="s">
        <v>246</v>
      </c>
      <c r="I1489" s="25" t="s">
        <v>244</v>
      </c>
      <c r="J1489" s="40"/>
    </row>
    <row r="1490" spans="1:10" s="41" customFormat="1" ht="30.95" customHeight="1">
      <c r="A1490" s="41">
        <v>91</v>
      </c>
      <c r="C1490" s="22">
        <f t="shared" si="23"/>
        <v>1483</v>
      </c>
      <c r="D1490" s="186" t="s">
        <v>1323</v>
      </c>
      <c r="E1490" s="23" t="s">
        <v>1136</v>
      </c>
      <c r="F1490" s="45" t="s">
        <v>2632</v>
      </c>
      <c r="G1490" s="24">
        <v>900</v>
      </c>
      <c r="H1490" s="25" t="s">
        <v>246</v>
      </c>
      <c r="I1490" s="25" t="s">
        <v>244</v>
      </c>
      <c r="J1490" s="40"/>
    </row>
    <row r="1491" spans="1:10" s="41" customFormat="1" ht="30.95" customHeight="1">
      <c r="A1491" s="41">
        <v>92</v>
      </c>
      <c r="C1491" s="22">
        <f t="shared" si="23"/>
        <v>1484</v>
      </c>
      <c r="D1491" s="186" t="s">
        <v>1340</v>
      </c>
      <c r="E1491" s="23" t="s">
        <v>1136</v>
      </c>
      <c r="F1491" s="45" t="s">
        <v>2632</v>
      </c>
      <c r="G1491" s="24">
        <v>650</v>
      </c>
      <c r="H1491" s="25" t="s">
        <v>246</v>
      </c>
      <c r="I1491" s="25" t="s">
        <v>244</v>
      </c>
      <c r="J1491" s="40"/>
    </row>
    <row r="1492" spans="1:10" s="41" customFormat="1" ht="30.95" customHeight="1">
      <c r="A1492" s="41">
        <v>93</v>
      </c>
      <c r="C1492" s="22">
        <f t="shared" si="23"/>
        <v>1485</v>
      </c>
      <c r="D1492" s="186" t="s">
        <v>1534</v>
      </c>
      <c r="E1492" s="23" t="s">
        <v>1136</v>
      </c>
      <c r="F1492" s="45" t="s">
        <v>2632</v>
      </c>
      <c r="G1492" s="24">
        <v>1900</v>
      </c>
      <c r="H1492" s="25" t="s">
        <v>246</v>
      </c>
      <c r="I1492" s="25" t="s">
        <v>244</v>
      </c>
      <c r="J1492" s="40"/>
    </row>
    <row r="1493" spans="1:10" s="41" customFormat="1" ht="30.95" customHeight="1">
      <c r="A1493" s="41">
        <v>94</v>
      </c>
      <c r="C1493" s="22">
        <f t="shared" si="23"/>
        <v>1486</v>
      </c>
      <c r="D1493" s="186" t="s">
        <v>1551</v>
      </c>
      <c r="E1493" s="23" t="s">
        <v>1136</v>
      </c>
      <c r="F1493" s="45" t="s">
        <v>2632</v>
      </c>
      <c r="G1493" s="24">
        <v>1800</v>
      </c>
      <c r="H1493" s="25" t="s">
        <v>246</v>
      </c>
      <c r="I1493" s="25" t="s">
        <v>244</v>
      </c>
      <c r="J1493" s="40"/>
    </row>
    <row r="1494" spans="1:10" s="41" customFormat="1" ht="30.95" customHeight="1">
      <c r="A1494" s="41">
        <v>95</v>
      </c>
      <c r="C1494" s="22">
        <f t="shared" si="23"/>
        <v>1487</v>
      </c>
      <c r="D1494" s="186" t="s">
        <v>3766</v>
      </c>
      <c r="E1494" s="23" t="s">
        <v>1136</v>
      </c>
      <c r="F1494" s="45" t="s">
        <v>2632</v>
      </c>
      <c r="G1494" s="24">
        <v>2050</v>
      </c>
      <c r="H1494" s="25" t="s">
        <v>246</v>
      </c>
      <c r="I1494" s="25" t="s">
        <v>244</v>
      </c>
      <c r="J1494" s="40"/>
    </row>
    <row r="1495" spans="1:10" s="41" customFormat="1" ht="30.95" customHeight="1">
      <c r="A1495" s="41">
        <v>96</v>
      </c>
      <c r="C1495" s="22">
        <f t="shared" si="23"/>
        <v>1488</v>
      </c>
      <c r="D1495" s="186" t="s">
        <v>2734</v>
      </c>
      <c r="E1495" s="23" t="s">
        <v>1136</v>
      </c>
      <c r="F1495" s="45" t="s">
        <v>2632</v>
      </c>
      <c r="G1495" s="24">
        <v>1500</v>
      </c>
      <c r="H1495" s="25" t="s">
        <v>2735</v>
      </c>
      <c r="I1495" s="25" t="s">
        <v>244</v>
      </c>
      <c r="J1495" s="40"/>
    </row>
    <row r="1496" spans="1:10" s="41" customFormat="1" ht="30.95" customHeight="1">
      <c r="A1496" s="41">
        <v>97</v>
      </c>
      <c r="C1496" s="22">
        <f t="shared" si="23"/>
        <v>1489</v>
      </c>
      <c r="D1496" s="186" t="s">
        <v>2736</v>
      </c>
      <c r="E1496" s="23" t="s">
        <v>1136</v>
      </c>
      <c r="F1496" s="45" t="s">
        <v>2632</v>
      </c>
      <c r="G1496" s="24">
        <v>1350</v>
      </c>
      <c r="H1496" s="25" t="s">
        <v>2735</v>
      </c>
      <c r="I1496" s="25" t="s">
        <v>244</v>
      </c>
      <c r="J1496" s="40"/>
    </row>
    <row r="1497" spans="1:10" s="41" customFormat="1" ht="30.95" customHeight="1">
      <c r="A1497" s="41">
        <v>98</v>
      </c>
      <c r="C1497" s="22">
        <f t="shared" si="23"/>
        <v>1490</v>
      </c>
      <c r="D1497" s="186" t="s">
        <v>2737</v>
      </c>
      <c r="E1497" s="23" t="s">
        <v>1136</v>
      </c>
      <c r="F1497" s="45" t="s">
        <v>2632</v>
      </c>
      <c r="G1497" s="24">
        <v>1250</v>
      </c>
      <c r="H1497" s="25" t="s">
        <v>2735</v>
      </c>
      <c r="I1497" s="25" t="s">
        <v>244</v>
      </c>
      <c r="J1497" s="40"/>
    </row>
    <row r="1498" spans="1:10" s="41" customFormat="1" ht="30.95" customHeight="1">
      <c r="A1498" s="46">
        <v>99</v>
      </c>
      <c r="B1498" s="47">
        <f>SUM(G1400:G1498)</f>
        <v>163245</v>
      </c>
      <c r="C1498" s="22">
        <f t="shared" si="23"/>
        <v>1491</v>
      </c>
      <c r="D1498" s="186" t="s">
        <v>2669</v>
      </c>
      <c r="E1498" s="23" t="s">
        <v>1136</v>
      </c>
      <c r="F1498" s="45" t="s">
        <v>2632</v>
      </c>
      <c r="G1498" s="24">
        <v>7123</v>
      </c>
      <c r="H1498" s="25" t="s">
        <v>1163</v>
      </c>
      <c r="I1498" s="25" t="s">
        <v>2738</v>
      </c>
      <c r="J1498" s="43"/>
    </row>
    <row r="1499" spans="1:10" s="41" customFormat="1" ht="30.95" customHeight="1">
      <c r="A1499" s="41">
        <v>1</v>
      </c>
      <c r="C1499" s="22">
        <f t="shared" si="23"/>
        <v>1492</v>
      </c>
      <c r="D1499" s="161" t="s">
        <v>2739</v>
      </c>
      <c r="E1499" s="23" t="s">
        <v>1136</v>
      </c>
      <c r="F1499" s="45" t="s">
        <v>2740</v>
      </c>
      <c r="G1499" s="29">
        <v>11031</v>
      </c>
      <c r="H1499" s="25" t="s">
        <v>433</v>
      </c>
      <c r="I1499" s="25" t="s">
        <v>2404</v>
      </c>
      <c r="J1499" s="26"/>
    </row>
    <row r="1500" spans="1:10" s="41" customFormat="1" ht="30.95" customHeight="1">
      <c r="A1500" s="41">
        <v>2</v>
      </c>
      <c r="C1500" s="22">
        <f t="shared" si="23"/>
        <v>1493</v>
      </c>
      <c r="D1500" s="161" t="s">
        <v>2741</v>
      </c>
      <c r="E1500" s="23" t="s">
        <v>1136</v>
      </c>
      <c r="F1500" s="45" t="s">
        <v>2740</v>
      </c>
      <c r="G1500" s="29">
        <v>4700</v>
      </c>
      <c r="H1500" s="25" t="s">
        <v>643</v>
      </c>
      <c r="I1500" s="25" t="s">
        <v>1113</v>
      </c>
      <c r="J1500" s="26"/>
    </row>
    <row r="1501" spans="1:10" s="41" customFormat="1" ht="30.95" customHeight="1">
      <c r="A1501" s="41">
        <v>3</v>
      </c>
      <c r="C1501" s="22">
        <f t="shared" si="23"/>
        <v>1494</v>
      </c>
      <c r="D1501" s="161" t="s">
        <v>3813</v>
      </c>
      <c r="E1501" s="23" t="s">
        <v>1136</v>
      </c>
      <c r="F1501" s="45" t="s">
        <v>2740</v>
      </c>
      <c r="G1501" s="24">
        <v>1800</v>
      </c>
      <c r="H1501" s="25" t="s">
        <v>2341</v>
      </c>
      <c r="I1501" s="25" t="s">
        <v>2742</v>
      </c>
      <c r="J1501" s="26"/>
    </row>
    <row r="1502" spans="1:10" s="159" customFormat="1" ht="30.95" customHeight="1">
      <c r="A1502" s="159">
        <v>4</v>
      </c>
      <c r="C1502" s="160">
        <f t="shared" si="23"/>
        <v>1495</v>
      </c>
      <c r="D1502" s="161" t="s">
        <v>2442</v>
      </c>
      <c r="E1502" s="162" t="s">
        <v>1136</v>
      </c>
      <c r="F1502" s="150" t="s">
        <v>2740</v>
      </c>
      <c r="G1502" s="163">
        <v>6000</v>
      </c>
      <c r="H1502" s="164" t="s">
        <v>2743</v>
      </c>
      <c r="I1502" s="164" t="s">
        <v>2444</v>
      </c>
      <c r="J1502" s="165" t="s">
        <v>3781</v>
      </c>
    </row>
    <row r="1503" spans="1:10" s="159" customFormat="1" ht="30.95" customHeight="1">
      <c r="A1503" s="159">
        <v>5</v>
      </c>
      <c r="C1503" s="160">
        <f t="shared" si="23"/>
        <v>1496</v>
      </c>
      <c r="D1503" s="166" t="s">
        <v>3814</v>
      </c>
      <c r="E1503" s="162" t="s">
        <v>1136</v>
      </c>
      <c r="F1503" s="150" t="s">
        <v>2740</v>
      </c>
      <c r="G1503" s="163">
        <v>3470</v>
      </c>
      <c r="H1503" s="164" t="s">
        <v>433</v>
      </c>
      <c r="I1503" s="164" t="s">
        <v>2744</v>
      </c>
      <c r="J1503" s="165"/>
    </row>
    <row r="1504" spans="1:10" s="159" customFormat="1" ht="30.95" customHeight="1">
      <c r="A1504" s="159">
        <v>6</v>
      </c>
      <c r="C1504" s="160">
        <f t="shared" si="23"/>
        <v>1497</v>
      </c>
      <c r="D1504" s="166" t="s">
        <v>2745</v>
      </c>
      <c r="E1504" s="162" t="s">
        <v>1136</v>
      </c>
      <c r="F1504" s="150" t="s">
        <v>2740</v>
      </c>
      <c r="G1504" s="163">
        <v>1561</v>
      </c>
      <c r="H1504" s="164" t="s">
        <v>2746</v>
      </c>
      <c r="I1504" s="164" t="s">
        <v>2747</v>
      </c>
      <c r="J1504" s="165"/>
    </row>
    <row r="1505" spans="1:10" s="41" customFormat="1" ht="30.95" customHeight="1">
      <c r="A1505" s="41">
        <v>7</v>
      </c>
      <c r="C1505" s="22">
        <f t="shared" si="23"/>
        <v>1498</v>
      </c>
      <c r="D1505" s="161" t="s">
        <v>2748</v>
      </c>
      <c r="E1505" s="23" t="s">
        <v>1136</v>
      </c>
      <c r="F1505" s="45" t="s">
        <v>2740</v>
      </c>
      <c r="G1505" s="24">
        <v>3900</v>
      </c>
      <c r="H1505" s="25" t="s">
        <v>2749</v>
      </c>
      <c r="I1505" s="25" t="s">
        <v>2429</v>
      </c>
      <c r="J1505" s="26"/>
    </row>
    <row r="1506" spans="1:10" s="41" customFormat="1" ht="30.95" customHeight="1">
      <c r="A1506" s="41">
        <v>8</v>
      </c>
      <c r="C1506" s="22">
        <f t="shared" si="23"/>
        <v>1499</v>
      </c>
      <c r="D1506" s="161" t="s">
        <v>2750</v>
      </c>
      <c r="E1506" s="23" t="s">
        <v>1136</v>
      </c>
      <c r="F1506" s="45" t="s">
        <v>2740</v>
      </c>
      <c r="G1506" s="24">
        <v>2230</v>
      </c>
      <c r="H1506" s="25" t="s">
        <v>2751</v>
      </c>
      <c r="I1506" s="25" t="s">
        <v>2429</v>
      </c>
      <c r="J1506" s="26"/>
    </row>
    <row r="1507" spans="1:10" s="41" customFormat="1" ht="30.95" customHeight="1">
      <c r="A1507" s="41">
        <v>9</v>
      </c>
      <c r="C1507" s="22">
        <f t="shared" si="23"/>
        <v>1500</v>
      </c>
      <c r="D1507" s="161" t="s">
        <v>2752</v>
      </c>
      <c r="E1507" s="23" t="s">
        <v>1136</v>
      </c>
      <c r="F1507" s="45" t="s">
        <v>2740</v>
      </c>
      <c r="G1507" s="24">
        <v>2300</v>
      </c>
      <c r="H1507" s="25" t="s">
        <v>2753</v>
      </c>
      <c r="I1507" s="25" t="s">
        <v>2754</v>
      </c>
      <c r="J1507" s="26"/>
    </row>
    <row r="1508" spans="1:10" s="195" customFormat="1" ht="47.25">
      <c r="A1508" s="195">
        <v>10</v>
      </c>
      <c r="C1508" s="196">
        <f t="shared" si="23"/>
        <v>1501</v>
      </c>
      <c r="D1508" s="197" t="s">
        <v>2755</v>
      </c>
      <c r="E1508" s="198" t="s">
        <v>1136</v>
      </c>
      <c r="F1508" s="199" t="s">
        <v>2740</v>
      </c>
      <c r="G1508" s="200">
        <v>1026</v>
      </c>
      <c r="H1508" s="201" t="s">
        <v>2756</v>
      </c>
      <c r="I1508" s="201" t="s">
        <v>2757</v>
      </c>
      <c r="J1508" s="210" t="s">
        <v>3895</v>
      </c>
    </row>
    <row r="1509" spans="1:10" s="41" customFormat="1" ht="30.95" customHeight="1">
      <c r="A1509" s="41">
        <v>11</v>
      </c>
      <c r="C1509" s="22">
        <f t="shared" si="23"/>
        <v>1502</v>
      </c>
      <c r="D1509" s="166" t="s">
        <v>2758</v>
      </c>
      <c r="E1509" s="23" t="s">
        <v>1136</v>
      </c>
      <c r="F1509" s="45" t="s">
        <v>2740</v>
      </c>
      <c r="G1509" s="24">
        <v>6770</v>
      </c>
      <c r="H1509" s="25" t="s">
        <v>2759</v>
      </c>
      <c r="I1509" s="25" t="s">
        <v>284</v>
      </c>
      <c r="J1509" s="26"/>
    </row>
    <row r="1510" spans="1:10" s="41" customFormat="1" ht="30.95" customHeight="1">
      <c r="A1510" s="41">
        <v>12</v>
      </c>
      <c r="C1510" s="22">
        <f t="shared" si="23"/>
        <v>1503</v>
      </c>
      <c r="D1510" s="161" t="s">
        <v>2760</v>
      </c>
      <c r="E1510" s="23" t="s">
        <v>1136</v>
      </c>
      <c r="F1510" s="45" t="s">
        <v>2740</v>
      </c>
      <c r="G1510" s="24">
        <v>1230</v>
      </c>
      <c r="H1510" s="25" t="s">
        <v>3549</v>
      </c>
      <c r="I1510" s="25" t="s">
        <v>1113</v>
      </c>
      <c r="J1510" s="26"/>
    </row>
    <row r="1511" spans="1:10" s="41" customFormat="1" ht="30.95" customHeight="1">
      <c r="A1511" s="41">
        <v>13</v>
      </c>
      <c r="C1511" s="22">
        <f t="shared" si="23"/>
        <v>1504</v>
      </c>
      <c r="D1511" s="161" t="s">
        <v>2761</v>
      </c>
      <c r="E1511" s="23" t="s">
        <v>1136</v>
      </c>
      <c r="F1511" s="45" t="s">
        <v>2740</v>
      </c>
      <c r="G1511" s="24">
        <v>1235</v>
      </c>
      <c r="H1511" s="25" t="s">
        <v>254</v>
      </c>
      <c r="I1511" s="25" t="s">
        <v>244</v>
      </c>
      <c r="J1511" s="26"/>
    </row>
    <row r="1512" spans="1:10" s="41" customFormat="1" ht="30.95" customHeight="1">
      <c r="A1512" s="41">
        <v>14</v>
      </c>
      <c r="C1512" s="22">
        <f t="shared" si="23"/>
        <v>1505</v>
      </c>
      <c r="D1512" s="161" t="s">
        <v>548</v>
      </c>
      <c r="E1512" s="23" t="s">
        <v>1136</v>
      </c>
      <c r="F1512" s="45" t="s">
        <v>2740</v>
      </c>
      <c r="G1512" s="24">
        <v>1254</v>
      </c>
      <c r="H1512" s="25" t="s">
        <v>254</v>
      </c>
      <c r="I1512" s="25" t="s">
        <v>244</v>
      </c>
      <c r="J1512" s="26"/>
    </row>
    <row r="1513" spans="1:10" s="41" customFormat="1" ht="30.95" customHeight="1">
      <c r="A1513" s="41">
        <v>15</v>
      </c>
      <c r="C1513" s="22">
        <f t="shared" si="23"/>
        <v>1506</v>
      </c>
      <c r="D1513" s="161" t="s">
        <v>549</v>
      </c>
      <c r="E1513" s="23" t="s">
        <v>1136</v>
      </c>
      <c r="F1513" s="45" t="s">
        <v>2740</v>
      </c>
      <c r="G1513" s="24">
        <v>1358</v>
      </c>
      <c r="H1513" s="25" t="s">
        <v>254</v>
      </c>
      <c r="I1513" s="25" t="s">
        <v>244</v>
      </c>
      <c r="J1513" s="26"/>
    </row>
    <row r="1514" spans="1:10" s="41" customFormat="1" ht="30.95" customHeight="1">
      <c r="A1514" s="41">
        <v>16</v>
      </c>
      <c r="C1514" s="22">
        <f t="shared" si="23"/>
        <v>1507</v>
      </c>
      <c r="D1514" s="161" t="s">
        <v>3815</v>
      </c>
      <c r="E1514" s="23" t="s">
        <v>1136</v>
      </c>
      <c r="F1514" s="45" t="s">
        <v>2740</v>
      </c>
      <c r="G1514" s="24">
        <v>1298</v>
      </c>
      <c r="H1514" s="25" t="s">
        <v>254</v>
      </c>
      <c r="I1514" s="25" t="s">
        <v>244</v>
      </c>
      <c r="J1514" s="26"/>
    </row>
    <row r="1515" spans="1:10" s="41" customFormat="1" ht="30.95" customHeight="1">
      <c r="A1515" s="41">
        <v>17</v>
      </c>
      <c r="C1515" s="22">
        <f t="shared" si="23"/>
        <v>1508</v>
      </c>
      <c r="D1515" s="161" t="s">
        <v>3816</v>
      </c>
      <c r="E1515" s="23" t="s">
        <v>1136</v>
      </c>
      <c r="F1515" s="45" t="s">
        <v>2740</v>
      </c>
      <c r="G1515" s="24">
        <v>1468</v>
      </c>
      <c r="H1515" s="25" t="s">
        <v>254</v>
      </c>
      <c r="I1515" s="25" t="s">
        <v>244</v>
      </c>
      <c r="J1515" s="26"/>
    </row>
    <row r="1516" spans="1:10" s="41" customFormat="1" ht="30.95" customHeight="1">
      <c r="A1516" s="41">
        <v>18</v>
      </c>
      <c r="C1516" s="22">
        <f t="shared" si="23"/>
        <v>1509</v>
      </c>
      <c r="D1516" s="161" t="s">
        <v>3817</v>
      </c>
      <c r="E1516" s="23" t="s">
        <v>1136</v>
      </c>
      <c r="F1516" s="45" t="s">
        <v>2740</v>
      </c>
      <c r="G1516" s="24">
        <v>1024</v>
      </c>
      <c r="H1516" s="25" t="s">
        <v>254</v>
      </c>
      <c r="I1516" s="25" t="s">
        <v>244</v>
      </c>
      <c r="J1516" s="26"/>
    </row>
    <row r="1517" spans="1:10" s="41" customFormat="1" ht="30.95" customHeight="1">
      <c r="A1517" s="41">
        <v>19</v>
      </c>
      <c r="C1517" s="22">
        <f t="shared" si="23"/>
        <v>1510</v>
      </c>
      <c r="D1517" s="161" t="s">
        <v>3818</v>
      </c>
      <c r="E1517" s="23" t="s">
        <v>1136</v>
      </c>
      <c r="F1517" s="45" t="s">
        <v>2740</v>
      </c>
      <c r="G1517" s="24">
        <v>2045</v>
      </c>
      <c r="H1517" s="25" t="s">
        <v>254</v>
      </c>
      <c r="I1517" s="25" t="s">
        <v>244</v>
      </c>
      <c r="J1517" s="26"/>
    </row>
    <row r="1518" spans="1:10" s="41" customFormat="1" ht="30.95" customHeight="1">
      <c r="A1518" s="41">
        <v>20</v>
      </c>
      <c r="C1518" s="22">
        <f t="shared" si="23"/>
        <v>1511</v>
      </c>
      <c r="D1518" s="161" t="s">
        <v>3819</v>
      </c>
      <c r="E1518" s="23" t="s">
        <v>1136</v>
      </c>
      <c r="F1518" s="45" t="s">
        <v>2740</v>
      </c>
      <c r="G1518" s="24">
        <v>2642</v>
      </c>
      <c r="H1518" s="25" t="s">
        <v>254</v>
      </c>
      <c r="I1518" s="25" t="s">
        <v>244</v>
      </c>
      <c r="J1518" s="26"/>
    </row>
    <row r="1519" spans="1:10" s="41" customFormat="1" ht="30.95" customHeight="1">
      <c r="A1519" s="41">
        <v>21</v>
      </c>
      <c r="C1519" s="22">
        <f t="shared" si="23"/>
        <v>1512</v>
      </c>
      <c r="D1519" s="161" t="s">
        <v>3820</v>
      </c>
      <c r="E1519" s="23" t="s">
        <v>1136</v>
      </c>
      <c r="F1519" s="45" t="s">
        <v>2740</v>
      </c>
      <c r="G1519" s="24">
        <v>1354</v>
      </c>
      <c r="H1519" s="25" t="s">
        <v>254</v>
      </c>
      <c r="I1519" s="25" t="s">
        <v>244</v>
      </c>
      <c r="J1519" s="26"/>
    </row>
    <row r="1520" spans="1:10" s="41" customFormat="1" ht="30.95" customHeight="1">
      <c r="A1520" s="41">
        <v>22</v>
      </c>
      <c r="C1520" s="22">
        <f t="shared" si="23"/>
        <v>1513</v>
      </c>
      <c r="D1520" s="161" t="s">
        <v>3821</v>
      </c>
      <c r="E1520" s="23" t="s">
        <v>1136</v>
      </c>
      <c r="F1520" s="45" t="s">
        <v>2740</v>
      </c>
      <c r="G1520" s="24">
        <v>1254</v>
      </c>
      <c r="H1520" s="25" t="s">
        <v>254</v>
      </c>
      <c r="I1520" s="25" t="s">
        <v>244</v>
      </c>
      <c r="J1520" s="26"/>
    </row>
    <row r="1521" spans="1:10" s="41" customFormat="1" ht="30.95" customHeight="1">
      <c r="A1521" s="41">
        <v>23</v>
      </c>
      <c r="C1521" s="22">
        <f t="shared" si="23"/>
        <v>1514</v>
      </c>
      <c r="D1521" s="161" t="s">
        <v>3822</v>
      </c>
      <c r="E1521" s="23" t="s">
        <v>1136</v>
      </c>
      <c r="F1521" s="45" t="s">
        <v>2740</v>
      </c>
      <c r="G1521" s="24">
        <v>2014</v>
      </c>
      <c r="H1521" s="25" t="s">
        <v>254</v>
      </c>
      <c r="I1521" s="25" t="s">
        <v>244</v>
      </c>
      <c r="J1521" s="26"/>
    </row>
    <row r="1522" spans="1:10" s="41" customFormat="1" ht="30.95" customHeight="1">
      <c r="A1522" s="41">
        <v>24</v>
      </c>
      <c r="C1522" s="22">
        <f t="shared" si="23"/>
        <v>1515</v>
      </c>
      <c r="D1522" s="161" t="s">
        <v>3823</v>
      </c>
      <c r="E1522" s="23" t="s">
        <v>1136</v>
      </c>
      <c r="F1522" s="45" t="s">
        <v>2740</v>
      </c>
      <c r="G1522" s="24">
        <v>2354</v>
      </c>
      <c r="H1522" s="25" t="s">
        <v>254</v>
      </c>
      <c r="I1522" s="25" t="s">
        <v>244</v>
      </c>
      <c r="J1522" s="26"/>
    </row>
    <row r="1523" spans="1:10" s="41" customFormat="1" ht="30.95" customHeight="1">
      <c r="A1523" s="41">
        <v>25</v>
      </c>
      <c r="C1523" s="22">
        <f t="shared" si="23"/>
        <v>1516</v>
      </c>
      <c r="D1523" s="161" t="s">
        <v>3824</v>
      </c>
      <c r="E1523" s="23" t="s">
        <v>1136</v>
      </c>
      <c r="F1523" s="45" t="s">
        <v>2740</v>
      </c>
      <c r="G1523" s="24">
        <v>2564</v>
      </c>
      <c r="H1523" s="25" t="s">
        <v>254</v>
      </c>
      <c r="I1523" s="25" t="s">
        <v>244</v>
      </c>
      <c r="J1523" s="26"/>
    </row>
    <row r="1524" spans="1:10" s="41" customFormat="1" ht="30.95" customHeight="1">
      <c r="A1524" s="41">
        <v>26</v>
      </c>
      <c r="C1524" s="22">
        <f t="shared" si="23"/>
        <v>1517</v>
      </c>
      <c r="D1524" s="161" t="s">
        <v>3825</v>
      </c>
      <c r="E1524" s="23" t="s">
        <v>1136</v>
      </c>
      <c r="F1524" s="45" t="s">
        <v>2740</v>
      </c>
      <c r="G1524" s="24">
        <v>1257</v>
      </c>
      <c r="H1524" s="25" t="s">
        <v>254</v>
      </c>
      <c r="I1524" s="25" t="s">
        <v>244</v>
      </c>
      <c r="J1524" s="26"/>
    </row>
    <row r="1525" spans="1:10" s="41" customFormat="1" ht="30.95" customHeight="1">
      <c r="A1525" s="41">
        <v>27</v>
      </c>
      <c r="C1525" s="22">
        <f t="shared" si="23"/>
        <v>1518</v>
      </c>
      <c r="D1525" s="161" t="s">
        <v>3826</v>
      </c>
      <c r="E1525" s="23" t="s">
        <v>1136</v>
      </c>
      <c r="F1525" s="45" t="s">
        <v>2740</v>
      </c>
      <c r="G1525" s="24">
        <v>3254</v>
      </c>
      <c r="H1525" s="25" t="s">
        <v>254</v>
      </c>
      <c r="I1525" s="25" t="s">
        <v>244</v>
      </c>
      <c r="J1525" s="26"/>
    </row>
    <row r="1526" spans="1:10" s="41" customFormat="1" ht="30.95" customHeight="1">
      <c r="A1526" s="41">
        <v>28</v>
      </c>
      <c r="C1526" s="22">
        <f t="shared" si="23"/>
        <v>1519</v>
      </c>
      <c r="D1526" s="161" t="s">
        <v>3827</v>
      </c>
      <c r="E1526" s="23" t="s">
        <v>1136</v>
      </c>
      <c r="F1526" s="45" t="s">
        <v>2740</v>
      </c>
      <c r="G1526" s="24">
        <v>3256</v>
      </c>
      <c r="H1526" s="25" t="s">
        <v>254</v>
      </c>
      <c r="I1526" s="25" t="s">
        <v>244</v>
      </c>
      <c r="J1526" s="26"/>
    </row>
    <row r="1527" spans="1:10" s="41" customFormat="1" ht="30.95" customHeight="1">
      <c r="A1527" s="41">
        <v>29</v>
      </c>
      <c r="C1527" s="22">
        <f t="shared" si="23"/>
        <v>1520</v>
      </c>
      <c r="D1527" s="161" t="s">
        <v>3828</v>
      </c>
      <c r="E1527" s="23" t="s">
        <v>1136</v>
      </c>
      <c r="F1527" s="45" t="s">
        <v>2740</v>
      </c>
      <c r="G1527" s="24">
        <v>2145</v>
      </c>
      <c r="H1527" s="25" t="s">
        <v>254</v>
      </c>
      <c r="I1527" s="25" t="s">
        <v>244</v>
      </c>
      <c r="J1527" s="26"/>
    </row>
    <row r="1528" spans="1:10" s="41" customFormat="1" ht="30.95" customHeight="1">
      <c r="A1528" s="41">
        <v>30</v>
      </c>
      <c r="C1528" s="22">
        <f t="shared" si="23"/>
        <v>1521</v>
      </c>
      <c r="D1528" s="161" t="s">
        <v>3829</v>
      </c>
      <c r="E1528" s="23" t="s">
        <v>1136</v>
      </c>
      <c r="F1528" s="45" t="s">
        <v>2740</v>
      </c>
      <c r="G1528" s="24">
        <v>1205</v>
      </c>
      <c r="H1528" s="25" t="s">
        <v>254</v>
      </c>
      <c r="I1528" s="25" t="s">
        <v>244</v>
      </c>
      <c r="J1528" s="26"/>
    </row>
    <row r="1529" spans="1:10" s="41" customFormat="1" ht="30.95" customHeight="1">
      <c r="A1529" s="41">
        <v>31</v>
      </c>
      <c r="C1529" s="22">
        <f t="shared" si="23"/>
        <v>1522</v>
      </c>
      <c r="D1529" s="161" t="s">
        <v>3830</v>
      </c>
      <c r="E1529" s="23" t="s">
        <v>1136</v>
      </c>
      <c r="F1529" s="45" t="s">
        <v>2740</v>
      </c>
      <c r="G1529" s="24">
        <v>1254</v>
      </c>
      <c r="H1529" s="25" t="s">
        <v>254</v>
      </c>
      <c r="I1529" s="25" t="s">
        <v>244</v>
      </c>
      <c r="J1529" s="26"/>
    </row>
    <row r="1530" spans="1:10" s="41" customFormat="1" ht="30.95" customHeight="1">
      <c r="A1530" s="41">
        <v>32</v>
      </c>
      <c r="C1530" s="22">
        <f t="shared" si="23"/>
        <v>1523</v>
      </c>
      <c r="D1530" s="161" t="s">
        <v>3831</v>
      </c>
      <c r="E1530" s="23" t="s">
        <v>1136</v>
      </c>
      <c r="F1530" s="45" t="s">
        <v>2740</v>
      </c>
      <c r="G1530" s="24">
        <v>2356</v>
      </c>
      <c r="H1530" s="25" t="s">
        <v>254</v>
      </c>
      <c r="I1530" s="25" t="s">
        <v>244</v>
      </c>
      <c r="J1530" s="26"/>
    </row>
    <row r="1531" spans="1:10" s="41" customFormat="1" ht="30.95" customHeight="1">
      <c r="A1531" s="41">
        <v>33</v>
      </c>
      <c r="C1531" s="22">
        <f t="shared" si="23"/>
        <v>1524</v>
      </c>
      <c r="D1531" s="161" t="s">
        <v>3832</v>
      </c>
      <c r="E1531" s="23" t="s">
        <v>1136</v>
      </c>
      <c r="F1531" s="45" t="s">
        <v>2740</v>
      </c>
      <c r="G1531" s="24">
        <v>4210</v>
      </c>
      <c r="H1531" s="25" t="s">
        <v>254</v>
      </c>
      <c r="I1531" s="25" t="s">
        <v>244</v>
      </c>
      <c r="J1531" s="26"/>
    </row>
    <row r="1532" spans="1:10" s="41" customFormat="1" ht="30.95" customHeight="1">
      <c r="A1532" s="41">
        <v>34</v>
      </c>
      <c r="C1532" s="22">
        <f t="shared" si="23"/>
        <v>1525</v>
      </c>
      <c r="D1532" s="161" t="s">
        <v>2762</v>
      </c>
      <c r="E1532" s="23" t="s">
        <v>1136</v>
      </c>
      <c r="F1532" s="45" t="s">
        <v>2740</v>
      </c>
      <c r="G1532" s="24">
        <v>500</v>
      </c>
      <c r="H1532" s="25" t="s">
        <v>2763</v>
      </c>
      <c r="I1532" s="25" t="s">
        <v>244</v>
      </c>
      <c r="J1532" s="26"/>
    </row>
    <row r="1533" spans="1:10" s="41" customFormat="1" ht="30.95" customHeight="1">
      <c r="A1533" s="41">
        <v>35</v>
      </c>
      <c r="C1533" s="22">
        <f t="shared" si="23"/>
        <v>1526</v>
      </c>
      <c r="D1533" s="161" t="s">
        <v>497</v>
      </c>
      <c r="E1533" s="23" t="s">
        <v>1136</v>
      </c>
      <c r="F1533" s="45" t="s">
        <v>2740</v>
      </c>
      <c r="G1533" s="24">
        <v>1254</v>
      </c>
      <c r="H1533" s="25" t="s">
        <v>254</v>
      </c>
      <c r="I1533" s="25" t="s">
        <v>244</v>
      </c>
      <c r="J1533" s="26"/>
    </row>
    <row r="1534" spans="1:10" s="41" customFormat="1" ht="30.95" customHeight="1">
      <c r="A1534" s="41">
        <v>36</v>
      </c>
      <c r="C1534" s="22">
        <f t="shared" si="23"/>
        <v>1527</v>
      </c>
      <c r="D1534" s="161" t="s">
        <v>3833</v>
      </c>
      <c r="E1534" s="23" t="s">
        <v>1136</v>
      </c>
      <c r="F1534" s="45" t="s">
        <v>2740</v>
      </c>
      <c r="G1534" s="24">
        <v>1234</v>
      </c>
      <c r="H1534" s="25" t="s">
        <v>254</v>
      </c>
      <c r="I1534" s="25" t="s">
        <v>244</v>
      </c>
      <c r="J1534" s="26"/>
    </row>
    <row r="1535" spans="1:10" s="41" customFormat="1" ht="30.95" customHeight="1">
      <c r="A1535" s="41">
        <v>37</v>
      </c>
      <c r="C1535" s="22">
        <f t="shared" si="23"/>
        <v>1528</v>
      </c>
      <c r="D1535" s="161" t="s">
        <v>498</v>
      </c>
      <c r="E1535" s="23" t="s">
        <v>1136</v>
      </c>
      <c r="F1535" s="45" t="s">
        <v>2740</v>
      </c>
      <c r="G1535" s="24">
        <v>1257</v>
      </c>
      <c r="H1535" s="25" t="s">
        <v>254</v>
      </c>
      <c r="I1535" s="25" t="s">
        <v>244</v>
      </c>
      <c r="J1535" s="26"/>
    </row>
    <row r="1536" spans="1:10" s="41" customFormat="1" ht="30.95" customHeight="1">
      <c r="A1536" s="41">
        <v>38</v>
      </c>
      <c r="C1536" s="22">
        <f t="shared" si="23"/>
        <v>1529</v>
      </c>
      <c r="D1536" s="161" t="s">
        <v>499</v>
      </c>
      <c r="E1536" s="23" t="s">
        <v>1136</v>
      </c>
      <c r="F1536" s="45" t="s">
        <v>2740</v>
      </c>
      <c r="G1536" s="24">
        <v>1654</v>
      </c>
      <c r="H1536" s="25" t="s">
        <v>254</v>
      </c>
      <c r="I1536" s="25" t="s">
        <v>244</v>
      </c>
      <c r="J1536" s="26"/>
    </row>
    <row r="1537" spans="1:10" s="41" customFormat="1" ht="30.95" customHeight="1">
      <c r="A1537" s="41">
        <v>39</v>
      </c>
      <c r="C1537" s="22">
        <f t="shared" si="23"/>
        <v>1530</v>
      </c>
      <c r="D1537" s="161" t="s">
        <v>500</v>
      </c>
      <c r="E1537" s="23" t="s">
        <v>1136</v>
      </c>
      <c r="F1537" s="45" t="s">
        <v>2740</v>
      </c>
      <c r="G1537" s="24">
        <v>1254</v>
      </c>
      <c r="H1537" s="25" t="s">
        <v>254</v>
      </c>
      <c r="I1537" s="25" t="s">
        <v>244</v>
      </c>
      <c r="J1537" s="26"/>
    </row>
    <row r="1538" spans="1:10" s="41" customFormat="1" ht="30.95" customHeight="1">
      <c r="A1538" s="41">
        <v>40</v>
      </c>
      <c r="C1538" s="22">
        <f t="shared" si="23"/>
        <v>1531</v>
      </c>
      <c r="D1538" s="161" t="s">
        <v>501</v>
      </c>
      <c r="E1538" s="23" t="s">
        <v>1136</v>
      </c>
      <c r="F1538" s="45" t="s">
        <v>2740</v>
      </c>
      <c r="G1538" s="24">
        <v>1234</v>
      </c>
      <c r="H1538" s="25" t="s">
        <v>254</v>
      </c>
      <c r="I1538" s="25" t="s">
        <v>244</v>
      </c>
      <c r="J1538" s="26"/>
    </row>
    <row r="1539" spans="1:10" s="41" customFormat="1" ht="30.95" customHeight="1">
      <c r="A1539" s="41">
        <v>41</v>
      </c>
      <c r="C1539" s="22">
        <f t="shared" si="23"/>
        <v>1532</v>
      </c>
      <c r="D1539" s="161" t="s">
        <v>3834</v>
      </c>
      <c r="E1539" s="23" t="s">
        <v>1136</v>
      </c>
      <c r="F1539" s="45" t="s">
        <v>2740</v>
      </c>
      <c r="G1539" s="24">
        <v>2314</v>
      </c>
      <c r="H1539" s="25" t="s">
        <v>254</v>
      </c>
      <c r="I1539" s="25" t="s">
        <v>244</v>
      </c>
      <c r="J1539" s="26"/>
    </row>
    <row r="1540" spans="1:10" s="41" customFormat="1" ht="30.95" customHeight="1">
      <c r="A1540" s="41">
        <v>42</v>
      </c>
      <c r="C1540" s="22">
        <f t="shared" si="23"/>
        <v>1533</v>
      </c>
      <c r="D1540" s="161" t="s">
        <v>502</v>
      </c>
      <c r="E1540" s="23" t="s">
        <v>1136</v>
      </c>
      <c r="F1540" s="45" t="s">
        <v>2740</v>
      </c>
      <c r="G1540" s="24">
        <v>1254</v>
      </c>
      <c r="H1540" s="25" t="s">
        <v>254</v>
      </c>
      <c r="I1540" s="25" t="s">
        <v>244</v>
      </c>
      <c r="J1540" s="26"/>
    </row>
    <row r="1541" spans="1:10" s="41" customFormat="1" ht="30.95" customHeight="1">
      <c r="A1541" s="41">
        <v>43</v>
      </c>
      <c r="C1541" s="22">
        <f t="shared" si="23"/>
        <v>1534</v>
      </c>
      <c r="D1541" s="161" t="s">
        <v>503</v>
      </c>
      <c r="E1541" s="23" t="s">
        <v>1136</v>
      </c>
      <c r="F1541" s="45" t="s">
        <v>2740</v>
      </c>
      <c r="G1541" s="24">
        <v>1235</v>
      </c>
      <c r="H1541" s="25" t="s">
        <v>254</v>
      </c>
      <c r="I1541" s="25" t="s">
        <v>244</v>
      </c>
      <c r="J1541" s="26"/>
    </row>
    <row r="1542" spans="1:10" s="41" customFormat="1" ht="30.95" customHeight="1">
      <c r="A1542" s="41">
        <v>44</v>
      </c>
      <c r="C1542" s="22">
        <f t="shared" si="23"/>
        <v>1535</v>
      </c>
      <c r="D1542" s="161" t="s">
        <v>3835</v>
      </c>
      <c r="E1542" s="23" t="s">
        <v>1136</v>
      </c>
      <c r="F1542" s="45" t="s">
        <v>2740</v>
      </c>
      <c r="G1542" s="24">
        <v>2541</v>
      </c>
      <c r="H1542" s="25" t="s">
        <v>254</v>
      </c>
      <c r="I1542" s="25" t="s">
        <v>244</v>
      </c>
      <c r="J1542" s="26"/>
    </row>
    <row r="1543" spans="1:10" s="41" customFormat="1" ht="30.95" customHeight="1">
      <c r="A1543" s="41">
        <v>45</v>
      </c>
      <c r="C1543" s="22">
        <f t="shared" si="23"/>
        <v>1536</v>
      </c>
      <c r="D1543" s="161" t="s">
        <v>3836</v>
      </c>
      <c r="E1543" s="23" t="s">
        <v>1136</v>
      </c>
      <c r="F1543" s="45" t="s">
        <v>2740</v>
      </c>
      <c r="G1543" s="24">
        <v>2354</v>
      </c>
      <c r="H1543" s="25" t="s">
        <v>254</v>
      </c>
      <c r="I1543" s="25" t="s">
        <v>244</v>
      </c>
      <c r="J1543" s="26"/>
    </row>
    <row r="1544" spans="1:10" s="41" customFormat="1" ht="30.95" customHeight="1">
      <c r="A1544" s="41">
        <v>46</v>
      </c>
      <c r="C1544" s="22">
        <f t="shared" si="23"/>
        <v>1537</v>
      </c>
      <c r="D1544" s="161" t="s">
        <v>3837</v>
      </c>
      <c r="E1544" s="23" t="s">
        <v>1136</v>
      </c>
      <c r="F1544" s="45" t="s">
        <v>2740</v>
      </c>
      <c r="G1544" s="24">
        <v>1245</v>
      </c>
      <c r="H1544" s="25" t="s">
        <v>254</v>
      </c>
      <c r="I1544" s="25" t="s">
        <v>244</v>
      </c>
      <c r="J1544" s="26"/>
    </row>
    <row r="1545" spans="1:10" s="41" customFormat="1" ht="30.95" customHeight="1">
      <c r="A1545" s="41">
        <v>47</v>
      </c>
      <c r="C1545" s="22">
        <f t="shared" si="23"/>
        <v>1538</v>
      </c>
      <c r="D1545" s="161" t="s">
        <v>3838</v>
      </c>
      <c r="E1545" s="23" t="s">
        <v>1136</v>
      </c>
      <c r="F1545" s="45" t="s">
        <v>2740</v>
      </c>
      <c r="G1545" s="24">
        <v>2145</v>
      </c>
      <c r="H1545" s="25" t="s">
        <v>254</v>
      </c>
      <c r="I1545" s="25" t="s">
        <v>244</v>
      </c>
      <c r="J1545" s="26"/>
    </row>
    <row r="1546" spans="1:10" s="41" customFormat="1" ht="30.95" customHeight="1">
      <c r="A1546" s="41">
        <v>48</v>
      </c>
      <c r="C1546" s="22">
        <f t="shared" ref="C1546:C1609" si="24">C1545+1</f>
        <v>1539</v>
      </c>
      <c r="D1546" s="161" t="s">
        <v>3839</v>
      </c>
      <c r="E1546" s="23" t="s">
        <v>1136</v>
      </c>
      <c r="F1546" s="45" t="s">
        <v>2740</v>
      </c>
      <c r="G1546" s="24">
        <v>2314</v>
      </c>
      <c r="H1546" s="25" t="s">
        <v>254</v>
      </c>
      <c r="I1546" s="25" t="s">
        <v>244</v>
      </c>
      <c r="J1546" s="26"/>
    </row>
    <row r="1547" spans="1:10" s="41" customFormat="1" ht="30.95" customHeight="1">
      <c r="A1547" s="41">
        <v>49</v>
      </c>
      <c r="C1547" s="22">
        <f t="shared" si="24"/>
        <v>1540</v>
      </c>
      <c r="D1547" s="161" t="s">
        <v>3840</v>
      </c>
      <c r="E1547" s="23" t="s">
        <v>1136</v>
      </c>
      <c r="F1547" s="45" t="s">
        <v>2740</v>
      </c>
      <c r="G1547" s="24">
        <v>2154</v>
      </c>
      <c r="H1547" s="25" t="s">
        <v>254</v>
      </c>
      <c r="I1547" s="25" t="s">
        <v>244</v>
      </c>
      <c r="J1547" s="26"/>
    </row>
    <row r="1548" spans="1:10" s="41" customFormat="1" ht="30.95" customHeight="1">
      <c r="A1548" s="41">
        <v>50</v>
      </c>
      <c r="C1548" s="22">
        <f t="shared" si="24"/>
        <v>1541</v>
      </c>
      <c r="D1548" s="161" t="s">
        <v>3841</v>
      </c>
      <c r="E1548" s="23" t="s">
        <v>1136</v>
      </c>
      <c r="F1548" s="45" t="s">
        <v>2740</v>
      </c>
      <c r="G1548" s="24">
        <v>1982</v>
      </c>
      <c r="H1548" s="25" t="s">
        <v>254</v>
      </c>
      <c r="I1548" s="25" t="s">
        <v>244</v>
      </c>
      <c r="J1548" s="26"/>
    </row>
    <row r="1549" spans="1:10" s="41" customFormat="1" ht="30.95" customHeight="1">
      <c r="A1549" s="41">
        <v>51</v>
      </c>
      <c r="C1549" s="22">
        <f t="shared" si="24"/>
        <v>1542</v>
      </c>
      <c r="D1549" s="161" t="s">
        <v>3842</v>
      </c>
      <c r="E1549" s="23" t="s">
        <v>1136</v>
      </c>
      <c r="F1549" s="45" t="s">
        <v>2740</v>
      </c>
      <c r="G1549" s="24">
        <v>1765</v>
      </c>
      <c r="H1549" s="25" t="s">
        <v>254</v>
      </c>
      <c r="I1549" s="25" t="s">
        <v>244</v>
      </c>
      <c r="J1549" s="26"/>
    </row>
    <row r="1550" spans="1:10" s="41" customFormat="1" ht="30.95" customHeight="1">
      <c r="A1550" s="41">
        <v>52</v>
      </c>
      <c r="C1550" s="22">
        <f t="shared" si="24"/>
        <v>1543</v>
      </c>
      <c r="D1550" s="161" t="s">
        <v>3843</v>
      </c>
      <c r="E1550" s="23" t="s">
        <v>1136</v>
      </c>
      <c r="F1550" s="45" t="s">
        <v>2740</v>
      </c>
      <c r="G1550" s="24">
        <v>1258</v>
      </c>
      <c r="H1550" s="25" t="s">
        <v>254</v>
      </c>
      <c r="I1550" s="25" t="s">
        <v>244</v>
      </c>
      <c r="J1550" s="26"/>
    </row>
    <row r="1551" spans="1:10" s="41" customFormat="1" ht="30.95" customHeight="1">
      <c r="A1551" s="41">
        <v>53</v>
      </c>
      <c r="C1551" s="22">
        <f t="shared" si="24"/>
        <v>1544</v>
      </c>
      <c r="D1551" s="161" t="s">
        <v>3844</v>
      </c>
      <c r="E1551" s="23" t="s">
        <v>1136</v>
      </c>
      <c r="F1551" s="45" t="s">
        <v>2740</v>
      </c>
      <c r="G1551" s="24">
        <v>1468</v>
      </c>
      <c r="H1551" s="25" t="s">
        <v>254</v>
      </c>
      <c r="I1551" s="25" t="s">
        <v>244</v>
      </c>
      <c r="J1551" s="26"/>
    </row>
    <row r="1552" spans="1:10" s="41" customFormat="1" ht="30.95" customHeight="1">
      <c r="A1552" s="41">
        <v>54</v>
      </c>
      <c r="C1552" s="22">
        <f t="shared" si="24"/>
        <v>1545</v>
      </c>
      <c r="D1552" s="161" t="s">
        <v>3845</v>
      </c>
      <c r="E1552" s="23" t="s">
        <v>1136</v>
      </c>
      <c r="F1552" s="45" t="s">
        <v>2740</v>
      </c>
      <c r="G1552" s="24">
        <v>1756</v>
      </c>
      <c r="H1552" s="25" t="s">
        <v>254</v>
      </c>
      <c r="I1552" s="25" t="s">
        <v>244</v>
      </c>
      <c r="J1552" s="26"/>
    </row>
    <row r="1553" spans="1:10" s="41" customFormat="1" ht="30.95" customHeight="1">
      <c r="A1553" s="41">
        <v>55</v>
      </c>
      <c r="C1553" s="22">
        <f t="shared" si="24"/>
        <v>1546</v>
      </c>
      <c r="D1553" s="161" t="s">
        <v>3846</v>
      </c>
      <c r="E1553" s="23" t="s">
        <v>1136</v>
      </c>
      <c r="F1553" s="45" t="s">
        <v>2740</v>
      </c>
      <c r="G1553" s="24">
        <v>1345</v>
      </c>
      <c r="H1553" s="25" t="s">
        <v>254</v>
      </c>
      <c r="I1553" s="25" t="s">
        <v>244</v>
      </c>
      <c r="J1553" s="26"/>
    </row>
    <row r="1554" spans="1:10" s="41" customFormat="1" ht="30.95" customHeight="1">
      <c r="A1554" s="41">
        <v>56</v>
      </c>
      <c r="C1554" s="22">
        <f t="shared" si="24"/>
        <v>1547</v>
      </c>
      <c r="D1554" s="161" t="s">
        <v>505</v>
      </c>
      <c r="E1554" s="23" t="s">
        <v>1136</v>
      </c>
      <c r="F1554" s="45" t="s">
        <v>2740</v>
      </c>
      <c r="G1554" s="24">
        <v>1354</v>
      </c>
      <c r="H1554" s="25" t="s">
        <v>254</v>
      </c>
      <c r="I1554" s="25" t="s">
        <v>244</v>
      </c>
      <c r="J1554" s="26"/>
    </row>
    <row r="1555" spans="1:10" s="41" customFormat="1" ht="30.95" customHeight="1">
      <c r="A1555" s="41">
        <v>57</v>
      </c>
      <c r="C1555" s="22">
        <f t="shared" si="24"/>
        <v>1548</v>
      </c>
      <c r="D1555" s="161" t="s">
        <v>506</v>
      </c>
      <c r="E1555" s="23" t="s">
        <v>1136</v>
      </c>
      <c r="F1555" s="45" t="s">
        <v>2740</v>
      </c>
      <c r="G1555" s="24">
        <v>1872</v>
      </c>
      <c r="H1555" s="25" t="s">
        <v>254</v>
      </c>
      <c r="I1555" s="25" t="s">
        <v>244</v>
      </c>
      <c r="J1555" s="26"/>
    </row>
    <row r="1556" spans="1:10" s="41" customFormat="1" ht="30.95" customHeight="1">
      <c r="A1556" s="41">
        <v>58</v>
      </c>
      <c r="C1556" s="22">
        <f t="shared" si="24"/>
        <v>1549</v>
      </c>
      <c r="D1556" s="161" t="s">
        <v>507</v>
      </c>
      <c r="E1556" s="23" t="s">
        <v>1136</v>
      </c>
      <c r="F1556" s="45" t="s">
        <v>2740</v>
      </c>
      <c r="G1556" s="24">
        <v>1354</v>
      </c>
      <c r="H1556" s="25" t="s">
        <v>254</v>
      </c>
      <c r="I1556" s="25" t="s">
        <v>244</v>
      </c>
      <c r="J1556" s="26"/>
    </row>
    <row r="1557" spans="1:10" s="41" customFormat="1" ht="30.95" customHeight="1">
      <c r="A1557" s="41">
        <v>59</v>
      </c>
      <c r="C1557" s="22">
        <f t="shared" si="24"/>
        <v>1550</v>
      </c>
      <c r="D1557" s="161" t="s">
        <v>547</v>
      </c>
      <c r="E1557" s="23" t="s">
        <v>1136</v>
      </c>
      <c r="F1557" s="45" t="s">
        <v>2740</v>
      </c>
      <c r="G1557" s="24">
        <v>1024</v>
      </c>
      <c r="H1557" s="25" t="s">
        <v>254</v>
      </c>
      <c r="I1557" s="25" t="s">
        <v>244</v>
      </c>
      <c r="J1557" s="26"/>
    </row>
    <row r="1558" spans="1:10" s="41" customFormat="1" ht="30.95" customHeight="1">
      <c r="A1558" s="41">
        <v>60</v>
      </c>
      <c r="C1558" s="22">
        <f t="shared" si="24"/>
        <v>1551</v>
      </c>
      <c r="D1558" s="161" t="s">
        <v>3847</v>
      </c>
      <c r="E1558" s="23" t="s">
        <v>1136</v>
      </c>
      <c r="F1558" s="45" t="s">
        <v>2740</v>
      </c>
      <c r="G1558" s="24">
        <v>1541</v>
      </c>
      <c r="H1558" s="25" t="s">
        <v>254</v>
      </c>
      <c r="I1558" s="25" t="s">
        <v>244</v>
      </c>
      <c r="J1558" s="26"/>
    </row>
    <row r="1559" spans="1:10" s="41" customFormat="1" ht="30.95" customHeight="1">
      <c r="A1559" s="41">
        <v>61</v>
      </c>
      <c r="C1559" s="22">
        <f t="shared" si="24"/>
        <v>1552</v>
      </c>
      <c r="D1559" s="161" t="s">
        <v>3848</v>
      </c>
      <c r="E1559" s="23" t="s">
        <v>1136</v>
      </c>
      <c r="F1559" s="45" t="s">
        <v>2740</v>
      </c>
      <c r="G1559" s="24">
        <v>1204</v>
      </c>
      <c r="H1559" s="25" t="s">
        <v>2451</v>
      </c>
      <c r="I1559" s="25" t="s">
        <v>244</v>
      </c>
      <c r="J1559" s="26"/>
    </row>
    <row r="1560" spans="1:10" s="41" customFormat="1" ht="30.95" customHeight="1">
      <c r="A1560" s="41">
        <v>62</v>
      </c>
      <c r="C1560" s="22">
        <f t="shared" si="24"/>
        <v>1553</v>
      </c>
      <c r="D1560" s="161" t="s">
        <v>3849</v>
      </c>
      <c r="E1560" s="23" t="s">
        <v>1136</v>
      </c>
      <c r="F1560" s="45" t="s">
        <v>2740</v>
      </c>
      <c r="G1560" s="24">
        <v>1023</v>
      </c>
      <c r="H1560" s="25" t="s">
        <v>2451</v>
      </c>
      <c r="I1560" s="25" t="s">
        <v>244</v>
      </c>
      <c r="J1560" s="26"/>
    </row>
    <row r="1561" spans="1:10" s="41" customFormat="1" ht="30.95" customHeight="1">
      <c r="A1561" s="41">
        <v>63</v>
      </c>
      <c r="C1561" s="22">
        <f t="shared" si="24"/>
        <v>1554</v>
      </c>
      <c r="D1561" s="161" t="s">
        <v>3850</v>
      </c>
      <c r="E1561" s="23" t="s">
        <v>1136</v>
      </c>
      <c r="F1561" s="45" t="s">
        <v>2740</v>
      </c>
      <c r="G1561" s="24">
        <v>1025</v>
      </c>
      <c r="H1561" s="25" t="s">
        <v>2451</v>
      </c>
      <c r="I1561" s="25" t="s">
        <v>244</v>
      </c>
      <c r="J1561" s="26"/>
    </row>
    <row r="1562" spans="1:10" s="41" customFormat="1" ht="30.95" customHeight="1">
      <c r="A1562" s="41">
        <v>64</v>
      </c>
      <c r="C1562" s="22">
        <f t="shared" si="24"/>
        <v>1555</v>
      </c>
      <c r="D1562" s="161" t="s">
        <v>3851</v>
      </c>
      <c r="E1562" s="23" t="s">
        <v>1136</v>
      </c>
      <c r="F1562" s="45" t="s">
        <v>2740</v>
      </c>
      <c r="G1562" s="24">
        <v>1087</v>
      </c>
      <c r="H1562" s="25" t="s">
        <v>2451</v>
      </c>
      <c r="I1562" s="25" t="s">
        <v>244</v>
      </c>
      <c r="J1562" s="26"/>
    </row>
    <row r="1563" spans="1:10" s="41" customFormat="1" ht="30.95" customHeight="1">
      <c r="A1563" s="41">
        <v>65</v>
      </c>
      <c r="C1563" s="22">
        <f t="shared" si="24"/>
        <v>1556</v>
      </c>
      <c r="D1563" s="161" t="s">
        <v>3852</v>
      </c>
      <c r="E1563" s="23" t="s">
        <v>1136</v>
      </c>
      <c r="F1563" s="45" t="s">
        <v>2740</v>
      </c>
      <c r="G1563" s="24">
        <v>1098</v>
      </c>
      <c r="H1563" s="25" t="s">
        <v>2451</v>
      </c>
      <c r="I1563" s="25" t="s">
        <v>244</v>
      </c>
      <c r="J1563" s="26"/>
    </row>
    <row r="1564" spans="1:10" s="41" customFormat="1" ht="30.95" customHeight="1">
      <c r="A1564" s="41">
        <v>66</v>
      </c>
      <c r="C1564" s="22">
        <f t="shared" si="24"/>
        <v>1557</v>
      </c>
      <c r="D1564" s="161" t="s">
        <v>3853</v>
      </c>
      <c r="E1564" s="23" t="s">
        <v>1136</v>
      </c>
      <c r="F1564" s="45" t="s">
        <v>2740</v>
      </c>
      <c r="G1564" s="24">
        <v>1037</v>
      </c>
      <c r="H1564" s="25" t="s">
        <v>2451</v>
      </c>
      <c r="I1564" s="25" t="s">
        <v>244</v>
      </c>
      <c r="J1564" s="26"/>
    </row>
    <row r="1565" spans="1:10" s="41" customFormat="1" ht="30.95" customHeight="1">
      <c r="A1565" s="41">
        <v>67</v>
      </c>
      <c r="C1565" s="22">
        <f t="shared" si="24"/>
        <v>1558</v>
      </c>
      <c r="D1565" s="161" t="s">
        <v>3854</v>
      </c>
      <c r="E1565" s="23" t="s">
        <v>1136</v>
      </c>
      <c r="F1565" s="45" t="s">
        <v>2740</v>
      </c>
      <c r="G1565" s="24">
        <v>2014</v>
      </c>
      <c r="H1565" s="25" t="s">
        <v>2451</v>
      </c>
      <c r="I1565" s="25" t="s">
        <v>244</v>
      </c>
      <c r="J1565" s="26"/>
    </row>
    <row r="1566" spans="1:10" s="41" customFormat="1" ht="30.95" customHeight="1">
      <c r="A1566" s="41">
        <v>68</v>
      </c>
      <c r="C1566" s="22">
        <f t="shared" si="24"/>
        <v>1559</v>
      </c>
      <c r="D1566" s="161" t="s">
        <v>3855</v>
      </c>
      <c r="E1566" s="23" t="s">
        <v>1136</v>
      </c>
      <c r="F1566" s="45" t="s">
        <v>2740</v>
      </c>
      <c r="G1566" s="24">
        <v>2031</v>
      </c>
      <c r="H1566" s="25" t="s">
        <v>2451</v>
      </c>
      <c r="I1566" s="25" t="s">
        <v>244</v>
      </c>
      <c r="J1566" s="26"/>
    </row>
    <row r="1567" spans="1:10" s="41" customFormat="1" ht="30.95" customHeight="1">
      <c r="A1567" s="41">
        <v>69</v>
      </c>
      <c r="C1567" s="22">
        <f t="shared" si="24"/>
        <v>1560</v>
      </c>
      <c r="D1567" s="161" t="s">
        <v>3856</v>
      </c>
      <c r="E1567" s="23" t="s">
        <v>1136</v>
      </c>
      <c r="F1567" s="45" t="s">
        <v>2740</v>
      </c>
      <c r="G1567" s="24">
        <v>1456</v>
      </c>
      <c r="H1567" s="25" t="s">
        <v>2451</v>
      </c>
      <c r="I1567" s="25" t="s">
        <v>244</v>
      </c>
      <c r="J1567" s="26"/>
    </row>
    <row r="1568" spans="1:10" s="41" customFormat="1" ht="30.95" customHeight="1">
      <c r="A1568" s="41">
        <v>70</v>
      </c>
      <c r="C1568" s="22">
        <f t="shared" si="24"/>
        <v>1561</v>
      </c>
      <c r="D1568" s="161" t="s">
        <v>3857</v>
      </c>
      <c r="E1568" s="23" t="s">
        <v>1136</v>
      </c>
      <c r="F1568" s="45" t="s">
        <v>2740</v>
      </c>
      <c r="G1568" s="24">
        <v>1453</v>
      </c>
      <c r="H1568" s="25" t="s">
        <v>2451</v>
      </c>
      <c r="I1568" s="25" t="s">
        <v>244</v>
      </c>
      <c r="J1568" s="26"/>
    </row>
    <row r="1569" spans="1:10" s="41" customFormat="1" ht="30.95" customHeight="1">
      <c r="A1569" s="41">
        <v>71</v>
      </c>
      <c r="C1569" s="22">
        <f t="shared" si="24"/>
        <v>1562</v>
      </c>
      <c r="D1569" s="161" t="s">
        <v>3858</v>
      </c>
      <c r="E1569" s="23" t="s">
        <v>1136</v>
      </c>
      <c r="F1569" s="45" t="s">
        <v>2740</v>
      </c>
      <c r="G1569" s="24">
        <v>1098</v>
      </c>
      <c r="H1569" s="25" t="s">
        <v>2451</v>
      </c>
      <c r="I1569" s="25" t="s">
        <v>244</v>
      </c>
      <c r="J1569" s="26"/>
    </row>
    <row r="1570" spans="1:10" s="41" customFormat="1" ht="30.95" customHeight="1">
      <c r="A1570" s="41">
        <v>72</v>
      </c>
      <c r="C1570" s="22">
        <f t="shared" si="24"/>
        <v>1563</v>
      </c>
      <c r="D1570" s="161" t="s">
        <v>3859</v>
      </c>
      <c r="E1570" s="23" t="s">
        <v>1136</v>
      </c>
      <c r="F1570" s="45" t="s">
        <v>2740</v>
      </c>
      <c r="G1570" s="24">
        <v>1531</v>
      </c>
      <c r="H1570" s="25" t="s">
        <v>2451</v>
      </c>
      <c r="I1570" s="25" t="s">
        <v>244</v>
      </c>
      <c r="J1570" s="26"/>
    </row>
    <row r="1571" spans="1:10" s="41" customFormat="1" ht="30.95" customHeight="1">
      <c r="A1571" s="41">
        <v>73</v>
      </c>
      <c r="C1571" s="22">
        <f t="shared" si="24"/>
        <v>1564</v>
      </c>
      <c r="D1571" s="161" t="s">
        <v>3860</v>
      </c>
      <c r="E1571" s="23" t="s">
        <v>1136</v>
      </c>
      <c r="F1571" s="45" t="s">
        <v>2740</v>
      </c>
      <c r="G1571" s="24">
        <v>1542</v>
      </c>
      <c r="H1571" s="25" t="s">
        <v>2451</v>
      </c>
      <c r="I1571" s="25" t="s">
        <v>244</v>
      </c>
      <c r="J1571" s="26"/>
    </row>
    <row r="1572" spans="1:10" s="41" customFormat="1" ht="30.95" customHeight="1">
      <c r="A1572" s="41">
        <v>74</v>
      </c>
      <c r="C1572" s="22">
        <f t="shared" si="24"/>
        <v>1565</v>
      </c>
      <c r="D1572" s="161" t="s">
        <v>3861</v>
      </c>
      <c r="E1572" s="23" t="s">
        <v>1136</v>
      </c>
      <c r="F1572" s="45" t="s">
        <v>2740</v>
      </c>
      <c r="G1572" s="24">
        <v>1087</v>
      </c>
      <c r="H1572" s="25" t="s">
        <v>2451</v>
      </c>
      <c r="I1572" s="25" t="s">
        <v>244</v>
      </c>
      <c r="J1572" s="26"/>
    </row>
    <row r="1573" spans="1:10" s="41" customFormat="1" ht="30.95" customHeight="1">
      <c r="A1573" s="41">
        <v>75</v>
      </c>
      <c r="C1573" s="22">
        <f t="shared" si="24"/>
        <v>1566</v>
      </c>
      <c r="D1573" s="161" t="s">
        <v>3862</v>
      </c>
      <c r="E1573" s="23" t="s">
        <v>1136</v>
      </c>
      <c r="F1573" s="45" t="s">
        <v>2740</v>
      </c>
      <c r="G1573" s="24">
        <v>1098</v>
      </c>
      <c r="H1573" s="25" t="s">
        <v>2451</v>
      </c>
      <c r="I1573" s="25" t="s">
        <v>244</v>
      </c>
      <c r="J1573" s="26"/>
    </row>
    <row r="1574" spans="1:10" s="41" customFormat="1" ht="30.95" customHeight="1">
      <c r="A1574" s="41">
        <v>76</v>
      </c>
      <c r="C1574" s="22">
        <f t="shared" si="24"/>
        <v>1567</v>
      </c>
      <c r="D1574" s="161" t="s">
        <v>3863</v>
      </c>
      <c r="E1574" s="23" t="s">
        <v>1136</v>
      </c>
      <c r="F1574" s="45" t="s">
        <v>2740</v>
      </c>
      <c r="G1574" s="24">
        <v>1078</v>
      </c>
      <c r="H1574" s="25" t="s">
        <v>2451</v>
      </c>
      <c r="I1574" s="25" t="s">
        <v>244</v>
      </c>
      <c r="J1574" s="26"/>
    </row>
    <row r="1575" spans="1:10" s="41" customFormat="1" ht="30.95" customHeight="1">
      <c r="A1575" s="41">
        <v>77</v>
      </c>
      <c r="C1575" s="22">
        <f t="shared" si="24"/>
        <v>1568</v>
      </c>
      <c r="D1575" s="161" t="s">
        <v>3864</v>
      </c>
      <c r="E1575" s="23" t="s">
        <v>1136</v>
      </c>
      <c r="F1575" s="45" t="s">
        <v>2740</v>
      </c>
      <c r="G1575" s="24">
        <v>1879</v>
      </c>
      <c r="H1575" s="25" t="s">
        <v>2451</v>
      </c>
      <c r="I1575" s="25" t="s">
        <v>244</v>
      </c>
      <c r="J1575" s="26"/>
    </row>
    <row r="1576" spans="1:10" s="41" customFormat="1" ht="30.95" customHeight="1">
      <c r="A1576" s="41">
        <v>78</v>
      </c>
      <c r="C1576" s="22">
        <f t="shared" si="24"/>
        <v>1569</v>
      </c>
      <c r="D1576" s="161" t="s">
        <v>3865</v>
      </c>
      <c r="E1576" s="23" t="s">
        <v>1136</v>
      </c>
      <c r="F1576" s="45" t="s">
        <v>2740</v>
      </c>
      <c r="G1576" s="24">
        <v>1235</v>
      </c>
      <c r="H1576" s="25" t="s">
        <v>2451</v>
      </c>
      <c r="I1576" s="25" t="s">
        <v>244</v>
      </c>
      <c r="J1576" s="26"/>
    </row>
    <row r="1577" spans="1:10" s="41" customFormat="1" ht="30.95" customHeight="1">
      <c r="A1577" s="41">
        <v>79</v>
      </c>
      <c r="C1577" s="22">
        <f t="shared" si="24"/>
        <v>1570</v>
      </c>
      <c r="D1577" s="161" t="s">
        <v>3866</v>
      </c>
      <c r="E1577" s="23" t="s">
        <v>1136</v>
      </c>
      <c r="F1577" s="45" t="s">
        <v>2740</v>
      </c>
      <c r="G1577" s="24">
        <v>1547</v>
      </c>
      <c r="H1577" s="25" t="s">
        <v>2451</v>
      </c>
      <c r="I1577" s="25" t="s">
        <v>244</v>
      </c>
      <c r="J1577" s="26"/>
    </row>
    <row r="1578" spans="1:10" s="41" customFormat="1" ht="30.95" customHeight="1">
      <c r="A1578" s="41">
        <v>80</v>
      </c>
      <c r="C1578" s="22">
        <f t="shared" si="24"/>
        <v>1571</v>
      </c>
      <c r="D1578" s="161" t="s">
        <v>3867</v>
      </c>
      <c r="E1578" s="23" t="s">
        <v>1136</v>
      </c>
      <c r="F1578" s="45" t="s">
        <v>2740</v>
      </c>
      <c r="G1578" s="24">
        <v>1456</v>
      </c>
      <c r="H1578" s="25" t="s">
        <v>2451</v>
      </c>
      <c r="I1578" s="25" t="s">
        <v>244</v>
      </c>
      <c r="J1578" s="26"/>
    </row>
    <row r="1579" spans="1:10" s="41" customFormat="1" ht="30.95" customHeight="1">
      <c r="A1579" s="41">
        <v>81</v>
      </c>
      <c r="C1579" s="22">
        <f t="shared" si="24"/>
        <v>1572</v>
      </c>
      <c r="D1579" s="161" t="s">
        <v>3868</v>
      </c>
      <c r="E1579" s="23" t="s">
        <v>1136</v>
      </c>
      <c r="F1579" s="45" t="s">
        <v>2740</v>
      </c>
      <c r="G1579" s="24">
        <v>1546</v>
      </c>
      <c r="H1579" s="25" t="s">
        <v>2451</v>
      </c>
      <c r="I1579" s="25" t="s">
        <v>244</v>
      </c>
      <c r="J1579" s="26"/>
    </row>
    <row r="1580" spans="1:10" s="41" customFormat="1" ht="30.95" customHeight="1">
      <c r="A1580" s="41">
        <v>82</v>
      </c>
      <c r="C1580" s="22">
        <f t="shared" si="24"/>
        <v>1573</v>
      </c>
      <c r="D1580" s="161" t="s">
        <v>3869</v>
      </c>
      <c r="E1580" s="23" t="s">
        <v>1136</v>
      </c>
      <c r="F1580" s="45" t="s">
        <v>2740</v>
      </c>
      <c r="G1580" s="24">
        <v>1897</v>
      </c>
      <c r="H1580" s="25" t="s">
        <v>2451</v>
      </c>
      <c r="I1580" s="25" t="s">
        <v>244</v>
      </c>
      <c r="J1580" s="26"/>
    </row>
    <row r="1581" spans="1:10" s="41" customFormat="1" ht="30.95" customHeight="1">
      <c r="A1581" s="41">
        <v>83</v>
      </c>
      <c r="C1581" s="22">
        <f t="shared" si="24"/>
        <v>1574</v>
      </c>
      <c r="D1581" s="161" t="s">
        <v>3870</v>
      </c>
      <c r="E1581" s="23" t="s">
        <v>1136</v>
      </c>
      <c r="F1581" s="45" t="s">
        <v>2740</v>
      </c>
      <c r="G1581" s="24">
        <v>1025</v>
      </c>
      <c r="H1581" s="25" t="s">
        <v>2451</v>
      </c>
      <c r="I1581" s="25" t="s">
        <v>244</v>
      </c>
      <c r="J1581" s="26"/>
    </row>
    <row r="1582" spans="1:10" s="41" customFormat="1" ht="30.95" customHeight="1">
      <c r="A1582" s="41">
        <v>84</v>
      </c>
      <c r="C1582" s="22">
        <f t="shared" si="24"/>
        <v>1575</v>
      </c>
      <c r="D1582" s="161" t="s">
        <v>3871</v>
      </c>
      <c r="E1582" s="23" t="s">
        <v>1136</v>
      </c>
      <c r="F1582" s="45" t="s">
        <v>2740</v>
      </c>
      <c r="G1582" s="24">
        <v>1540</v>
      </c>
      <c r="H1582" s="25" t="s">
        <v>2451</v>
      </c>
      <c r="I1582" s="25" t="s">
        <v>244</v>
      </c>
      <c r="J1582" s="26"/>
    </row>
    <row r="1583" spans="1:10" s="41" customFormat="1" ht="30.95" customHeight="1">
      <c r="A1583" s="41">
        <v>85</v>
      </c>
      <c r="C1583" s="22">
        <f t="shared" si="24"/>
        <v>1576</v>
      </c>
      <c r="D1583" s="161" t="s">
        <v>2764</v>
      </c>
      <c r="E1583" s="23" t="s">
        <v>1136</v>
      </c>
      <c r="F1583" s="45" t="s">
        <v>2740</v>
      </c>
      <c r="G1583" s="24">
        <v>1567</v>
      </c>
      <c r="H1583" s="25" t="s">
        <v>2765</v>
      </c>
      <c r="I1583" s="25" t="s">
        <v>407</v>
      </c>
      <c r="J1583" s="26"/>
    </row>
    <row r="1584" spans="1:10" s="41" customFormat="1" ht="30.95" customHeight="1">
      <c r="A1584" s="41">
        <v>86</v>
      </c>
      <c r="C1584" s="22">
        <f t="shared" si="24"/>
        <v>1577</v>
      </c>
      <c r="D1584" s="161" t="s">
        <v>2766</v>
      </c>
      <c r="E1584" s="23" t="s">
        <v>1136</v>
      </c>
      <c r="F1584" s="45" t="s">
        <v>2740</v>
      </c>
      <c r="G1584" s="24">
        <v>1642</v>
      </c>
      <c r="H1584" s="25" t="s">
        <v>2765</v>
      </c>
      <c r="I1584" s="25" t="s">
        <v>407</v>
      </c>
      <c r="J1584" s="26"/>
    </row>
    <row r="1585" spans="1:10" s="41" customFormat="1" ht="30.95" customHeight="1">
      <c r="A1585" s="41">
        <v>87</v>
      </c>
      <c r="C1585" s="22">
        <f t="shared" si="24"/>
        <v>1578</v>
      </c>
      <c r="D1585" s="161" t="s">
        <v>2767</v>
      </c>
      <c r="E1585" s="23" t="s">
        <v>1136</v>
      </c>
      <c r="F1585" s="45" t="s">
        <v>2740</v>
      </c>
      <c r="G1585" s="24">
        <v>1002</v>
      </c>
      <c r="H1585" s="25" t="s">
        <v>2768</v>
      </c>
      <c r="I1585" s="25" t="s">
        <v>407</v>
      </c>
      <c r="J1585" s="26"/>
    </row>
    <row r="1586" spans="1:10" s="41" customFormat="1" ht="30.95" customHeight="1">
      <c r="A1586" s="41">
        <v>88</v>
      </c>
      <c r="C1586" s="22">
        <f t="shared" si="24"/>
        <v>1579</v>
      </c>
      <c r="D1586" s="167" t="s">
        <v>2769</v>
      </c>
      <c r="E1586" s="23" t="s">
        <v>1136</v>
      </c>
      <c r="F1586" s="45" t="s">
        <v>2740</v>
      </c>
      <c r="G1586" s="49">
        <v>565.5</v>
      </c>
      <c r="H1586" s="25" t="s">
        <v>2770</v>
      </c>
      <c r="I1586" s="25" t="s">
        <v>407</v>
      </c>
      <c r="J1586" s="26"/>
    </row>
    <row r="1587" spans="1:10" s="41" customFormat="1" ht="30.95" customHeight="1">
      <c r="A1587" s="41">
        <v>89</v>
      </c>
      <c r="C1587" s="22">
        <f t="shared" si="24"/>
        <v>1580</v>
      </c>
      <c r="D1587" s="191" t="s">
        <v>2771</v>
      </c>
      <c r="E1587" s="23" t="s">
        <v>1136</v>
      </c>
      <c r="F1587" s="45" t="s">
        <v>2740</v>
      </c>
      <c r="G1587" s="50">
        <v>1052</v>
      </c>
      <c r="H1587" s="25" t="s">
        <v>2770</v>
      </c>
      <c r="I1587" s="25" t="s">
        <v>407</v>
      </c>
      <c r="J1587" s="26"/>
    </row>
    <row r="1588" spans="1:10" s="41" customFormat="1" ht="30.95" customHeight="1">
      <c r="A1588" s="41">
        <v>90</v>
      </c>
      <c r="C1588" s="22">
        <f t="shared" si="24"/>
        <v>1581</v>
      </c>
      <c r="D1588" s="191" t="s">
        <v>2772</v>
      </c>
      <c r="E1588" s="23" t="s">
        <v>1136</v>
      </c>
      <c r="F1588" s="45" t="s">
        <v>2740</v>
      </c>
      <c r="G1588" s="50">
        <v>591</v>
      </c>
      <c r="H1588" s="25" t="s">
        <v>1113</v>
      </c>
      <c r="I1588" s="25" t="s">
        <v>407</v>
      </c>
      <c r="J1588" s="26"/>
    </row>
    <row r="1589" spans="1:10" s="41" customFormat="1" ht="30.95" customHeight="1">
      <c r="A1589" s="41">
        <v>91</v>
      </c>
      <c r="C1589" s="22">
        <f t="shared" si="24"/>
        <v>1582</v>
      </c>
      <c r="D1589" s="191" t="s">
        <v>2773</v>
      </c>
      <c r="E1589" s="23" t="s">
        <v>1136</v>
      </c>
      <c r="F1589" s="45" t="s">
        <v>2740</v>
      </c>
      <c r="G1589" s="24">
        <v>772</v>
      </c>
      <c r="H1589" s="25" t="s">
        <v>1113</v>
      </c>
      <c r="I1589" s="25" t="s">
        <v>407</v>
      </c>
      <c r="J1589" s="26"/>
    </row>
    <row r="1590" spans="1:10" s="41" customFormat="1" ht="30.95" customHeight="1">
      <c r="A1590" s="41">
        <v>92</v>
      </c>
      <c r="C1590" s="22">
        <f t="shared" si="24"/>
        <v>1583</v>
      </c>
      <c r="D1590" s="191" t="s">
        <v>2774</v>
      </c>
      <c r="E1590" s="23" t="s">
        <v>1136</v>
      </c>
      <c r="F1590" s="45" t="s">
        <v>2740</v>
      </c>
      <c r="G1590" s="24">
        <v>390</v>
      </c>
      <c r="H1590" s="25" t="s">
        <v>1113</v>
      </c>
      <c r="I1590" s="25" t="s">
        <v>407</v>
      </c>
      <c r="J1590" s="26"/>
    </row>
    <row r="1591" spans="1:10" s="41" customFormat="1" ht="30.95" customHeight="1">
      <c r="A1591" s="41">
        <v>93</v>
      </c>
      <c r="C1591" s="22">
        <f t="shared" si="24"/>
        <v>1584</v>
      </c>
      <c r="D1591" s="191" t="s">
        <v>2775</v>
      </c>
      <c r="E1591" s="23" t="s">
        <v>1136</v>
      </c>
      <c r="F1591" s="45" t="s">
        <v>2740</v>
      </c>
      <c r="G1591" s="24">
        <v>630</v>
      </c>
      <c r="H1591" s="25" t="s">
        <v>2776</v>
      </c>
      <c r="I1591" s="25" t="s">
        <v>2465</v>
      </c>
      <c r="J1591" s="26"/>
    </row>
    <row r="1592" spans="1:10" s="41" customFormat="1" ht="30.95" customHeight="1">
      <c r="A1592" s="41">
        <v>94</v>
      </c>
      <c r="C1592" s="22">
        <f t="shared" si="24"/>
        <v>1585</v>
      </c>
      <c r="D1592" s="191" t="s">
        <v>2777</v>
      </c>
      <c r="E1592" s="23" t="s">
        <v>1136</v>
      </c>
      <c r="F1592" s="45" t="s">
        <v>2740</v>
      </c>
      <c r="G1592" s="51">
        <v>985.6</v>
      </c>
      <c r="H1592" s="25" t="s">
        <v>2770</v>
      </c>
      <c r="I1592" s="25" t="s">
        <v>407</v>
      </c>
      <c r="J1592" s="26"/>
    </row>
    <row r="1593" spans="1:10" s="41" customFormat="1" ht="30.95" customHeight="1">
      <c r="A1593" s="41">
        <v>95</v>
      </c>
      <c r="C1593" s="22">
        <f t="shared" si="24"/>
        <v>1586</v>
      </c>
      <c r="D1593" s="191" t="s">
        <v>2778</v>
      </c>
      <c r="E1593" s="23" t="s">
        <v>1136</v>
      </c>
      <c r="F1593" s="45" t="s">
        <v>2740</v>
      </c>
      <c r="G1593" s="51">
        <v>943.4</v>
      </c>
      <c r="H1593" s="25" t="s">
        <v>2770</v>
      </c>
      <c r="I1593" s="25" t="s">
        <v>2465</v>
      </c>
      <c r="J1593" s="26"/>
    </row>
    <row r="1594" spans="1:10" s="41" customFormat="1" ht="30.95" customHeight="1">
      <c r="A1594" s="41">
        <v>96</v>
      </c>
      <c r="C1594" s="22">
        <f t="shared" si="24"/>
        <v>1587</v>
      </c>
      <c r="D1594" s="191" t="s">
        <v>2776</v>
      </c>
      <c r="E1594" s="23" t="s">
        <v>1136</v>
      </c>
      <c r="F1594" s="45" t="s">
        <v>2740</v>
      </c>
      <c r="G1594" s="24">
        <v>1322</v>
      </c>
      <c r="H1594" s="25" t="s">
        <v>1113</v>
      </c>
      <c r="I1594" s="25" t="s">
        <v>2465</v>
      </c>
      <c r="J1594" s="26"/>
    </row>
    <row r="1595" spans="1:10" s="41" customFormat="1" ht="30.95" customHeight="1">
      <c r="A1595" s="41">
        <v>97</v>
      </c>
      <c r="C1595" s="22">
        <f t="shared" si="24"/>
        <v>1588</v>
      </c>
      <c r="D1595" s="166" t="s">
        <v>2779</v>
      </c>
      <c r="E1595" s="23" t="s">
        <v>1136</v>
      </c>
      <c r="F1595" s="45" t="s">
        <v>2740</v>
      </c>
      <c r="G1595" s="24">
        <v>629</v>
      </c>
      <c r="H1595" s="25" t="s">
        <v>643</v>
      </c>
      <c r="I1595" s="25" t="s">
        <v>2465</v>
      </c>
      <c r="J1595" s="26"/>
    </row>
    <row r="1596" spans="1:10" s="41" customFormat="1" ht="30.95" customHeight="1">
      <c r="A1596" s="41">
        <v>98</v>
      </c>
      <c r="C1596" s="22">
        <f t="shared" si="24"/>
        <v>1589</v>
      </c>
      <c r="D1596" s="166" t="s">
        <v>2780</v>
      </c>
      <c r="E1596" s="23" t="s">
        <v>1136</v>
      </c>
      <c r="F1596" s="45" t="s">
        <v>2740</v>
      </c>
      <c r="G1596" s="24">
        <v>596</v>
      </c>
      <c r="H1596" s="25" t="s">
        <v>643</v>
      </c>
      <c r="I1596" s="25" t="s">
        <v>2465</v>
      </c>
      <c r="J1596" s="26"/>
    </row>
    <row r="1597" spans="1:10" s="41" customFormat="1" ht="30.95" customHeight="1">
      <c r="A1597" s="41">
        <v>99</v>
      </c>
      <c r="C1597" s="22">
        <f t="shared" si="24"/>
        <v>1590</v>
      </c>
      <c r="D1597" s="166" t="s">
        <v>2781</v>
      </c>
      <c r="E1597" s="23" t="s">
        <v>1136</v>
      </c>
      <c r="F1597" s="45" t="s">
        <v>2740</v>
      </c>
      <c r="G1597" s="24">
        <v>721</v>
      </c>
      <c r="H1597" s="25" t="s">
        <v>2770</v>
      </c>
      <c r="I1597" s="25" t="s">
        <v>2465</v>
      </c>
      <c r="J1597" s="26"/>
    </row>
    <row r="1598" spans="1:10" s="41" customFormat="1" ht="30.95" customHeight="1">
      <c r="A1598" s="41">
        <v>100</v>
      </c>
      <c r="C1598" s="22">
        <f t="shared" si="24"/>
        <v>1591</v>
      </c>
      <c r="D1598" s="166" t="s">
        <v>2770</v>
      </c>
      <c r="E1598" s="23" t="s">
        <v>1136</v>
      </c>
      <c r="F1598" s="45" t="s">
        <v>2740</v>
      </c>
      <c r="G1598" s="51">
        <v>1582.5</v>
      </c>
      <c r="H1598" s="25" t="s">
        <v>2782</v>
      </c>
      <c r="I1598" s="25" t="s">
        <v>2465</v>
      </c>
      <c r="J1598" s="26"/>
    </row>
    <row r="1599" spans="1:10" s="41" customFormat="1" ht="30.95" customHeight="1">
      <c r="A1599" s="41">
        <v>101</v>
      </c>
      <c r="C1599" s="22">
        <f t="shared" si="24"/>
        <v>1592</v>
      </c>
      <c r="D1599" s="166" t="s">
        <v>2783</v>
      </c>
      <c r="E1599" s="23" t="s">
        <v>1136</v>
      </c>
      <c r="F1599" s="45" t="s">
        <v>2740</v>
      </c>
      <c r="G1599" s="51">
        <v>220.6</v>
      </c>
      <c r="H1599" s="25" t="s">
        <v>1113</v>
      </c>
      <c r="I1599" s="25" t="s">
        <v>2465</v>
      </c>
      <c r="J1599" s="26"/>
    </row>
    <row r="1600" spans="1:10" s="41" customFormat="1" ht="30.95" customHeight="1">
      <c r="A1600" s="41">
        <v>102</v>
      </c>
      <c r="C1600" s="22">
        <f t="shared" si="24"/>
        <v>1593</v>
      </c>
      <c r="D1600" s="192" t="s">
        <v>2784</v>
      </c>
      <c r="E1600" s="23" t="s">
        <v>1136</v>
      </c>
      <c r="F1600" s="45" t="s">
        <v>2740</v>
      </c>
      <c r="G1600" s="52">
        <v>417.1</v>
      </c>
      <c r="H1600" s="25" t="s">
        <v>1113</v>
      </c>
      <c r="I1600" s="25" t="s">
        <v>407</v>
      </c>
      <c r="J1600" s="26"/>
    </row>
    <row r="1601" spans="1:10" s="41" customFormat="1" ht="30.95" customHeight="1">
      <c r="A1601" s="41">
        <v>103</v>
      </c>
      <c r="C1601" s="22">
        <f t="shared" si="24"/>
        <v>1594</v>
      </c>
      <c r="D1601" s="192" t="s">
        <v>2785</v>
      </c>
      <c r="E1601" s="23" t="s">
        <v>1136</v>
      </c>
      <c r="F1601" s="45" t="s">
        <v>2740</v>
      </c>
      <c r="G1601" s="52">
        <v>751.6</v>
      </c>
      <c r="H1601" s="25" t="s">
        <v>1113</v>
      </c>
      <c r="I1601" s="25" t="s">
        <v>2465</v>
      </c>
      <c r="J1601" s="26"/>
    </row>
    <row r="1602" spans="1:10" s="159" customFormat="1" ht="30.95" customHeight="1">
      <c r="A1602" s="159">
        <v>104</v>
      </c>
      <c r="C1602" s="160">
        <f t="shared" si="24"/>
        <v>1595</v>
      </c>
      <c r="D1602" s="167" t="s">
        <v>2786</v>
      </c>
      <c r="E1602" s="162" t="s">
        <v>1136</v>
      </c>
      <c r="F1602" s="150" t="s">
        <v>2740</v>
      </c>
      <c r="G1602" s="168">
        <v>1561</v>
      </c>
      <c r="H1602" s="164" t="s">
        <v>2746</v>
      </c>
      <c r="I1602" s="164" t="s">
        <v>2787</v>
      </c>
      <c r="J1602" s="165"/>
    </row>
    <row r="1603" spans="1:10" s="41" customFormat="1" ht="30.95" customHeight="1">
      <c r="A1603" s="41">
        <v>105</v>
      </c>
      <c r="C1603" s="22">
        <f t="shared" si="24"/>
        <v>1596</v>
      </c>
      <c r="D1603" s="167" t="s">
        <v>2788</v>
      </c>
      <c r="E1603" s="23" t="s">
        <v>1136</v>
      </c>
      <c r="F1603" s="45" t="s">
        <v>2740</v>
      </c>
      <c r="G1603" s="50">
        <v>356</v>
      </c>
      <c r="H1603" s="25" t="s">
        <v>2789</v>
      </c>
      <c r="I1603" s="25" t="s">
        <v>2790</v>
      </c>
      <c r="J1603" s="26"/>
    </row>
    <row r="1604" spans="1:10" s="41" customFormat="1" ht="30.95" customHeight="1">
      <c r="A1604" s="41">
        <v>106</v>
      </c>
      <c r="C1604" s="22">
        <f t="shared" si="24"/>
        <v>1597</v>
      </c>
      <c r="D1604" s="167" t="s">
        <v>2791</v>
      </c>
      <c r="E1604" s="23" t="s">
        <v>1136</v>
      </c>
      <c r="F1604" s="45" t="s">
        <v>2740</v>
      </c>
      <c r="G1604" s="50">
        <v>508</v>
      </c>
      <c r="H1604" s="25" t="s">
        <v>2789</v>
      </c>
      <c r="I1604" s="25" t="s">
        <v>2792</v>
      </c>
      <c r="J1604" s="26"/>
    </row>
    <row r="1605" spans="1:10" s="41" customFormat="1" ht="30.95" customHeight="1">
      <c r="A1605" s="41">
        <v>107</v>
      </c>
      <c r="C1605" s="22">
        <f t="shared" si="24"/>
        <v>1598</v>
      </c>
      <c r="D1605" s="191" t="s">
        <v>2793</v>
      </c>
      <c r="E1605" s="23" t="s">
        <v>1136</v>
      </c>
      <c r="F1605" s="45" t="s">
        <v>2740</v>
      </c>
      <c r="G1605" s="50">
        <v>539</v>
      </c>
      <c r="H1605" s="25" t="s">
        <v>1306</v>
      </c>
      <c r="I1605" s="25" t="s">
        <v>2794</v>
      </c>
      <c r="J1605" s="26"/>
    </row>
    <row r="1606" spans="1:10" s="41" customFormat="1" ht="30.95" customHeight="1">
      <c r="A1606" s="41">
        <v>108</v>
      </c>
      <c r="C1606" s="22">
        <f t="shared" si="24"/>
        <v>1599</v>
      </c>
      <c r="D1606" s="191" t="s">
        <v>2795</v>
      </c>
      <c r="E1606" s="23" t="s">
        <v>1136</v>
      </c>
      <c r="F1606" s="45" t="s">
        <v>2740</v>
      </c>
      <c r="G1606" s="50">
        <v>715</v>
      </c>
      <c r="H1606" s="25" t="s">
        <v>1246</v>
      </c>
      <c r="I1606" s="25" t="s">
        <v>2796</v>
      </c>
      <c r="J1606" s="26"/>
    </row>
    <row r="1607" spans="1:10" s="41" customFormat="1" ht="30.95" customHeight="1">
      <c r="A1607" s="41">
        <v>109</v>
      </c>
      <c r="C1607" s="22">
        <f t="shared" si="24"/>
        <v>1600</v>
      </c>
      <c r="D1607" s="191" t="s">
        <v>2797</v>
      </c>
      <c r="E1607" s="23" t="s">
        <v>1136</v>
      </c>
      <c r="F1607" s="45" t="s">
        <v>2740</v>
      </c>
      <c r="G1607" s="50">
        <v>249</v>
      </c>
      <c r="H1607" s="25" t="s">
        <v>3550</v>
      </c>
      <c r="I1607" s="25" t="s">
        <v>2794</v>
      </c>
      <c r="J1607" s="26"/>
    </row>
    <row r="1608" spans="1:10" s="41" customFormat="1" ht="30.95" customHeight="1">
      <c r="A1608" s="41">
        <v>110</v>
      </c>
      <c r="C1608" s="22">
        <f t="shared" si="24"/>
        <v>1601</v>
      </c>
      <c r="D1608" s="191" t="s">
        <v>2798</v>
      </c>
      <c r="E1608" s="23" t="s">
        <v>1136</v>
      </c>
      <c r="F1608" s="45" t="s">
        <v>2740</v>
      </c>
      <c r="G1608" s="24">
        <v>759</v>
      </c>
      <c r="H1608" s="25" t="s">
        <v>3550</v>
      </c>
      <c r="I1608" s="25" t="s">
        <v>2799</v>
      </c>
      <c r="J1608" s="26"/>
    </row>
    <row r="1609" spans="1:10" s="41" customFormat="1" ht="30.95" customHeight="1">
      <c r="A1609" s="41">
        <v>111</v>
      </c>
      <c r="C1609" s="22">
        <f t="shared" si="24"/>
        <v>1602</v>
      </c>
      <c r="D1609" s="191" t="s">
        <v>2800</v>
      </c>
      <c r="E1609" s="23" t="s">
        <v>1136</v>
      </c>
      <c r="F1609" s="45" t="s">
        <v>2740</v>
      </c>
      <c r="G1609" s="24">
        <v>233</v>
      </c>
      <c r="H1609" s="25" t="s">
        <v>3550</v>
      </c>
      <c r="I1609" s="25" t="s">
        <v>2801</v>
      </c>
      <c r="J1609" s="26"/>
    </row>
    <row r="1610" spans="1:10" s="41" customFormat="1" ht="30.95" customHeight="1">
      <c r="A1610" s="41">
        <v>112</v>
      </c>
      <c r="C1610" s="22">
        <f t="shared" ref="C1610:C1673" si="25">C1609+1</f>
        <v>1603</v>
      </c>
      <c r="D1610" s="191" t="s">
        <v>2802</v>
      </c>
      <c r="E1610" s="23" t="s">
        <v>1136</v>
      </c>
      <c r="F1610" s="45" t="s">
        <v>2740</v>
      </c>
      <c r="G1610" s="24">
        <v>619</v>
      </c>
      <c r="H1610" s="25" t="s">
        <v>2803</v>
      </c>
      <c r="I1610" s="25" t="s">
        <v>2804</v>
      </c>
      <c r="J1610" s="26"/>
    </row>
    <row r="1611" spans="1:10" s="41" customFormat="1" ht="30.95" customHeight="1">
      <c r="A1611" s="41">
        <v>113</v>
      </c>
      <c r="C1611" s="22">
        <f t="shared" si="25"/>
        <v>1604</v>
      </c>
      <c r="D1611" s="166" t="s">
        <v>2805</v>
      </c>
      <c r="E1611" s="23" t="s">
        <v>1136</v>
      </c>
      <c r="F1611" s="45" t="s">
        <v>2740</v>
      </c>
      <c r="G1611" s="24">
        <v>620</v>
      </c>
      <c r="H1611" s="25" t="s">
        <v>2471</v>
      </c>
      <c r="I1611" s="25" t="s">
        <v>2806</v>
      </c>
      <c r="J1611" s="26"/>
    </row>
    <row r="1612" spans="1:10" s="41" customFormat="1" ht="30.95" customHeight="1">
      <c r="A1612" s="41">
        <v>114</v>
      </c>
      <c r="C1612" s="22">
        <f t="shared" si="25"/>
        <v>1605</v>
      </c>
      <c r="D1612" s="190" t="s">
        <v>2807</v>
      </c>
      <c r="E1612" s="23" t="s">
        <v>1136</v>
      </c>
      <c r="F1612" s="45" t="s">
        <v>2740</v>
      </c>
      <c r="G1612" s="24">
        <v>1100</v>
      </c>
      <c r="H1612" s="25" t="s">
        <v>2808</v>
      </c>
      <c r="I1612" s="25" t="s">
        <v>2809</v>
      </c>
      <c r="J1612" s="26"/>
    </row>
    <row r="1613" spans="1:10" s="41" customFormat="1" ht="30.95" customHeight="1">
      <c r="A1613" s="41">
        <v>115</v>
      </c>
      <c r="C1613" s="22">
        <f t="shared" si="25"/>
        <v>1606</v>
      </c>
      <c r="D1613" s="191" t="s">
        <v>2810</v>
      </c>
      <c r="E1613" s="23" t="s">
        <v>1136</v>
      </c>
      <c r="F1613" s="45" t="s">
        <v>2740</v>
      </c>
      <c r="G1613" s="24">
        <v>1800</v>
      </c>
      <c r="H1613" s="25" t="s">
        <v>1117</v>
      </c>
      <c r="I1613" s="25" t="s">
        <v>2459</v>
      </c>
      <c r="J1613" s="26"/>
    </row>
    <row r="1614" spans="1:10" s="41" customFormat="1" ht="30.95" customHeight="1">
      <c r="A1614" s="41">
        <v>116</v>
      </c>
      <c r="C1614" s="22">
        <f t="shared" si="25"/>
        <v>1607</v>
      </c>
      <c r="D1614" s="191" t="s">
        <v>2811</v>
      </c>
      <c r="E1614" s="23" t="s">
        <v>1136</v>
      </c>
      <c r="F1614" s="45" t="s">
        <v>2740</v>
      </c>
      <c r="G1614" s="24">
        <v>851</v>
      </c>
      <c r="H1614" s="25" t="s">
        <v>1113</v>
      </c>
      <c r="I1614" s="25" t="s">
        <v>2459</v>
      </c>
      <c r="J1614" s="26"/>
    </row>
    <row r="1615" spans="1:10" s="41" customFormat="1" ht="30.95" customHeight="1">
      <c r="A1615" s="41">
        <v>117</v>
      </c>
      <c r="C1615" s="22">
        <f t="shared" si="25"/>
        <v>1608</v>
      </c>
      <c r="D1615" s="167" t="s">
        <v>2812</v>
      </c>
      <c r="E1615" s="23" t="s">
        <v>1136</v>
      </c>
      <c r="F1615" s="45" t="s">
        <v>2740</v>
      </c>
      <c r="G1615" s="50">
        <v>1020</v>
      </c>
      <c r="H1615" s="25" t="s">
        <v>2813</v>
      </c>
      <c r="I1615" s="25" t="s">
        <v>1111</v>
      </c>
      <c r="J1615" s="26"/>
    </row>
    <row r="1616" spans="1:10" s="41" customFormat="1" ht="30.95" customHeight="1">
      <c r="A1616" s="41">
        <v>118</v>
      </c>
      <c r="C1616" s="22">
        <f t="shared" si="25"/>
        <v>1609</v>
      </c>
      <c r="D1616" s="166" t="s">
        <v>2814</v>
      </c>
      <c r="E1616" s="23" t="s">
        <v>1136</v>
      </c>
      <c r="F1616" s="45" t="s">
        <v>2740</v>
      </c>
      <c r="G1616" s="24">
        <v>1000</v>
      </c>
      <c r="H1616" s="25" t="s">
        <v>2815</v>
      </c>
      <c r="I1616" s="25" t="s">
        <v>2816</v>
      </c>
      <c r="J1616" s="26"/>
    </row>
    <row r="1617" spans="1:10" s="41" customFormat="1" ht="30.95" customHeight="1">
      <c r="A1617" s="41">
        <v>119</v>
      </c>
      <c r="C1617" s="22">
        <f t="shared" si="25"/>
        <v>1610</v>
      </c>
      <c r="D1617" s="166" t="s">
        <v>2817</v>
      </c>
      <c r="E1617" s="23" t="s">
        <v>1136</v>
      </c>
      <c r="F1617" s="45" t="s">
        <v>2740</v>
      </c>
      <c r="G1617" s="53">
        <v>900</v>
      </c>
      <c r="H1617" s="25" t="s">
        <v>2818</v>
      </c>
      <c r="I1617" s="25" t="s">
        <v>2818</v>
      </c>
      <c r="J1617" s="26"/>
    </row>
    <row r="1618" spans="1:10" s="202" customFormat="1" ht="30.95" customHeight="1">
      <c r="A1618" s="202">
        <v>120</v>
      </c>
      <c r="C1618" s="203">
        <f t="shared" si="25"/>
        <v>1611</v>
      </c>
      <c r="D1618" s="204" t="s">
        <v>3896</v>
      </c>
      <c r="E1618" s="205" t="s">
        <v>1136</v>
      </c>
      <c r="F1618" s="206" t="s">
        <v>2740</v>
      </c>
      <c r="G1618" s="207">
        <v>3000</v>
      </c>
      <c r="H1618" s="208" t="s">
        <v>2813</v>
      </c>
      <c r="I1618" s="208" t="s">
        <v>2400</v>
      </c>
      <c r="J1618" s="209" t="s">
        <v>3897</v>
      </c>
    </row>
    <row r="1619" spans="1:10" s="41" customFormat="1" ht="30.95" customHeight="1">
      <c r="A1619" s="41">
        <v>121</v>
      </c>
      <c r="C1619" s="22">
        <f t="shared" si="25"/>
        <v>1612</v>
      </c>
      <c r="D1619" s="167" t="s">
        <v>2819</v>
      </c>
      <c r="E1619" s="23" t="s">
        <v>1136</v>
      </c>
      <c r="F1619" s="45" t="s">
        <v>2740</v>
      </c>
      <c r="G1619" s="50">
        <v>500</v>
      </c>
      <c r="H1619" s="25" t="s">
        <v>433</v>
      </c>
      <c r="I1619" s="25" t="s">
        <v>2224</v>
      </c>
      <c r="J1619" s="26"/>
    </row>
    <row r="1620" spans="1:10" s="41" customFormat="1" ht="30.95" customHeight="1">
      <c r="A1620" s="41">
        <v>122</v>
      </c>
      <c r="C1620" s="22">
        <f t="shared" si="25"/>
        <v>1613</v>
      </c>
      <c r="D1620" s="167" t="s">
        <v>787</v>
      </c>
      <c r="E1620" s="23" t="s">
        <v>1136</v>
      </c>
      <c r="F1620" s="45" t="s">
        <v>2740</v>
      </c>
      <c r="G1620" s="50">
        <v>1000</v>
      </c>
      <c r="H1620" s="25" t="s">
        <v>2820</v>
      </c>
      <c r="I1620" s="25" t="s">
        <v>433</v>
      </c>
      <c r="J1620" s="26"/>
    </row>
    <row r="1621" spans="1:10" s="41" customFormat="1" ht="30.95" customHeight="1">
      <c r="A1621" s="41">
        <v>123</v>
      </c>
      <c r="C1621" s="22">
        <f t="shared" si="25"/>
        <v>1614</v>
      </c>
      <c r="D1621" s="167" t="s">
        <v>2423</v>
      </c>
      <c r="E1621" s="23" t="s">
        <v>1136</v>
      </c>
      <c r="F1621" s="45" t="s">
        <v>2740</v>
      </c>
      <c r="G1621" s="50">
        <v>200</v>
      </c>
      <c r="H1621" s="25" t="s">
        <v>433</v>
      </c>
      <c r="I1621" s="25" t="s">
        <v>407</v>
      </c>
      <c r="J1621" s="26"/>
    </row>
    <row r="1622" spans="1:10" s="41" customFormat="1" ht="30.95" customHeight="1">
      <c r="A1622" s="41">
        <v>124</v>
      </c>
      <c r="C1622" s="22">
        <f t="shared" si="25"/>
        <v>1615</v>
      </c>
      <c r="D1622" s="191" t="s">
        <v>2821</v>
      </c>
      <c r="E1622" s="23" t="s">
        <v>1136</v>
      </c>
      <c r="F1622" s="45" t="s">
        <v>2740</v>
      </c>
      <c r="G1622" s="50">
        <v>400</v>
      </c>
      <c r="H1622" s="25" t="s">
        <v>433</v>
      </c>
      <c r="I1622" s="25" t="s">
        <v>407</v>
      </c>
      <c r="J1622" s="26"/>
    </row>
    <row r="1623" spans="1:10" s="41" customFormat="1" ht="30.95" customHeight="1">
      <c r="A1623" s="41">
        <v>125</v>
      </c>
      <c r="C1623" s="22">
        <f t="shared" si="25"/>
        <v>1616</v>
      </c>
      <c r="D1623" s="191" t="s">
        <v>2822</v>
      </c>
      <c r="E1623" s="23" t="s">
        <v>1136</v>
      </c>
      <c r="F1623" s="45" t="s">
        <v>2740</v>
      </c>
      <c r="G1623" s="50">
        <v>360</v>
      </c>
      <c r="H1623" s="25" t="s">
        <v>433</v>
      </c>
      <c r="I1623" s="25" t="s">
        <v>407</v>
      </c>
      <c r="J1623" s="26"/>
    </row>
    <row r="1624" spans="1:10" s="41" customFormat="1" ht="30.95" customHeight="1">
      <c r="A1624" s="41">
        <v>126</v>
      </c>
      <c r="C1624" s="22">
        <f t="shared" si="25"/>
        <v>1617</v>
      </c>
      <c r="D1624" s="191" t="s">
        <v>2823</v>
      </c>
      <c r="E1624" s="23" t="s">
        <v>1136</v>
      </c>
      <c r="F1624" s="45" t="s">
        <v>2740</v>
      </c>
      <c r="G1624" s="24">
        <v>140</v>
      </c>
      <c r="H1624" s="25" t="s">
        <v>433</v>
      </c>
      <c r="I1624" s="25" t="s">
        <v>407</v>
      </c>
      <c r="J1624" s="26"/>
    </row>
    <row r="1625" spans="1:10" s="41" customFormat="1" ht="30.95" customHeight="1">
      <c r="A1625" s="41">
        <v>127</v>
      </c>
      <c r="C1625" s="22">
        <f t="shared" si="25"/>
        <v>1618</v>
      </c>
      <c r="D1625" s="191" t="s">
        <v>2824</v>
      </c>
      <c r="E1625" s="23" t="s">
        <v>1136</v>
      </c>
      <c r="F1625" s="45" t="s">
        <v>2740</v>
      </c>
      <c r="G1625" s="24">
        <v>140</v>
      </c>
      <c r="H1625" s="25" t="s">
        <v>433</v>
      </c>
      <c r="I1625" s="25" t="s">
        <v>407</v>
      </c>
      <c r="J1625" s="26"/>
    </row>
    <row r="1626" spans="1:10" s="41" customFormat="1" ht="30.95" customHeight="1">
      <c r="A1626" s="41">
        <v>128</v>
      </c>
      <c r="C1626" s="22">
        <f t="shared" si="25"/>
        <v>1619</v>
      </c>
      <c r="D1626" s="191" t="s">
        <v>2825</v>
      </c>
      <c r="E1626" s="23" t="s">
        <v>1136</v>
      </c>
      <c r="F1626" s="45" t="s">
        <v>2740</v>
      </c>
      <c r="G1626" s="24">
        <v>300</v>
      </c>
      <c r="H1626" s="25" t="s">
        <v>433</v>
      </c>
      <c r="I1626" s="25" t="s">
        <v>407</v>
      </c>
      <c r="J1626" s="26"/>
    </row>
    <row r="1627" spans="1:10" s="41" customFormat="1" ht="30.95" customHeight="1">
      <c r="A1627" s="41">
        <v>129</v>
      </c>
      <c r="C1627" s="22">
        <f t="shared" si="25"/>
        <v>1620</v>
      </c>
      <c r="D1627" s="166" t="s">
        <v>2826</v>
      </c>
      <c r="E1627" s="23" t="s">
        <v>1136</v>
      </c>
      <c r="F1627" s="45" t="s">
        <v>2740</v>
      </c>
      <c r="G1627" s="24">
        <v>300</v>
      </c>
      <c r="H1627" s="25" t="s">
        <v>433</v>
      </c>
      <c r="I1627" s="25" t="s">
        <v>407</v>
      </c>
      <c r="J1627" s="26"/>
    </row>
    <row r="1628" spans="1:10" s="41" customFormat="1" ht="30.95" customHeight="1">
      <c r="A1628" s="41">
        <v>130</v>
      </c>
      <c r="C1628" s="22">
        <f t="shared" si="25"/>
        <v>1621</v>
      </c>
      <c r="D1628" s="166" t="s">
        <v>2827</v>
      </c>
      <c r="E1628" s="23" t="s">
        <v>1136</v>
      </c>
      <c r="F1628" s="45" t="s">
        <v>2740</v>
      </c>
      <c r="G1628" s="24">
        <v>240</v>
      </c>
      <c r="H1628" s="25" t="s">
        <v>2820</v>
      </c>
      <c r="I1628" s="25" t="s">
        <v>433</v>
      </c>
      <c r="J1628" s="26"/>
    </row>
    <row r="1629" spans="1:10" s="41" customFormat="1" ht="30.95" customHeight="1">
      <c r="A1629" s="41">
        <v>131</v>
      </c>
      <c r="C1629" s="22">
        <f t="shared" si="25"/>
        <v>1622</v>
      </c>
      <c r="D1629" s="166" t="s">
        <v>2828</v>
      </c>
      <c r="E1629" s="23" t="s">
        <v>1136</v>
      </c>
      <c r="F1629" s="45" t="s">
        <v>2740</v>
      </c>
      <c r="G1629" s="24">
        <v>240</v>
      </c>
      <c r="H1629" s="25" t="s">
        <v>2820</v>
      </c>
      <c r="I1629" s="25" t="s">
        <v>433</v>
      </c>
      <c r="J1629" s="26"/>
    </row>
    <row r="1630" spans="1:10" s="41" customFormat="1" ht="30.95" customHeight="1">
      <c r="A1630" s="41">
        <v>132</v>
      </c>
      <c r="C1630" s="22">
        <f t="shared" si="25"/>
        <v>1623</v>
      </c>
      <c r="D1630" s="166" t="s">
        <v>2829</v>
      </c>
      <c r="E1630" s="23" t="s">
        <v>1136</v>
      </c>
      <c r="F1630" s="45" t="s">
        <v>2740</v>
      </c>
      <c r="G1630" s="24">
        <v>2000</v>
      </c>
      <c r="H1630" s="25" t="s">
        <v>2830</v>
      </c>
      <c r="I1630" s="25" t="s">
        <v>407</v>
      </c>
      <c r="J1630" s="26"/>
    </row>
    <row r="1631" spans="1:10" s="41" customFormat="1" ht="30.95" customHeight="1">
      <c r="A1631" s="41">
        <v>133</v>
      </c>
      <c r="C1631" s="22">
        <f t="shared" si="25"/>
        <v>1624</v>
      </c>
      <c r="D1631" s="166" t="s">
        <v>2831</v>
      </c>
      <c r="E1631" s="23" t="s">
        <v>1136</v>
      </c>
      <c r="F1631" s="45" t="s">
        <v>2740</v>
      </c>
      <c r="G1631" s="24">
        <v>500</v>
      </c>
      <c r="H1631" s="25" t="s">
        <v>2829</v>
      </c>
      <c r="I1631" s="25" t="s">
        <v>2832</v>
      </c>
      <c r="J1631" s="26"/>
    </row>
    <row r="1632" spans="1:10" s="41" customFormat="1" ht="30.95" customHeight="1">
      <c r="A1632" s="41">
        <v>134</v>
      </c>
      <c r="C1632" s="22">
        <f t="shared" si="25"/>
        <v>1625</v>
      </c>
      <c r="D1632" s="166" t="s">
        <v>495</v>
      </c>
      <c r="E1632" s="23" t="s">
        <v>1136</v>
      </c>
      <c r="F1632" s="45" t="s">
        <v>2740</v>
      </c>
      <c r="G1632" s="24">
        <v>1000</v>
      </c>
      <c r="H1632" s="25" t="s">
        <v>433</v>
      </c>
      <c r="I1632" s="25" t="s">
        <v>2829</v>
      </c>
      <c r="J1632" s="26"/>
    </row>
    <row r="1633" spans="1:10" s="41" customFormat="1" ht="30.95" customHeight="1">
      <c r="A1633" s="41">
        <v>135</v>
      </c>
      <c r="C1633" s="22">
        <f t="shared" si="25"/>
        <v>1626</v>
      </c>
      <c r="D1633" s="166" t="s">
        <v>2832</v>
      </c>
      <c r="E1633" s="23" t="s">
        <v>1136</v>
      </c>
      <c r="F1633" s="45" t="s">
        <v>2740</v>
      </c>
      <c r="G1633" s="24">
        <v>1000</v>
      </c>
      <c r="H1633" s="25" t="s">
        <v>433</v>
      </c>
      <c r="I1633" s="25" t="s">
        <v>2831</v>
      </c>
      <c r="J1633" s="26"/>
    </row>
    <row r="1634" spans="1:10" s="41" customFormat="1" ht="30.95" customHeight="1">
      <c r="A1634" s="41">
        <v>136</v>
      </c>
      <c r="C1634" s="22">
        <f t="shared" si="25"/>
        <v>1627</v>
      </c>
      <c r="D1634" s="166" t="s">
        <v>2833</v>
      </c>
      <c r="E1634" s="23" t="s">
        <v>1136</v>
      </c>
      <c r="F1634" s="45" t="s">
        <v>2740</v>
      </c>
      <c r="G1634" s="24">
        <v>100</v>
      </c>
      <c r="H1634" s="25" t="s">
        <v>433</v>
      </c>
      <c r="I1634" s="25" t="s">
        <v>407</v>
      </c>
      <c r="J1634" s="26"/>
    </row>
    <row r="1635" spans="1:10" s="41" customFormat="1" ht="30.95" customHeight="1">
      <c r="A1635" s="41">
        <v>137</v>
      </c>
      <c r="C1635" s="22">
        <f t="shared" si="25"/>
        <v>1628</v>
      </c>
      <c r="D1635" s="191" t="s">
        <v>2834</v>
      </c>
      <c r="E1635" s="23" t="s">
        <v>1136</v>
      </c>
      <c r="F1635" s="45" t="s">
        <v>2740</v>
      </c>
      <c r="G1635" s="24">
        <v>900</v>
      </c>
      <c r="H1635" s="25" t="s">
        <v>2465</v>
      </c>
      <c r="I1635" s="25" t="s">
        <v>433</v>
      </c>
      <c r="J1635" s="26"/>
    </row>
    <row r="1636" spans="1:10" s="41" customFormat="1" ht="30.95" customHeight="1">
      <c r="A1636" s="41">
        <v>138</v>
      </c>
      <c r="C1636" s="22">
        <f t="shared" si="25"/>
        <v>1629</v>
      </c>
      <c r="D1636" s="191" t="s">
        <v>2557</v>
      </c>
      <c r="E1636" s="23" t="s">
        <v>1136</v>
      </c>
      <c r="F1636" s="45" t="s">
        <v>2740</v>
      </c>
      <c r="G1636" s="24">
        <v>700</v>
      </c>
      <c r="H1636" s="25" t="s">
        <v>433</v>
      </c>
      <c r="I1636" s="25" t="s">
        <v>407</v>
      </c>
      <c r="J1636" s="26"/>
    </row>
    <row r="1637" spans="1:10" s="41" customFormat="1" ht="30.95" customHeight="1">
      <c r="A1637" s="41">
        <v>139</v>
      </c>
      <c r="C1637" s="22">
        <f t="shared" si="25"/>
        <v>1630</v>
      </c>
      <c r="D1637" s="191" t="s">
        <v>2835</v>
      </c>
      <c r="E1637" s="23" t="s">
        <v>1136</v>
      </c>
      <c r="F1637" s="45" t="s">
        <v>2740</v>
      </c>
      <c r="G1637" s="24">
        <v>1200</v>
      </c>
      <c r="H1637" s="25" t="s">
        <v>2465</v>
      </c>
      <c r="I1637" s="25" t="s">
        <v>433</v>
      </c>
      <c r="J1637" s="26"/>
    </row>
    <row r="1638" spans="1:10" s="41" customFormat="1" ht="30.95" customHeight="1">
      <c r="A1638" s="41">
        <v>140</v>
      </c>
      <c r="C1638" s="22">
        <f t="shared" si="25"/>
        <v>1631</v>
      </c>
      <c r="D1638" s="191" t="s">
        <v>2836</v>
      </c>
      <c r="E1638" s="23" t="s">
        <v>1136</v>
      </c>
      <c r="F1638" s="45" t="s">
        <v>2740</v>
      </c>
      <c r="G1638" s="24">
        <v>1300</v>
      </c>
      <c r="H1638" s="25" t="s">
        <v>2465</v>
      </c>
      <c r="I1638" s="25" t="s">
        <v>433</v>
      </c>
      <c r="J1638" s="26"/>
    </row>
    <row r="1639" spans="1:10" s="41" customFormat="1" ht="30.95" customHeight="1">
      <c r="A1639" s="41">
        <v>141</v>
      </c>
      <c r="C1639" s="22">
        <f t="shared" si="25"/>
        <v>1632</v>
      </c>
      <c r="D1639" s="191" t="s">
        <v>2837</v>
      </c>
      <c r="E1639" s="23" t="s">
        <v>1136</v>
      </c>
      <c r="F1639" s="45" t="s">
        <v>2740</v>
      </c>
      <c r="G1639" s="24">
        <v>800</v>
      </c>
      <c r="H1639" s="25" t="s">
        <v>433</v>
      </c>
      <c r="I1639" s="25" t="s">
        <v>407</v>
      </c>
      <c r="J1639" s="26"/>
    </row>
    <row r="1640" spans="1:10" s="41" customFormat="1" ht="30.95" customHeight="1">
      <c r="A1640" s="41">
        <v>142</v>
      </c>
      <c r="C1640" s="22">
        <f t="shared" si="25"/>
        <v>1633</v>
      </c>
      <c r="D1640" s="166" t="s">
        <v>2323</v>
      </c>
      <c r="E1640" s="23" t="s">
        <v>1136</v>
      </c>
      <c r="F1640" s="45" t="s">
        <v>2740</v>
      </c>
      <c r="G1640" s="24">
        <v>800</v>
      </c>
      <c r="H1640" s="25" t="s">
        <v>433</v>
      </c>
      <c r="I1640" s="25" t="s">
        <v>407</v>
      </c>
      <c r="J1640" s="26"/>
    </row>
    <row r="1641" spans="1:10" s="41" customFormat="1" ht="30.95" customHeight="1">
      <c r="A1641" s="41">
        <v>143</v>
      </c>
      <c r="C1641" s="22">
        <f t="shared" si="25"/>
        <v>1634</v>
      </c>
      <c r="D1641" s="166" t="s">
        <v>2838</v>
      </c>
      <c r="E1641" s="23" t="s">
        <v>1136</v>
      </c>
      <c r="F1641" s="45" t="s">
        <v>2740</v>
      </c>
      <c r="G1641" s="24">
        <v>900</v>
      </c>
      <c r="H1641" s="25" t="s">
        <v>2839</v>
      </c>
      <c r="I1641" s="25" t="s">
        <v>433</v>
      </c>
      <c r="J1641" s="26"/>
    </row>
    <row r="1642" spans="1:10" s="41" customFormat="1" ht="30.95" customHeight="1">
      <c r="A1642" s="41">
        <v>144</v>
      </c>
      <c r="C1642" s="22">
        <f t="shared" si="25"/>
        <v>1635</v>
      </c>
      <c r="D1642" s="166" t="s">
        <v>2840</v>
      </c>
      <c r="E1642" s="23" t="s">
        <v>1136</v>
      </c>
      <c r="F1642" s="45" t="s">
        <v>2740</v>
      </c>
      <c r="G1642" s="24">
        <v>800</v>
      </c>
      <c r="H1642" s="25" t="s">
        <v>433</v>
      </c>
      <c r="I1642" s="25" t="s">
        <v>407</v>
      </c>
      <c r="J1642" s="26"/>
    </row>
    <row r="1643" spans="1:10" s="41" customFormat="1" ht="30.95" customHeight="1">
      <c r="A1643" s="41">
        <v>145</v>
      </c>
      <c r="C1643" s="22">
        <f t="shared" si="25"/>
        <v>1636</v>
      </c>
      <c r="D1643" s="166" t="s">
        <v>2841</v>
      </c>
      <c r="E1643" s="23" t="s">
        <v>1136</v>
      </c>
      <c r="F1643" s="45" t="s">
        <v>2740</v>
      </c>
      <c r="G1643" s="24">
        <v>700</v>
      </c>
      <c r="H1643" s="25" t="s">
        <v>433</v>
      </c>
      <c r="I1643" s="25" t="s">
        <v>407</v>
      </c>
      <c r="J1643" s="26"/>
    </row>
    <row r="1644" spans="1:10" s="41" customFormat="1" ht="30.95" customHeight="1">
      <c r="A1644" s="41">
        <v>146</v>
      </c>
      <c r="C1644" s="22">
        <f t="shared" si="25"/>
        <v>1637</v>
      </c>
      <c r="D1644" s="166" t="s">
        <v>2842</v>
      </c>
      <c r="E1644" s="23" t="s">
        <v>1136</v>
      </c>
      <c r="F1644" s="45" t="s">
        <v>2740</v>
      </c>
      <c r="G1644" s="24">
        <v>1000</v>
      </c>
      <c r="H1644" s="25" t="s">
        <v>433</v>
      </c>
      <c r="I1644" s="25" t="s">
        <v>407</v>
      </c>
      <c r="J1644" s="26"/>
    </row>
    <row r="1645" spans="1:10" s="41" customFormat="1" ht="30.95" customHeight="1">
      <c r="A1645" s="41">
        <v>147</v>
      </c>
      <c r="C1645" s="22">
        <f t="shared" si="25"/>
        <v>1638</v>
      </c>
      <c r="D1645" s="166" t="s">
        <v>2843</v>
      </c>
      <c r="E1645" s="23" t="s">
        <v>1136</v>
      </c>
      <c r="F1645" s="45" t="s">
        <v>2740</v>
      </c>
      <c r="G1645" s="24">
        <v>1300</v>
      </c>
      <c r="H1645" s="25" t="s">
        <v>2465</v>
      </c>
      <c r="I1645" s="25" t="s">
        <v>433</v>
      </c>
      <c r="J1645" s="26"/>
    </row>
    <row r="1646" spans="1:10" s="41" customFormat="1" ht="30.95" customHeight="1">
      <c r="A1646" s="41">
        <v>148</v>
      </c>
      <c r="C1646" s="22">
        <f t="shared" si="25"/>
        <v>1639</v>
      </c>
      <c r="D1646" s="166" t="s">
        <v>2844</v>
      </c>
      <c r="E1646" s="23" t="s">
        <v>1136</v>
      </c>
      <c r="F1646" s="45" t="s">
        <v>2740</v>
      </c>
      <c r="G1646" s="24">
        <v>900</v>
      </c>
      <c r="H1646" s="25" t="s">
        <v>407</v>
      </c>
      <c r="I1646" s="25" t="s">
        <v>433</v>
      </c>
      <c r="J1646" s="26"/>
    </row>
    <row r="1647" spans="1:10" s="41" customFormat="1" ht="30.95" customHeight="1">
      <c r="A1647" s="41">
        <v>149</v>
      </c>
      <c r="C1647" s="22">
        <f t="shared" si="25"/>
        <v>1640</v>
      </c>
      <c r="D1647" s="166" t="s">
        <v>2845</v>
      </c>
      <c r="E1647" s="23" t="s">
        <v>1136</v>
      </c>
      <c r="F1647" s="45" t="s">
        <v>2740</v>
      </c>
      <c r="G1647" s="24">
        <v>800</v>
      </c>
      <c r="H1647" s="25" t="s">
        <v>407</v>
      </c>
      <c r="I1647" s="25" t="s">
        <v>433</v>
      </c>
      <c r="J1647" s="26"/>
    </row>
    <row r="1648" spans="1:10" s="41" customFormat="1" ht="30.95" customHeight="1">
      <c r="A1648" s="41">
        <v>150</v>
      </c>
      <c r="C1648" s="22">
        <f t="shared" si="25"/>
        <v>1641</v>
      </c>
      <c r="D1648" s="166" t="s">
        <v>2846</v>
      </c>
      <c r="E1648" s="23" t="s">
        <v>1136</v>
      </c>
      <c r="F1648" s="45" t="s">
        <v>2740</v>
      </c>
      <c r="G1648" s="24">
        <v>1100</v>
      </c>
      <c r="H1648" s="25" t="s">
        <v>2465</v>
      </c>
      <c r="I1648" s="25" t="s">
        <v>433</v>
      </c>
      <c r="J1648" s="26"/>
    </row>
    <row r="1649" spans="1:10" s="41" customFormat="1" ht="30.95" customHeight="1">
      <c r="A1649" s="41">
        <v>151</v>
      </c>
      <c r="C1649" s="22">
        <f t="shared" si="25"/>
        <v>1642</v>
      </c>
      <c r="D1649" s="166" t="s">
        <v>2847</v>
      </c>
      <c r="E1649" s="23" t="s">
        <v>1136</v>
      </c>
      <c r="F1649" s="45" t="s">
        <v>2740</v>
      </c>
      <c r="G1649" s="24">
        <v>1000</v>
      </c>
      <c r="H1649" s="25" t="s">
        <v>2465</v>
      </c>
      <c r="I1649" s="25" t="s">
        <v>433</v>
      </c>
      <c r="J1649" s="26"/>
    </row>
    <row r="1650" spans="1:10" s="41" customFormat="1" ht="30.95" customHeight="1">
      <c r="A1650" s="41">
        <v>152</v>
      </c>
      <c r="C1650" s="22">
        <f t="shared" si="25"/>
        <v>1643</v>
      </c>
      <c r="D1650" s="166" t="s">
        <v>2848</v>
      </c>
      <c r="E1650" s="23" t="s">
        <v>1136</v>
      </c>
      <c r="F1650" s="45" t="s">
        <v>2740</v>
      </c>
      <c r="G1650" s="24">
        <v>300</v>
      </c>
      <c r="H1650" s="25" t="s">
        <v>2849</v>
      </c>
      <c r="I1650" s="25" t="s">
        <v>433</v>
      </c>
      <c r="J1650" s="26"/>
    </row>
    <row r="1651" spans="1:10" s="41" customFormat="1" ht="30.95" customHeight="1">
      <c r="A1651" s="41">
        <v>153</v>
      </c>
      <c r="C1651" s="22">
        <f t="shared" si="25"/>
        <v>1644</v>
      </c>
      <c r="D1651" s="166" t="s">
        <v>2850</v>
      </c>
      <c r="E1651" s="23" t="s">
        <v>1136</v>
      </c>
      <c r="F1651" s="45" t="s">
        <v>2740</v>
      </c>
      <c r="G1651" s="24">
        <v>800</v>
      </c>
      <c r="H1651" s="25" t="s">
        <v>2851</v>
      </c>
      <c r="I1651" s="25" t="s">
        <v>433</v>
      </c>
      <c r="J1651" s="26"/>
    </row>
    <row r="1652" spans="1:10" s="41" customFormat="1" ht="30.95" customHeight="1">
      <c r="A1652" s="41">
        <v>154</v>
      </c>
      <c r="C1652" s="22">
        <f t="shared" si="25"/>
        <v>1645</v>
      </c>
      <c r="D1652" s="166" t="s">
        <v>2852</v>
      </c>
      <c r="E1652" s="23" t="s">
        <v>1136</v>
      </c>
      <c r="F1652" s="45" t="s">
        <v>2740</v>
      </c>
      <c r="G1652" s="24">
        <v>200</v>
      </c>
      <c r="H1652" s="25" t="s">
        <v>2853</v>
      </c>
      <c r="I1652" s="25" t="s">
        <v>2854</v>
      </c>
      <c r="J1652" s="26"/>
    </row>
    <row r="1653" spans="1:10" s="41" customFormat="1" ht="30.95" customHeight="1">
      <c r="A1653" s="41">
        <v>155</v>
      </c>
      <c r="C1653" s="22">
        <f t="shared" si="25"/>
        <v>1646</v>
      </c>
      <c r="D1653" s="166" t="s">
        <v>2855</v>
      </c>
      <c r="E1653" s="23" t="s">
        <v>1136</v>
      </c>
      <c r="F1653" s="45" t="s">
        <v>2740</v>
      </c>
      <c r="G1653" s="24">
        <v>200</v>
      </c>
      <c r="H1653" s="25" t="s">
        <v>2853</v>
      </c>
      <c r="I1653" s="25" t="s">
        <v>2856</v>
      </c>
      <c r="J1653" s="26"/>
    </row>
    <row r="1654" spans="1:10" s="41" customFormat="1" ht="30.95" customHeight="1">
      <c r="A1654" s="41">
        <v>156</v>
      </c>
      <c r="C1654" s="22">
        <f t="shared" si="25"/>
        <v>1647</v>
      </c>
      <c r="D1654" s="166" t="s">
        <v>2857</v>
      </c>
      <c r="E1654" s="23" t="s">
        <v>1136</v>
      </c>
      <c r="F1654" s="45" t="s">
        <v>2740</v>
      </c>
      <c r="G1654" s="24">
        <v>50</v>
      </c>
      <c r="H1654" s="25" t="s">
        <v>2858</v>
      </c>
      <c r="I1654" s="25" t="s">
        <v>2859</v>
      </c>
      <c r="J1654" s="26"/>
    </row>
    <row r="1655" spans="1:10" s="41" customFormat="1" ht="30.95" customHeight="1">
      <c r="A1655" s="41">
        <v>157</v>
      </c>
      <c r="C1655" s="22">
        <f t="shared" si="25"/>
        <v>1648</v>
      </c>
      <c r="D1655" s="166" t="s">
        <v>2860</v>
      </c>
      <c r="E1655" s="23" t="s">
        <v>1136</v>
      </c>
      <c r="F1655" s="45" t="s">
        <v>2740</v>
      </c>
      <c r="G1655" s="24">
        <v>250</v>
      </c>
      <c r="H1655" s="25" t="s">
        <v>2861</v>
      </c>
      <c r="I1655" s="25" t="s">
        <v>2862</v>
      </c>
      <c r="J1655" s="26"/>
    </row>
    <row r="1656" spans="1:10" s="41" customFormat="1" ht="30.95" customHeight="1">
      <c r="A1656" s="41">
        <v>158</v>
      </c>
      <c r="C1656" s="22">
        <f t="shared" si="25"/>
        <v>1649</v>
      </c>
      <c r="D1656" s="166" t="s">
        <v>2861</v>
      </c>
      <c r="E1656" s="23" t="s">
        <v>1136</v>
      </c>
      <c r="F1656" s="45" t="s">
        <v>2740</v>
      </c>
      <c r="G1656" s="24">
        <v>300</v>
      </c>
      <c r="H1656" s="25" t="s">
        <v>2863</v>
      </c>
      <c r="I1656" s="25" t="s">
        <v>2864</v>
      </c>
      <c r="J1656" s="26"/>
    </row>
    <row r="1657" spans="1:10" s="41" customFormat="1" ht="30.95" customHeight="1">
      <c r="A1657" s="41">
        <v>159</v>
      </c>
      <c r="C1657" s="22">
        <f t="shared" si="25"/>
        <v>1650</v>
      </c>
      <c r="D1657" s="166" t="s">
        <v>2865</v>
      </c>
      <c r="E1657" s="23" t="s">
        <v>1136</v>
      </c>
      <c r="F1657" s="45" t="s">
        <v>2740</v>
      </c>
      <c r="G1657" s="24">
        <v>400</v>
      </c>
      <c r="H1657" s="25" t="s">
        <v>2861</v>
      </c>
      <c r="I1657" s="25" t="s">
        <v>2866</v>
      </c>
      <c r="J1657" s="26"/>
    </row>
    <row r="1658" spans="1:10" s="41" customFormat="1" ht="30.95" customHeight="1">
      <c r="A1658" s="41">
        <v>160</v>
      </c>
      <c r="C1658" s="22">
        <f t="shared" si="25"/>
        <v>1651</v>
      </c>
      <c r="D1658" s="166" t="s">
        <v>2867</v>
      </c>
      <c r="E1658" s="23" t="s">
        <v>1136</v>
      </c>
      <c r="F1658" s="45" t="s">
        <v>2740</v>
      </c>
      <c r="G1658" s="24">
        <v>400</v>
      </c>
      <c r="H1658" s="25" t="s">
        <v>2864</v>
      </c>
      <c r="I1658" s="25" t="s">
        <v>433</v>
      </c>
      <c r="J1658" s="26"/>
    </row>
    <row r="1659" spans="1:10" s="41" customFormat="1" ht="30.95" customHeight="1">
      <c r="A1659" s="41">
        <v>161</v>
      </c>
      <c r="C1659" s="22">
        <f t="shared" si="25"/>
        <v>1652</v>
      </c>
      <c r="D1659" s="166" t="s">
        <v>2868</v>
      </c>
      <c r="E1659" s="23" t="s">
        <v>1136</v>
      </c>
      <c r="F1659" s="45" t="s">
        <v>2740</v>
      </c>
      <c r="G1659" s="24">
        <v>200</v>
      </c>
      <c r="H1659" s="25" t="s">
        <v>2864</v>
      </c>
      <c r="I1659" s="25" t="s">
        <v>433</v>
      </c>
      <c r="J1659" s="26"/>
    </row>
    <row r="1660" spans="1:10" s="41" customFormat="1" ht="30.95" customHeight="1">
      <c r="A1660" s="41">
        <v>162</v>
      </c>
      <c r="C1660" s="22">
        <f t="shared" si="25"/>
        <v>1653</v>
      </c>
      <c r="D1660" s="166" t="s">
        <v>2869</v>
      </c>
      <c r="E1660" s="23" t="s">
        <v>1136</v>
      </c>
      <c r="F1660" s="45" t="s">
        <v>2740</v>
      </c>
      <c r="G1660" s="24">
        <v>700</v>
      </c>
      <c r="H1660" s="25" t="s">
        <v>2870</v>
      </c>
      <c r="I1660" s="25" t="s">
        <v>433</v>
      </c>
      <c r="J1660" s="26"/>
    </row>
    <row r="1661" spans="1:10" s="41" customFormat="1" ht="30.95" customHeight="1">
      <c r="A1661" s="41">
        <v>163</v>
      </c>
      <c r="C1661" s="22">
        <f t="shared" si="25"/>
        <v>1654</v>
      </c>
      <c r="D1661" s="166" t="s">
        <v>2871</v>
      </c>
      <c r="E1661" s="23" t="s">
        <v>1136</v>
      </c>
      <c r="F1661" s="45" t="s">
        <v>2740</v>
      </c>
      <c r="G1661" s="24">
        <v>250</v>
      </c>
      <c r="H1661" s="25" t="s">
        <v>2872</v>
      </c>
      <c r="I1661" s="25" t="s">
        <v>2873</v>
      </c>
      <c r="J1661" s="26"/>
    </row>
    <row r="1662" spans="1:10" s="41" customFormat="1" ht="30.95" customHeight="1">
      <c r="A1662" s="41">
        <v>164</v>
      </c>
      <c r="C1662" s="22">
        <f t="shared" si="25"/>
        <v>1655</v>
      </c>
      <c r="D1662" s="166" t="s">
        <v>2874</v>
      </c>
      <c r="E1662" s="23" t="s">
        <v>1136</v>
      </c>
      <c r="F1662" s="45" t="s">
        <v>2740</v>
      </c>
      <c r="G1662" s="24">
        <v>250</v>
      </c>
      <c r="H1662" s="25" t="s">
        <v>2872</v>
      </c>
      <c r="I1662" s="25" t="s">
        <v>2875</v>
      </c>
      <c r="J1662" s="26"/>
    </row>
    <row r="1663" spans="1:10" s="41" customFormat="1" ht="30.95" customHeight="1">
      <c r="A1663" s="41">
        <v>165</v>
      </c>
      <c r="C1663" s="22">
        <f t="shared" si="25"/>
        <v>1656</v>
      </c>
      <c r="D1663" s="166" t="s">
        <v>1010</v>
      </c>
      <c r="E1663" s="23" t="s">
        <v>1136</v>
      </c>
      <c r="F1663" s="45" t="s">
        <v>2740</v>
      </c>
      <c r="G1663" s="24">
        <v>200</v>
      </c>
      <c r="H1663" s="25" t="s">
        <v>2872</v>
      </c>
      <c r="I1663" s="25" t="s">
        <v>2876</v>
      </c>
      <c r="J1663" s="26"/>
    </row>
    <row r="1664" spans="1:10" s="41" customFormat="1" ht="30.95" customHeight="1">
      <c r="A1664" s="41">
        <v>166</v>
      </c>
      <c r="C1664" s="22">
        <f t="shared" si="25"/>
        <v>1657</v>
      </c>
      <c r="D1664" s="166" t="s">
        <v>2877</v>
      </c>
      <c r="E1664" s="23" t="s">
        <v>1136</v>
      </c>
      <c r="F1664" s="45" t="s">
        <v>2740</v>
      </c>
      <c r="G1664" s="24">
        <v>150</v>
      </c>
      <c r="H1664" s="25" t="s">
        <v>2878</v>
      </c>
      <c r="I1664" s="25" t="s">
        <v>2879</v>
      </c>
      <c r="J1664" s="26"/>
    </row>
    <row r="1665" spans="1:10" s="41" customFormat="1" ht="30.95" customHeight="1">
      <c r="A1665" s="41">
        <v>167</v>
      </c>
      <c r="C1665" s="22">
        <f t="shared" si="25"/>
        <v>1658</v>
      </c>
      <c r="D1665" s="166" t="s">
        <v>2880</v>
      </c>
      <c r="E1665" s="23" t="s">
        <v>1136</v>
      </c>
      <c r="F1665" s="45" t="s">
        <v>2740</v>
      </c>
      <c r="G1665" s="24">
        <v>200</v>
      </c>
      <c r="H1665" s="25" t="s">
        <v>2881</v>
      </c>
      <c r="I1665" s="25" t="s">
        <v>433</v>
      </c>
      <c r="J1665" s="26"/>
    </row>
    <row r="1666" spans="1:10" s="41" customFormat="1" ht="30.95" customHeight="1">
      <c r="A1666" s="41">
        <v>168</v>
      </c>
      <c r="C1666" s="22">
        <f t="shared" si="25"/>
        <v>1659</v>
      </c>
      <c r="D1666" s="166" t="s">
        <v>2882</v>
      </c>
      <c r="E1666" s="23" t="s">
        <v>1136</v>
      </c>
      <c r="F1666" s="45" t="s">
        <v>2740</v>
      </c>
      <c r="G1666" s="24">
        <v>200</v>
      </c>
      <c r="H1666" s="25" t="s">
        <v>2883</v>
      </c>
      <c r="I1666" s="25" t="s">
        <v>433</v>
      </c>
      <c r="J1666" s="26"/>
    </row>
    <row r="1667" spans="1:10" s="41" customFormat="1" ht="30.95" customHeight="1">
      <c r="A1667" s="41">
        <v>169</v>
      </c>
      <c r="C1667" s="22">
        <f t="shared" si="25"/>
        <v>1660</v>
      </c>
      <c r="D1667" s="166" t="s">
        <v>2884</v>
      </c>
      <c r="E1667" s="23" t="s">
        <v>1136</v>
      </c>
      <c r="F1667" s="45" t="s">
        <v>2740</v>
      </c>
      <c r="G1667" s="24">
        <v>200</v>
      </c>
      <c r="H1667" s="25" t="s">
        <v>2878</v>
      </c>
      <c r="I1667" s="25" t="s">
        <v>2885</v>
      </c>
      <c r="J1667" s="26"/>
    </row>
    <row r="1668" spans="1:10" s="41" customFormat="1" ht="30.95" customHeight="1">
      <c r="A1668" s="41">
        <v>170</v>
      </c>
      <c r="C1668" s="22">
        <f t="shared" si="25"/>
        <v>1661</v>
      </c>
      <c r="D1668" s="166" t="s">
        <v>2875</v>
      </c>
      <c r="E1668" s="23" t="s">
        <v>1136</v>
      </c>
      <c r="F1668" s="45" t="s">
        <v>2740</v>
      </c>
      <c r="G1668" s="24">
        <v>150</v>
      </c>
      <c r="H1668" s="25" t="s">
        <v>2886</v>
      </c>
      <c r="I1668" s="25" t="s">
        <v>1010</v>
      </c>
      <c r="J1668" s="26"/>
    </row>
    <row r="1669" spans="1:10" s="41" customFormat="1" ht="30.95" customHeight="1">
      <c r="A1669" s="41">
        <v>171</v>
      </c>
      <c r="C1669" s="22">
        <f t="shared" si="25"/>
        <v>1662</v>
      </c>
      <c r="D1669" s="166" t="s">
        <v>2887</v>
      </c>
      <c r="E1669" s="23" t="s">
        <v>1136</v>
      </c>
      <c r="F1669" s="45" t="s">
        <v>2740</v>
      </c>
      <c r="G1669" s="24">
        <v>400</v>
      </c>
      <c r="H1669" s="25" t="s">
        <v>2888</v>
      </c>
      <c r="I1669" s="25" t="s">
        <v>2869</v>
      </c>
      <c r="J1669" s="26"/>
    </row>
    <row r="1670" spans="1:10" s="41" customFormat="1" ht="30.95" customHeight="1">
      <c r="A1670" s="41">
        <v>172</v>
      </c>
      <c r="C1670" s="22">
        <f t="shared" si="25"/>
        <v>1663</v>
      </c>
      <c r="D1670" s="166" t="s">
        <v>2889</v>
      </c>
      <c r="E1670" s="23" t="s">
        <v>1136</v>
      </c>
      <c r="F1670" s="45" t="s">
        <v>2740</v>
      </c>
      <c r="G1670" s="24">
        <v>200</v>
      </c>
      <c r="H1670" s="25" t="s">
        <v>2888</v>
      </c>
      <c r="I1670" s="25" t="s">
        <v>2869</v>
      </c>
      <c r="J1670" s="26"/>
    </row>
    <row r="1671" spans="1:10" s="41" customFormat="1" ht="30.95" customHeight="1">
      <c r="A1671" s="41">
        <v>173</v>
      </c>
      <c r="C1671" s="22">
        <f t="shared" si="25"/>
        <v>1664</v>
      </c>
      <c r="D1671" s="166" t="s">
        <v>2890</v>
      </c>
      <c r="E1671" s="23" t="s">
        <v>1136</v>
      </c>
      <c r="F1671" s="45" t="s">
        <v>2740</v>
      </c>
      <c r="G1671" s="24">
        <v>400</v>
      </c>
      <c r="H1671" s="25" t="s">
        <v>2891</v>
      </c>
      <c r="I1671" s="25" t="s">
        <v>407</v>
      </c>
      <c r="J1671" s="26"/>
    </row>
    <row r="1672" spans="1:10" s="41" customFormat="1" ht="30.95" customHeight="1">
      <c r="A1672" s="41">
        <v>174</v>
      </c>
      <c r="C1672" s="22">
        <f t="shared" si="25"/>
        <v>1665</v>
      </c>
      <c r="D1672" s="166" t="s">
        <v>2892</v>
      </c>
      <c r="E1672" s="23" t="s">
        <v>1136</v>
      </c>
      <c r="F1672" s="45" t="s">
        <v>2740</v>
      </c>
      <c r="G1672" s="24">
        <v>2000</v>
      </c>
      <c r="H1672" s="25" t="s">
        <v>2891</v>
      </c>
      <c r="I1672" s="25" t="s">
        <v>407</v>
      </c>
      <c r="J1672" s="26"/>
    </row>
    <row r="1673" spans="1:10" s="41" customFormat="1" ht="30.95" customHeight="1">
      <c r="A1673" s="41">
        <v>175</v>
      </c>
      <c r="C1673" s="22">
        <f t="shared" si="25"/>
        <v>1666</v>
      </c>
      <c r="D1673" s="166" t="s">
        <v>2893</v>
      </c>
      <c r="E1673" s="23" t="s">
        <v>1136</v>
      </c>
      <c r="F1673" s="45" t="s">
        <v>2740</v>
      </c>
      <c r="G1673" s="24">
        <v>500</v>
      </c>
      <c r="H1673" s="25" t="s">
        <v>2894</v>
      </c>
      <c r="I1673" s="25" t="s">
        <v>643</v>
      </c>
      <c r="J1673" s="26"/>
    </row>
    <row r="1674" spans="1:10" s="41" customFormat="1" ht="30.95" customHeight="1">
      <c r="A1674" s="41">
        <v>176</v>
      </c>
      <c r="C1674" s="22">
        <f t="shared" ref="C1674:C1737" si="26">C1673+1</f>
        <v>1667</v>
      </c>
      <c r="D1674" s="166" t="s">
        <v>2895</v>
      </c>
      <c r="E1674" s="23" t="s">
        <v>1136</v>
      </c>
      <c r="F1674" s="45" t="s">
        <v>2740</v>
      </c>
      <c r="G1674" s="24">
        <v>500</v>
      </c>
      <c r="H1674" s="25" t="s">
        <v>2894</v>
      </c>
      <c r="I1674" s="25" t="s">
        <v>643</v>
      </c>
      <c r="J1674" s="26"/>
    </row>
    <row r="1675" spans="1:10" s="41" customFormat="1" ht="30.95" customHeight="1">
      <c r="A1675" s="41">
        <v>177</v>
      </c>
      <c r="C1675" s="22">
        <f t="shared" si="26"/>
        <v>1668</v>
      </c>
      <c r="D1675" s="166" t="s">
        <v>2896</v>
      </c>
      <c r="E1675" s="23" t="s">
        <v>1136</v>
      </c>
      <c r="F1675" s="45" t="s">
        <v>2740</v>
      </c>
      <c r="G1675" s="24">
        <v>500</v>
      </c>
      <c r="H1675" s="25" t="s">
        <v>2894</v>
      </c>
      <c r="I1675" s="25" t="s">
        <v>643</v>
      </c>
      <c r="J1675" s="26"/>
    </row>
    <row r="1676" spans="1:10" s="41" customFormat="1" ht="30.95" customHeight="1">
      <c r="A1676" s="41">
        <v>178</v>
      </c>
      <c r="C1676" s="22">
        <f t="shared" si="26"/>
        <v>1669</v>
      </c>
      <c r="D1676" s="166" t="s">
        <v>2897</v>
      </c>
      <c r="E1676" s="23" t="s">
        <v>1136</v>
      </c>
      <c r="F1676" s="45" t="s">
        <v>2740</v>
      </c>
      <c r="G1676" s="24">
        <v>500</v>
      </c>
      <c r="H1676" s="25" t="s">
        <v>2894</v>
      </c>
      <c r="I1676" s="25" t="s">
        <v>643</v>
      </c>
      <c r="J1676" s="26"/>
    </row>
    <row r="1677" spans="1:10" s="41" customFormat="1" ht="30.95" customHeight="1">
      <c r="A1677" s="41">
        <v>179</v>
      </c>
      <c r="C1677" s="22">
        <f t="shared" si="26"/>
        <v>1670</v>
      </c>
      <c r="D1677" s="166" t="s">
        <v>2898</v>
      </c>
      <c r="E1677" s="23" t="s">
        <v>1136</v>
      </c>
      <c r="F1677" s="45" t="s">
        <v>2740</v>
      </c>
      <c r="G1677" s="24">
        <v>500</v>
      </c>
      <c r="H1677" s="25" t="s">
        <v>2894</v>
      </c>
      <c r="I1677" s="25" t="s">
        <v>643</v>
      </c>
      <c r="J1677" s="26"/>
    </row>
    <row r="1678" spans="1:10" s="41" customFormat="1" ht="30.95" customHeight="1">
      <c r="A1678" s="41">
        <v>180</v>
      </c>
      <c r="C1678" s="22">
        <f t="shared" si="26"/>
        <v>1671</v>
      </c>
      <c r="D1678" s="166" t="s">
        <v>2899</v>
      </c>
      <c r="E1678" s="23" t="s">
        <v>1136</v>
      </c>
      <c r="F1678" s="45" t="s">
        <v>2740</v>
      </c>
      <c r="G1678" s="24">
        <v>100</v>
      </c>
      <c r="H1678" s="25" t="s">
        <v>2900</v>
      </c>
      <c r="I1678" s="25" t="s">
        <v>433</v>
      </c>
      <c r="J1678" s="26"/>
    </row>
    <row r="1679" spans="1:10" s="41" customFormat="1" ht="30.95" customHeight="1">
      <c r="A1679" s="41">
        <v>181</v>
      </c>
      <c r="C1679" s="22">
        <f t="shared" si="26"/>
        <v>1672</v>
      </c>
      <c r="D1679" s="166" t="s">
        <v>2901</v>
      </c>
      <c r="E1679" s="23" t="s">
        <v>1136</v>
      </c>
      <c r="F1679" s="45" t="s">
        <v>2740</v>
      </c>
      <c r="G1679" s="24">
        <v>100</v>
      </c>
      <c r="H1679" s="25" t="s">
        <v>2902</v>
      </c>
      <c r="I1679" s="25" t="s">
        <v>433</v>
      </c>
      <c r="J1679" s="26"/>
    </row>
    <row r="1680" spans="1:10" s="41" customFormat="1" ht="30.95" customHeight="1">
      <c r="A1680" s="41">
        <v>182</v>
      </c>
      <c r="C1680" s="22">
        <f t="shared" si="26"/>
        <v>1673</v>
      </c>
      <c r="D1680" s="166" t="s">
        <v>2903</v>
      </c>
      <c r="E1680" s="23" t="s">
        <v>1136</v>
      </c>
      <c r="F1680" s="45" t="s">
        <v>2740</v>
      </c>
      <c r="G1680" s="24">
        <v>500</v>
      </c>
      <c r="H1680" s="25" t="s">
        <v>2904</v>
      </c>
      <c r="I1680" s="25" t="s">
        <v>2905</v>
      </c>
      <c r="J1680" s="26"/>
    </row>
    <row r="1681" spans="1:10" s="41" customFormat="1" ht="30.95" customHeight="1">
      <c r="A1681" s="41">
        <v>183</v>
      </c>
      <c r="C1681" s="22">
        <f t="shared" si="26"/>
        <v>1674</v>
      </c>
      <c r="D1681" s="166" t="s">
        <v>2906</v>
      </c>
      <c r="E1681" s="23" t="s">
        <v>1136</v>
      </c>
      <c r="F1681" s="45" t="s">
        <v>2740</v>
      </c>
      <c r="G1681" s="24">
        <v>500</v>
      </c>
      <c r="H1681" s="25" t="s">
        <v>2894</v>
      </c>
      <c r="I1681" s="25" t="s">
        <v>643</v>
      </c>
      <c r="J1681" s="26"/>
    </row>
    <row r="1682" spans="1:10" s="41" customFormat="1" ht="30.95" customHeight="1">
      <c r="A1682" s="41">
        <v>184</v>
      </c>
      <c r="C1682" s="22">
        <f t="shared" si="26"/>
        <v>1675</v>
      </c>
      <c r="D1682" s="166" t="s">
        <v>2907</v>
      </c>
      <c r="E1682" s="23" t="s">
        <v>1136</v>
      </c>
      <c r="F1682" s="45" t="s">
        <v>2740</v>
      </c>
      <c r="G1682" s="24">
        <v>1500</v>
      </c>
      <c r="H1682" s="25" t="s">
        <v>2908</v>
      </c>
      <c r="I1682" s="25" t="s">
        <v>2909</v>
      </c>
      <c r="J1682" s="26"/>
    </row>
    <row r="1683" spans="1:10" s="41" customFormat="1" ht="30.95" customHeight="1">
      <c r="A1683" s="41">
        <v>185</v>
      </c>
      <c r="C1683" s="22">
        <f t="shared" si="26"/>
        <v>1676</v>
      </c>
      <c r="D1683" s="166" t="s">
        <v>2910</v>
      </c>
      <c r="E1683" s="23" t="s">
        <v>1136</v>
      </c>
      <c r="F1683" s="45" t="s">
        <v>2740</v>
      </c>
      <c r="G1683" s="24">
        <v>800</v>
      </c>
      <c r="H1683" s="25" t="s">
        <v>2911</v>
      </c>
      <c r="I1683" s="25" t="s">
        <v>2909</v>
      </c>
      <c r="J1683" s="26"/>
    </row>
    <row r="1684" spans="1:10" s="41" customFormat="1" ht="30.95" customHeight="1">
      <c r="A1684" s="41">
        <v>186</v>
      </c>
      <c r="C1684" s="22">
        <f t="shared" si="26"/>
        <v>1677</v>
      </c>
      <c r="D1684" s="166" t="s">
        <v>2912</v>
      </c>
      <c r="E1684" s="23" t="s">
        <v>1136</v>
      </c>
      <c r="F1684" s="45" t="s">
        <v>2740</v>
      </c>
      <c r="G1684" s="24">
        <v>400</v>
      </c>
      <c r="H1684" s="25" t="s">
        <v>2911</v>
      </c>
      <c r="I1684" s="25" t="s">
        <v>2909</v>
      </c>
      <c r="J1684" s="26"/>
    </row>
    <row r="1685" spans="1:10" s="41" customFormat="1" ht="30.95" customHeight="1">
      <c r="A1685" s="41">
        <v>187</v>
      </c>
      <c r="C1685" s="22">
        <f t="shared" si="26"/>
        <v>1678</v>
      </c>
      <c r="D1685" s="166" t="s">
        <v>2913</v>
      </c>
      <c r="E1685" s="23" t="s">
        <v>1136</v>
      </c>
      <c r="F1685" s="45" t="s">
        <v>2740</v>
      </c>
      <c r="G1685" s="24">
        <v>300</v>
      </c>
      <c r="H1685" s="25" t="s">
        <v>2911</v>
      </c>
      <c r="I1685" s="25" t="s">
        <v>433</v>
      </c>
      <c r="J1685" s="26"/>
    </row>
    <row r="1686" spans="1:10" s="41" customFormat="1" ht="30.95" customHeight="1">
      <c r="A1686" s="41">
        <v>188</v>
      </c>
      <c r="C1686" s="22">
        <f t="shared" si="26"/>
        <v>1679</v>
      </c>
      <c r="D1686" s="166" t="s">
        <v>2914</v>
      </c>
      <c r="E1686" s="23" t="s">
        <v>1136</v>
      </c>
      <c r="F1686" s="45" t="s">
        <v>2740</v>
      </c>
      <c r="G1686" s="24">
        <v>800</v>
      </c>
      <c r="H1686" s="25" t="s">
        <v>2911</v>
      </c>
      <c r="I1686" s="25" t="s">
        <v>433</v>
      </c>
      <c r="J1686" s="26"/>
    </row>
    <row r="1687" spans="1:10" s="41" customFormat="1" ht="30.95" customHeight="1">
      <c r="A1687" s="41">
        <v>189</v>
      </c>
      <c r="C1687" s="22">
        <f t="shared" si="26"/>
        <v>1680</v>
      </c>
      <c r="D1687" s="166" t="s">
        <v>2915</v>
      </c>
      <c r="E1687" s="23" t="s">
        <v>1136</v>
      </c>
      <c r="F1687" s="45" t="s">
        <v>2740</v>
      </c>
      <c r="G1687" s="24">
        <v>300</v>
      </c>
      <c r="H1687" s="25" t="s">
        <v>2916</v>
      </c>
      <c r="I1687" s="25" t="s">
        <v>2917</v>
      </c>
      <c r="J1687" s="26"/>
    </row>
    <row r="1688" spans="1:10" s="41" customFormat="1" ht="30.95" customHeight="1">
      <c r="A1688" s="41">
        <v>190</v>
      </c>
      <c r="C1688" s="22">
        <f t="shared" si="26"/>
        <v>1681</v>
      </c>
      <c r="D1688" s="166" t="s">
        <v>2918</v>
      </c>
      <c r="E1688" s="23" t="s">
        <v>1136</v>
      </c>
      <c r="F1688" s="45" t="s">
        <v>2740</v>
      </c>
      <c r="G1688" s="24">
        <v>550</v>
      </c>
      <c r="H1688" s="25" t="s">
        <v>433</v>
      </c>
      <c r="I1688" s="25" t="s">
        <v>2919</v>
      </c>
      <c r="J1688" s="26"/>
    </row>
    <row r="1689" spans="1:10" s="41" customFormat="1" ht="30.95" customHeight="1">
      <c r="A1689" s="41">
        <v>191</v>
      </c>
      <c r="C1689" s="22">
        <f t="shared" si="26"/>
        <v>1682</v>
      </c>
      <c r="D1689" s="166" t="s">
        <v>2920</v>
      </c>
      <c r="E1689" s="23" t="s">
        <v>1136</v>
      </c>
      <c r="F1689" s="45" t="s">
        <v>2740</v>
      </c>
      <c r="G1689" s="24">
        <v>300</v>
      </c>
      <c r="H1689" s="25" t="s">
        <v>433</v>
      </c>
      <c r="I1689" s="25" t="s">
        <v>2921</v>
      </c>
      <c r="J1689" s="26"/>
    </row>
    <row r="1690" spans="1:10" s="41" customFormat="1" ht="30.95" customHeight="1">
      <c r="A1690" s="41">
        <v>192</v>
      </c>
      <c r="C1690" s="22">
        <f t="shared" si="26"/>
        <v>1683</v>
      </c>
      <c r="D1690" s="166" t="s">
        <v>2922</v>
      </c>
      <c r="E1690" s="23" t="s">
        <v>1136</v>
      </c>
      <c r="F1690" s="45" t="s">
        <v>2740</v>
      </c>
      <c r="G1690" s="24">
        <v>200</v>
      </c>
      <c r="H1690" s="25" t="s">
        <v>433</v>
      </c>
      <c r="I1690" s="25" t="s">
        <v>2923</v>
      </c>
      <c r="J1690" s="26"/>
    </row>
    <row r="1691" spans="1:10" s="41" customFormat="1" ht="30.95" customHeight="1">
      <c r="A1691" s="41">
        <v>193</v>
      </c>
      <c r="C1691" s="22">
        <f t="shared" si="26"/>
        <v>1684</v>
      </c>
      <c r="D1691" s="166" t="s">
        <v>2924</v>
      </c>
      <c r="E1691" s="23" t="s">
        <v>1136</v>
      </c>
      <c r="F1691" s="45" t="s">
        <v>2740</v>
      </c>
      <c r="G1691" s="24">
        <v>350</v>
      </c>
      <c r="H1691" s="25" t="s">
        <v>433</v>
      </c>
      <c r="I1691" s="25" t="s">
        <v>2919</v>
      </c>
      <c r="J1691" s="26"/>
    </row>
    <row r="1692" spans="1:10" s="41" customFormat="1" ht="30.95" customHeight="1">
      <c r="A1692" s="41">
        <v>194</v>
      </c>
      <c r="C1692" s="22">
        <f t="shared" si="26"/>
        <v>1685</v>
      </c>
      <c r="D1692" s="166" t="s">
        <v>2925</v>
      </c>
      <c r="E1692" s="23" t="s">
        <v>1136</v>
      </c>
      <c r="F1692" s="45" t="s">
        <v>2740</v>
      </c>
      <c r="G1692" s="24">
        <v>250</v>
      </c>
      <c r="H1692" s="25" t="s">
        <v>433</v>
      </c>
      <c r="I1692" s="25" t="s">
        <v>2926</v>
      </c>
      <c r="J1692" s="26"/>
    </row>
    <row r="1693" spans="1:10" s="41" customFormat="1" ht="30.95" customHeight="1">
      <c r="A1693" s="41">
        <v>195</v>
      </c>
      <c r="C1693" s="22">
        <f t="shared" si="26"/>
        <v>1686</v>
      </c>
      <c r="D1693" s="166" t="s">
        <v>2927</v>
      </c>
      <c r="E1693" s="23" t="s">
        <v>1136</v>
      </c>
      <c r="F1693" s="45" t="s">
        <v>2740</v>
      </c>
      <c r="G1693" s="24">
        <v>1500</v>
      </c>
      <c r="H1693" s="25" t="s">
        <v>433</v>
      </c>
      <c r="I1693" s="25" t="s">
        <v>2928</v>
      </c>
      <c r="J1693" s="26"/>
    </row>
    <row r="1694" spans="1:10" s="41" customFormat="1" ht="30.95" customHeight="1">
      <c r="A1694" s="41">
        <v>196</v>
      </c>
      <c r="C1694" s="22">
        <f t="shared" si="26"/>
        <v>1687</v>
      </c>
      <c r="D1694" s="166" t="s">
        <v>2929</v>
      </c>
      <c r="E1694" s="23" t="s">
        <v>1136</v>
      </c>
      <c r="F1694" s="45" t="s">
        <v>2740</v>
      </c>
      <c r="G1694" s="24">
        <v>320</v>
      </c>
      <c r="H1694" s="25" t="s">
        <v>433</v>
      </c>
      <c r="I1694" s="25" t="s">
        <v>2930</v>
      </c>
      <c r="J1694" s="26"/>
    </row>
    <row r="1695" spans="1:10" s="41" customFormat="1" ht="30.95" customHeight="1">
      <c r="A1695" s="41">
        <v>197</v>
      </c>
      <c r="C1695" s="22">
        <f t="shared" si="26"/>
        <v>1688</v>
      </c>
      <c r="D1695" s="166" t="s">
        <v>2931</v>
      </c>
      <c r="E1695" s="23" t="s">
        <v>1136</v>
      </c>
      <c r="F1695" s="45" t="s">
        <v>2740</v>
      </c>
      <c r="G1695" s="24">
        <v>900</v>
      </c>
      <c r="H1695" s="25" t="s">
        <v>2866</v>
      </c>
      <c r="I1695" s="25" t="s">
        <v>2932</v>
      </c>
      <c r="J1695" s="26"/>
    </row>
    <row r="1696" spans="1:10" s="41" customFormat="1" ht="30.95" customHeight="1">
      <c r="A1696" s="41">
        <v>198</v>
      </c>
      <c r="C1696" s="22">
        <f t="shared" si="26"/>
        <v>1689</v>
      </c>
      <c r="D1696" s="166" t="s">
        <v>2933</v>
      </c>
      <c r="E1696" s="23" t="s">
        <v>1136</v>
      </c>
      <c r="F1696" s="45" t="s">
        <v>2740</v>
      </c>
      <c r="G1696" s="24">
        <v>650</v>
      </c>
      <c r="H1696" s="25" t="s">
        <v>2917</v>
      </c>
      <c r="I1696" s="25" t="s">
        <v>2934</v>
      </c>
      <c r="J1696" s="26"/>
    </row>
    <row r="1697" spans="1:10" s="41" customFormat="1" ht="30.95" customHeight="1">
      <c r="A1697" s="41">
        <v>199</v>
      </c>
      <c r="C1697" s="22">
        <f t="shared" si="26"/>
        <v>1690</v>
      </c>
      <c r="D1697" s="166" t="s">
        <v>495</v>
      </c>
      <c r="E1697" s="23" t="s">
        <v>1136</v>
      </c>
      <c r="F1697" s="45" t="s">
        <v>2740</v>
      </c>
      <c r="G1697" s="24">
        <v>1650</v>
      </c>
      <c r="H1697" s="25" t="s">
        <v>433</v>
      </c>
      <c r="I1697" s="25" t="s">
        <v>2935</v>
      </c>
      <c r="J1697" s="26"/>
    </row>
    <row r="1698" spans="1:10" s="41" customFormat="1" ht="30.95" customHeight="1">
      <c r="A1698" s="41">
        <v>200</v>
      </c>
      <c r="C1698" s="22">
        <f t="shared" si="26"/>
        <v>1691</v>
      </c>
      <c r="D1698" s="166" t="s">
        <v>2936</v>
      </c>
      <c r="E1698" s="23" t="s">
        <v>1136</v>
      </c>
      <c r="F1698" s="45" t="s">
        <v>2740</v>
      </c>
      <c r="G1698" s="24">
        <v>1700</v>
      </c>
      <c r="H1698" s="25" t="s">
        <v>433</v>
      </c>
      <c r="I1698" s="25" t="s">
        <v>2937</v>
      </c>
      <c r="J1698" s="26"/>
    </row>
    <row r="1699" spans="1:10" s="41" customFormat="1" ht="30.95" customHeight="1">
      <c r="A1699" s="41">
        <v>201</v>
      </c>
      <c r="C1699" s="22">
        <f t="shared" si="26"/>
        <v>1692</v>
      </c>
      <c r="D1699" s="166" t="s">
        <v>2938</v>
      </c>
      <c r="E1699" s="23" t="s">
        <v>1136</v>
      </c>
      <c r="F1699" s="45" t="s">
        <v>2740</v>
      </c>
      <c r="G1699" s="24">
        <v>300</v>
      </c>
      <c r="H1699" s="25" t="s">
        <v>433</v>
      </c>
      <c r="I1699" s="25" t="s">
        <v>2939</v>
      </c>
      <c r="J1699" s="26"/>
    </row>
    <row r="1700" spans="1:10" s="54" customFormat="1" ht="30.95" customHeight="1">
      <c r="A1700" s="41">
        <v>202</v>
      </c>
      <c r="C1700" s="22">
        <f t="shared" si="26"/>
        <v>1693</v>
      </c>
      <c r="D1700" s="189" t="s">
        <v>2940</v>
      </c>
      <c r="E1700" s="23" t="s">
        <v>1136</v>
      </c>
      <c r="F1700" s="45" t="s">
        <v>2740</v>
      </c>
      <c r="G1700" s="29">
        <v>700</v>
      </c>
      <c r="H1700" s="25" t="s">
        <v>433</v>
      </c>
      <c r="I1700" s="25" t="s">
        <v>2941</v>
      </c>
      <c r="J1700" s="55"/>
    </row>
    <row r="1701" spans="1:10" s="41" customFormat="1" ht="30.95" customHeight="1">
      <c r="A1701" s="41">
        <v>203</v>
      </c>
      <c r="C1701" s="22">
        <f t="shared" si="26"/>
        <v>1694</v>
      </c>
      <c r="D1701" s="166" t="s">
        <v>925</v>
      </c>
      <c r="E1701" s="23" t="s">
        <v>1136</v>
      </c>
      <c r="F1701" s="45" t="s">
        <v>2740</v>
      </c>
      <c r="G1701" s="24">
        <v>550</v>
      </c>
      <c r="H1701" s="25" t="s">
        <v>433</v>
      </c>
      <c r="I1701" s="25" t="s">
        <v>2942</v>
      </c>
      <c r="J1701" s="26"/>
    </row>
    <row r="1702" spans="1:10" s="41" customFormat="1" ht="30.95" customHeight="1">
      <c r="A1702" s="41">
        <v>204</v>
      </c>
      <c r="C1702" s="22">
        <f t="shared" si="26"/>
        <v>1695</v>
      </c>
      <c r="D1702" s="166" t="s">
        <v>640</v>
      </c>
      <c r="E1702" s="23" t="s">
        <v>1136</v>
      </c>
      <c r="F1702" s="45" t="s">
        <v>2740</v>
      </c>
      <c r="G1702" s="24">
        <v>3650</v>
      </c>
      <c r="H1702" s="25" t="s">
        <v>433</v>
      </c>
      <c r="I1702" s="25" t="s">
        <v>2943</v>
      </c>
      <c r="J1702" s="26"/>
    </row>
    <row r="1703" spans="1:10" s="41" customFormat="1" ht="30.95" customHeight="1">
      <c r="A1703" s="41">
        <v>205</v>
      </c>
      <c r="C1703" s="22">
        <f t="shared" si="26"/>
        <v>1696</v>
      </c>
      <c r="D1703" s="166" t="s">
        <v>2944</v>
      </c>
      <c r="E1703" s="23" t="s">
        <v>1136</v>
      </c>
      <c r="F1703" s="45" t="s">
        <v>2740</v>
      </c>
      <c r="G1703" s="24">
        <v>1050</v>
      </c>
      <c r="H1703" s="25" t="s">
        <v>640</v>
      </c>
      <c r="I1703" s="25" t="s">
        <v>2866</v>
      </c>
      <c r="J1703" s="26"/>
    </row>
    <row r="1704" spans="1:10" s="41" customFormat="1" ht="30.95" customHeight="1">
      <c r="A1704" s="41">
        <v>206</v>
      </c>
      <c r="C1704" s="22">
        <f t="shared" si="26"/>
        <v>1697</v>
      </c>
      <c r="D1704" s="166" t="s">
        <v>2905</v>
      </c>
      <c r="E1704" s="23" t="s">
        <v>1136</v>
      </c>
      <c r="F1704" s="45" t="s">
        <v>2740</v>
      </c>
      <c r="G1704" s="24">
        <v>1650</v>
      </c>
      <c r="H1704" s="25" t="s">
        <v>640</v>
      </c>
      <c r="I1704" s="25" t="s">
        <v>2945</v>
      </c>
      <c r="J1704" s="26"/>
    </row>
    <row r="1705" spans="1:10" s="41" customFormat="1" ht="30.95" customHeight="1">
      <c r="A1705" s="41">
        <v>207</v>
      </c>
      <c r="C1705" s="22">
        <f t="shared" si="26"/>
        <v>1698</v>
      </c>
      <c r="D1705" s="166" t="s">
        <v>2946</v>
      </c>
      <c r="E1705" s="23" t="s">
        <v>1136</v>
      </c>
      <c r="F1705" s="45" t="s">
        <v>2740</v>
      </c>
      <c r="G1705" s="24">
        <v>800</v>
      </c>
      <c r="H1705" s="25" t="s">
        <v>433</v>
      </c>
      <c r="I1705" s="25" t="s">
        <v>2947</v>
      </c>
      <c r="J1705" s="26"/>
    </row>
    <row r="1706" spans="1:10" s="41" customFormat="1" ht="30.95" customHeight="1">
      <c r="A1706" s="41">
        <v>208</v>
      </c>
      <c r="C1706" s="22">
        <f t="shared" si="26"/>
        <v>1699</v>
      </c>
      <c r="D1706" s="166" t="s">
        <v>2948</v>
      </c>
      <c r="E1706" s="23" t="s">
        <v>1136</v>
      </c>
      <c r="F1706" s="45" t="s">
        <v>2740</v>
      </c>
      <c r="G1706" s="24">
        <v>700</v>
      </c>
      <c r="H1706" s="25" t="s">
        <v>433</v>
      </c>
      <c r="I1706" s="25" t="s">
        <v>2949</v>
      </c>
      <c r="J1706" s="26"/>
    </row>
    <row r="1707" spans="1:10" s="159" customFormat="1" ht="30.95" customHeight="1">
      <c r="A1707" s="159">
        <v>209</v>
      </c>
      <c r="C1707" s="160">
        <f t="shared" si="26"/>
        <v>1700</v>
      </c>
      <c r="D1707" s="166" t="s">
        <v>2950</v>
      </c>
      <c r="E1707" s="162" t="s">
        <v>1136</v>
      </c>
      <c r="F1707" s="150" t="s">
        <v>2740</v>
      </c>
      <c r="G1707" s="163">
        <v>2700</v>
      </c>
      <c r="H1707" s="164" t="s">
        <v>433</v>
      </c>
      <c r="I1707" s="164" t="s">
        <v>2951</v>
      </c>
      <c r="J1707" s="165"/>
    </row>
    <row r="1708" spans="1:10" s="41" customFormat="1" ht="30.95" customHeight="1">
      <c r="A1708" s="41">
        <v>210</v>
      </c>
      <c r="C1708" s="22">
        <f t="shared" si="26"/>
        <v>1701</v>
      </c>
      <c r="D1708" s="166" t="s">
        <v>2952</v>
      </c>
      <c r="E1708" s="23" t="s">
        <v>1136</v>
      </c>
      <c r="F1708" s="45" t="s">
        <v>2740</v>
      </c>
      <c r="G1708" s="24">
        <v>850</v>
      </c>
      <c r="H1708" s="25" t="s">
        <v>2950</v>
      </c>
      <c r="I1708" s="25" t="s">
        <v>2953</v>
      </c>
      <c r="J1708" s="26"/>
    </row>
    <row r="1709" spans="1:10" s="41" customFormat="1" ht="30.95" customHeight="1">
      <c r="A1709" s="41">
        <v>211</v>
      </c>
      <c r="C1709" s="22">
        <f t="shared" si="26"/>
        <v>1702</v>
      </c>
      <c r="D1709" s="166" t="s">
        <v>2954</v>
      </c>
      <c r="E1709" s="23" t="s">
        <v>1136</v>
      </c>
      <c r="F1709" s="45" t="s">
        <v>2740</v>
      </c>
      <c r="G1709" s="24">
        <v>850</v>
      </c>
      <c r="H1709" s="25" t="s">
        <v>2950</v>
      </c>
      <c r="I1709" s="25" t="s">
        <v>2955</v>
      </c>
      <c r="J1709" s="26"/>
    </row>
    <row r="1710" spans="1:10" s="41" customFormat="1" ht="30.95" customHeight="1">
      <c r="A1710" s="41">
        <v>212</v>
      </c>
      <c r="C1710" s="22">
        <f t="shared" si="26"/>
        <v>1703</v>
      </c>
      <c r="D1710" s="166" t="s">
        <v>2956</v>
      </c>
      <c r="E1710" s="23" t="s">
        <v>1136</v>
      </c>
      <c r="F1710" s="45" t="s">
        <v>2740</v>
      </c>
      <c r="G1710" s="24">
        <v>250</v>
      </c>
      <c r="H1710" s="25" t="s">
        <v>433</v>
      </c>
      <c r="I1710" s="25" t="s">
        <v>2957</v>
      </c>
      <c r="J1710" s="26"/>
    </row>
    <row r="1711" spans="1:10" s="41" customFormat="1" ht="30.95" customHeight="1">
      <c r="A1711" s="41">
        <v>213</v>
      </c>
      <c r="C1711" s="22">
        <f t="shared" si="26"/>
        <v>1704</v>
      </c>
      <c r="D1711" s="166" t="s">
        <v>2958</v>
      </c>
      <c r="E1711" s="23" t="s">
        <v>1136</v>
      </c>
      <c r="F1711" s="45" t="s">
        <v>2740</v>
      </c>
      <c r="G1711" s="24">
        <v>620</v>
      </c>
      <c r="H1711" s="25" t="s">
        <v>433</v>
      </c>
      <c r="I1711" s="25" t="s">
        <v>2957</v>
      </c>
      <c r="J1711" s="26"/>
    </row>
    <row r="1712" spans="1:10" s="41" customFormat="1" ht="30.95" customHeight="1">
      <c r="A1712" s="41">
        <v>214</v>
      </c>
      <c r="C1712" s="22">
        <f t="shared" si="26"/>
        <v>1705</v>
      </c>
      <c r="D1712" s="166" t="s">
        <v>2959</v>
      </c>
      <c r="E1712" s="23" t="s">
        <v>1136</v>
      </c>
      <c r="F1712" s="45" t="s">
        <v>2740</v>
      </c>
      <c r="G1712" s="24">
        <v>350</v>
      </c>
      <c r="H1712" s="25" t="s">
        <v>433</v>
      </c>
      <c r="I1712" s="25" t="s">
        <v>2960</v>
      </c>
      <c r="J1712" s="26"/>
    </row>
    <row r="1713" spans="1:10" s="41" customFormat="1" ht="30.95" customHeight="1">
      <c r="A1713" s="41">
        <v>215</v>
      </c>
      <c r="C1713" s="22">
        <f t="shared" si="26"/>
        <v>1706</v>
      </c>
      <c r="D1713" s="166" t="s">
        <v>878</v>
      </c>
      <c r="E1713" s="23" t="s">
        <v>1136</v>
      </c>
      <c r="F1713" s="45" t="s">
        <v>2740</v>
      </c>
      <c r="G1713" s="24">
        <v>1400</v>
      </c>
      <c r="H1713" s="25" t="s">
        <v>2961</v>
      </c>
      <c r="I1713" s="25" t="s">
        <v>433</v>
      </c>
      <c r="J1713" s="26"/>
    </row>
    <row r="1714" spans="1:10" s="41" customFormat="1" ht="30.95" customHeight="1">
      <c r="A1714" s="41">
        <v>216</v>
      </c>
      <c r="C1714" s="22">
        <f t="shared" si="26"/>
        <v>1707</v>
      </c>
      <c r="D1714" s="166" t="s">
        <v>2962</v>
      </c>
      <c r="E1714" s="23" t="s">
        <v>1136</v>
      </c>
      <c r="F1714" s="45" t="s">
        <v>2740</v>
      </c>
      <c r="G1714" s="24">
        <v>200</v>
      </c>
      <c r="H1714" s="25" t="s">
        <v>2963</v>
      </c>
      <c r="I1714" s="25" t="s">
        <v>433</v>
      </c>
      <c r="J1714" s="26"/>
    </row>
    <row r="1715" spans="1:10" s="41" customFormat="1" ht="30.95" customHeight="1">
      <c r="A1715" s="41">
        <v>217</v>
      </c>
      <c r="C1715" s="22">
        <f t="shared" si="26"/>
        <v>1708</v>
      </c>
      <c r="D1715" s="166" t="s">
        <v>2964</v>
      </c>
      <c r="E1715" s="23" t="s">
        <v>1136</v>
      </c>
      <c r="F1715" s="45" t="s">
        <v>2740</v>
      </c>
      <c r="G1715" s="24">
        <v>350</v>
      </c>
      <c r="H1715" s="25" t="s">
        <v>2965</v>
      </c>
      <c r="I1715" s="25" t="s">
        <v>433</v>
      </c>
      <c r="J1715" s="26"/>
    </row>
    <row r="1716" spans="1:10" s="41" customFormat="1" ht="30.95" customHeight="1">
      <c r="A1716" s="41">
        <v>218</v>
      </c>
      <c r="C1716" s="22">
        <f t="shared" si="26"/>
        <v>1709</v>
      </c>
      <c r="D1716" s="166" t="s">
        <v>2966</v>
      </c>
      <c r="E1716" s="23" t="s">
        <v>1136</v>
      </c>
      <c r="F1716" s="45" t="s">
        <v>2740</v>
      </c>
      <c r="G1716" s="24">
        <v>400</v>
      </c>
      <c r="H1716" s="25" t="s">
        <v>2967</v>
      </c>
      <c r="I1716" s="25" t="s">
        <v>433</v>
      </c>
      <c r="J1716" s="26"/>
    </row>
    <row r="1717" spans="1:10" s="41" customFormat="1" ht="30.95" customHeight="1">
      <c r="A1717" s="41">
        <v>219</v>
      </c>
      <c r="C1717" s="22">
        <f t="shared" si="26"/>
        <v>1710</v>
      </c>
      <c r="D1717" s="166" t="s">
        <v>2968</v>
      </c>
      <c r="E1717" s="23" t="s">
        <v>1136</v>
      </c>
      <c r="F1717" s="45" t="s">
        <v>2740</v>
      </c>
      <c r="G1717" s="24">
        <v>250</v>
      </c>
      <c r="H1717" s="25" t="s">
        <v>2969</v>
      </c>
      <c r="I1717" s="25" t="s">
        <v>433</v>
      </c>
      <c r="J1717" s="26"/>
    </row>
    <row r="1718" spans="1:10" s="41" customFormat="1" ht="30.95" customHeight="1">
      <c r="A1718" s="41">
        <v>220</v>
      </c>
      <c r="C1718" s="22">
        <f t="shared" si="26"/>
        <v>1711</v>
      </c>
      <c r="D1718" s="166" t="s">
        <v>2959</v>
      </c>
      <c r="E1718" s="23" t="s">
        <v>1136</v>
      </c>
      <c r="F1718" s="45" t="s">
        <v>2740</v>
      </c>
      <c r="G1718" s="24">
        <v>350</v>
      </c>
      <c r="H1718" s="25" t="s">
        <v>433</v>
      </c>
      <c r="I1718" s="25" t="s">
        <v>407</v>
      </c>
      <c r="J1718" s="26"/>
    </row>
    <row r="1719" spans="1:10" s="41" customFormat="1" ht="30.95" customHeight="1">
      <c r="A1719" s="41">
        <v>221</v>
      </c>
      <c r="C1719" s="22">
        <f t="shared" si="26"/>
        <v>1712</v>
      </c>
      <c r="D1719" s="166" t="s">
        <v>2970</v>
      </c>
      <c r="E1719" s="23" t="s">
        <v>1136</v>
      </c>
      <c r="F1719" s="45" t="s">
        <v>2740</v>
      </c>
      <c r="G1719" s="24">
        <v>500</v>
      </c>
      <c r="H1719" s="25" t="s">
        <v>433</v>
      </c>
      <c r="I1719" s="25" t="s">
        <v>2219</v>
      </c>
      <c r="J1719" s="26"/>
    </row>
    <row r="1720" spans="1:10" s="41" customFormat="1" ht="30.95" customHeight="1">
      <c r="A1720" s="41">
        <v>222</v>
      </c>
      <c r="C1720" s="22">
        <f t="shared" si="26"/>
        <v>1713</v>
      </c>
      <c r="D1720" s="166" t="s">
        <v>2948</v>
      </c>
      <c r="E1720" s="23" t="s">
        <v>1136</v>
      </c>
      <c r="F1720" s="45" t="s">
        <v>2740</v>
      </c>
      <c r="G1720" s="24">
        <v>700</v>
      </c>
      <c r="H1720" s="25" t="s">
        <v>433</v>
      </c>
      <c r="I1720" s="25" t="s">
        <v>2219</v>
      </c>
      <c r="J1720" s="26"/>
    </row>
    <row r="1721" spans="1:10" s="41" customFormat="1" ht="30.95" customHeight="1">
      <c r="A1721" s="41">
        <v>223</v>
      </c>
      <c r="C1721" s="22">
        <f t="shared" si="26"/>
        <v>1714</v>
      </c>
      <c r="D1721" s="166" t="s">
        <v>2420</v>
      </c>
      <c r="E1721" s="23" t="s">
        <v>1136</v>
      </c>
      <c r="F1721" s="45" t="s">
        <v>2740</v>
      </c>
      <c r="G1721" s="24">
        <v>400</v>
      </c>
      <c r="H1721" s="25" t="s">
        <v>433</v>
      </c>
      <c r="I1721" s="25" t="s">
        <v>2219</v>
      </c>
      <c r="J1721" s="26"/>
    </row>
    <row r="1722" spans="1:10" s="41" customFormat="1" ht="30.95" customHeight="1">
      <c r="A1722" s="41">
        <v>224</v>
      </c>
      <c r="C1722" s="22">
        <f t="shared" si="26"/>
        <v>1715</v>
      </c>
      <c r="D1722" s="166" t="s">
        <v>2971</v>
      </c>
      <c r="E1722" s="23" t="s">
        <v>1136</v>
      </c>
      <c r="F1722" s="45" t="s">
        <v>2740</v>
      </c>
      <c r="G1722" s="24">
        <v>450</v>
      </c>
      <c r="H1722" s="25" t="s">
        <v>433</v>
      </c>
      <c r="I1722" s="25" t="s">
        <v>2219</v>
      </c>
      <c r="J1722" s="26"/>
    </row>
    <row r="1723" spans="1:10" s="41" customFormat="1" ht="30.95" customHeight="1">
      <c r="A1723" s="41">
        <v>225</v>
      </c>
      <c r="C1723" s="22">
        <f t="shared" si="26"/>
        <v>1716</v>
      </c>
      <c r="D1723" s="166" t="s">
        <v>2972</v>
      </c>
      <c r="E1723" s="23" t="s">
        <v>1136</v>
      </c>
      <c r="F1723" s="45" t="s">
        <v>2740</v>
      </c>
      <c r="G1723" s="24">
        <v>400</v>
      </c>
      <c r="H1723" s="25" t="s">
        <v>433</v>
      </c>
      <c r="I1723" s="25" t="s">
        <v>2973</v>
      </c>
      <c r="J1723" s="26"/>
    </row>
    <row r="1724" spans="1:10" s="41" customFormat="1" ht="30.95" customHeight="1">
      <c r="A1724" s="41">
        <v>226</v>
      </c>
      <c r="C1724" s="22">
        <f t="shared" si="26"/>
        <v>1717</v>
      </c>
      <c r="D1724" s="166" t="s">
        <v>2974</v>
      </c>
      <c r="E1724" s="23" t="s">
        <v>1136</v>
      </c>
      <c r="F1724" s="45" t="s">
        <v>2740</v>
      </c>
      <c r="G1724" s="24">
        <v>400</v>
      </c>
      <c r="H1724" s="25" t="s">
        <v>433</v>
      </c>
      <c r="I1724" s="25" t="s">
        <v>2973</v>
      </c>
      <c r="J1724" s="26"/>
    </row>
    <row r="1725" spans="1:10" s="41" customFormat="1" ht="30.95" customHeight="1">
      <c r="A1725" s="41">
        <v>227</v>
      </c>
      <c r="C1725" s="22">
        <f t="shared" si="26"/>
        <v>1718</v>
      </c>
      <c r="D1725" s="166" t="s">
        <v>2828</v>
      </c>
      <c r="E1725" s="23" t="s">
        <v>1136</v>
      </c>
      <c r="F1725" s="45" t="s">
        <v>2740</v>
      </c>
      <c r="G1725" s="24">
        <v>350</v>
      </c>
      <c r="H1725" s="25" t="s">
        <v>433</v>
      </c>
      <c r="I1725" s="25" t="s">
        <v>2973</v>
      </c>
      <c r="J1725" s="26"/>
    </row>
    <row r="1726" spans="1:10" s="41" customFormat="1" ht="30.95" customHeight="1">
      <c r="A1726" s="41">
        <v>228</v>
      </c>
      <c r="C1726" s="22">
        <f t="shared" si="26"/>
        <v>1719</v>
      </c>
      <c r="D1726" s="166" t="s">
        <v>2975</v>
      </c>
      <c r="E1726" s="23" t="s">
        <v>1136</v>
      </c>
      <c r="F1726" s="45" t="s">
        <v>2740</v>
      </c>
      <c r="G1726" s="24">
        <v>800</v>
      </c>
      <c r="H1726" s="25" t="s">
        <v>433</v>
      </c>
      <c r="I1726" s="25" t="s">
        <v>2973</v>
      </c>
      <c r="J1726" s="26"/>
    </row>
    <row r="1727" spans="1:10" s="41" customFormat="1" ht="30.95" customHeight="1">
      <c r="A1727" s="41">
        <v>229</v>
      </c>
      <c r="C1727" s="22">
        <f t="shared" si="26"/>
        <v>1720</v>
      </c>
      <c r="D1727" s="166" t="s">
        <v>2976</v>
      </c>
      <c r="E1727" s="23" t="s">
        <v>1136</v>
      </c>
      <c r="F1727" s="45" t="s">
        <v>2740</v>
      </c>
      <c r="G1727" s="24">
        <v>350</v>
      </c>
      <c r="H1727" s="25" t="s">
        <v>433</v>
      </c>
      <c r="I1727" s="25" t="s">
        <v>2977</v>
      </c>
      <c r="J1727" s="26"/>
    </row>
    <row r="1728" spans="1:10" s="41" customFormat="1" ht="30.95" customHeight="1">
      <c r="A1728" s="41">
        <v>230</v>
      </c>
      <c r="C1728" s="22">
        <f t="shared" si="26"/>
        <v>1721</v>
      </c>
      <c r="D1728" s="166" t="s">
        <v>2978</v>
      </c>
      <c r="E1728" s="23" t="s">
        <v>1136</v>
      </c>
      <c r="F1728" s="45" t="s">
        <v>2740</v>
      </c>
      <c r="G1728" s="24">
        <v>300</v>
      </c>
      <c r="H1728" s="25" t="s">
        <v>433</v>
      </c>
      <c r="I1728" s="25" t="s">
        <v>2806</v>
      </c>
      <c r="J1728" s="26"/>
    </row>
    <row r="1729" spans="1:10" s="41" customFormat="1" ht="30.95" customHeight="1">
      <c r="A1729" s="41">
        <v>231</v>
      </c>
      <c r="C1729" s="22">
        <f t="shared" si="26"/>
        <v>1722</v>
      </c>
      <c r="D1729" s="166" t="s">
        <v>2979</v>
      </c>
      <c r="E1729" s="23" t="s">
        <v>1136</v>
      </c>
      <c r="F1729" s="45" t="s">
        <v>2740</v>
      </c>
      <c r="G1729" s="24">
        <v>350</v>
      </c>
      <c r="H1729" s="25" t="s">
        <v>433</v>
      </c>
      <c r="I1729" s="25" t="s">
        <v>2806</v>
      </c>
      <c r="J1729" s="26"/>
    </row>
    <row r="1730" spans="1:10" s="41" customFormat="1" ht="30.95" customHeight="1">
      <c r="A1730" s="41">
        <v>232</v>
      </c>
      <c r="C1730" s="22">
        <f t="shared" si="26"/>
        <v>1723</v>
      </c>
      <c r="D1730" s="166" t="s">
        <v>2980</v>
      </c>
      <c r="E1730" s="23" t="s">
        <v>1136</v>
      </c>
      <c r="F1730" s="45" t="s">
        <v>2740</v>
      </c>
      <c r="G1730" s="24">
        <v>250</v>
      </c>
      <c r="H1730" s="25" t="s">
        <v>433</v>
      </c>
      <c r="I1730" s="25" t="s">
        <v>2806</v>
      </c>
      <c r="J1730" s="26"/>
    </row>
    <row r="1731" spans="1:10" s="41" customFormat="1" ht="30.95" customHeight="1">
      <c r="A1731" s="41">
        <v>233</v>
      </c>
      <c r="C1731" s="22">
        <f t="shared" si="26"/>
        <v>1724</v>
      </c>
      <c r="D1731" s="166" t="s">
        <v>2981</v>
      </c>
      <c r="E1731" s="23" t="s">
        <v>1136</v>
      </c>
      <c r="F1731" s="45" t="s">
        <v>2740</v>
      </c>
      <c r="G1731" s="24">
        <v>350</v>
      </c>
      <c r="H1731" s="25" t="s">
        <v>433</v>
      </c>
      <c r="I1731" s="25" t="s">
        <v>2806</v>
      </c>
      <c r="J1731" s="26"/>
    </row>
    <row r="1732" spans="1:10" s="41" customFormat="1" ht="30.95" customHeight="1">
      <c r="A1732" s="41">
        <v>234</v>
      </c>
      <c r="C1732" s="22">
        <f t="shared" si="26"/>
        <v>1725</v>
      </c>
      <c r="D1732" s="166" t="s">
        <v>2971</v>
      </c>
      <c r="E1732" s="23" t="s">
        <v>1136</v>
      </c>
      <c r="F1732" s="45" t="s">
        <v>2740</v>
      </c>
      <c r="G1732" s="24">
        <v>900</v>
      </c>
      <c r="H1732" s="25" t="s">
        <v>433</v>
      </c>
      <c r="I1732" s="25" t="s">
        <v>2806</v>
      </c>
      <c r="J1732" s="26"/>
    </row>
    <row r="1733" spans="1:10" s="41" customFormat="1" ht="30.95" customHeight="1">
      <c r="A1733" s="41">
        <v>235</v>
      </c>
      <c r="C1733" s="22">
        <f t="shared" si="26"/>
        <v>1726</v>
      </c>
      <c r="D1733" s="166" t="s">
        <v>2982</v>
      </c>
      <c r="E1733" s="23" t="s">
        <v>1136</v>
      </c>
      <c r="F1733" s="45" t="s">
        <v>2740</v>
      </c>
      <c r="G1733" s="24">
        <v>300</v>
      </c>
      <c r="H1733" s="25" t="s">
        <v>433</v>
      </c>
      <c r="I1733" s="25" t="s">
        <v>2806</v>
      </c>
      <c r="J1733" s="26"/>
    </row>
    <row r="1734" spans="1:10" s="41" customFormat="1" ht="30.95" customHeight="1">
      <c r="A1734" s="41">
        <v>236</v>
      </c>
      <c r="C1734" s="22">
        <f t="shared" si="26"/>
        <v>1727</v>
      </c>
      <c r="D1734" s="166" t="s">
        <v>2983</v>
      </c>
      <c r="E1734" s="23" t="s">
        <v>1136</v>
      </c>
      <c r="F1734" s="45" t="s">
        <v>2740</v>
      </c>
      <c r="G1734" s="24">
        <v>950</v>
      </c>
      <c r="H1734" s="25" t="s">
        <v>433</v>
      </c>
      <c r="I1734" s="25" t="s">
        <v>2806</v>
      </c>
      <c r="J1734" s="26"/>
    </row>
    <row r="1735" spans="1:10" s="41" customFormat="1" ht="30.95" customHeight="1">
      <c r="A1735" s="41">
        <v>237</v>
      </c>
      <c r="C1735" s="22">
        <f t="shared" si="26"/>
        <v>1728</v>
      </c>
      <c r="D1735" s="166" t="s">
        <v>2984</v>
      </c>
      <c r="E1735" s="23" t="s">
        <v>1136</v>
      </c>
      <c r="F1735" s="45" t="s">
        <v>2740</v>
      </c>
      <c r="G1735" s="24">
        <v>700</v>
      </c>
      <c r="H1735" s="25" t="s">
        <v>433</v>
      </c>
      <c r="I1735" s="25" t="s">
        <v>2806</v>
      </c>
      <c r="J1735" s="26"/>
    </row>
    <row r="1736" spans="1:10" s="41" customFormat="1" ht="30.95" customHeight="1">
      <c r="A1736" s="41">
        <v>238</v>
      </c>
      <c r="C1736" s="22">
        <f t="shared" si="26"/>
        <v>1729</v>
      </c>
      <c r="D1736" s="166" t="s">
        <v>2985</v>
      </c>
      <c r="E1736" s="23" t="s">
        <v>1136</v>
      </c>
      <c r="F1736" s="45" t="s">
        <v>2740</v>
      </c>
      <c r="G1736" s="24">
        <v>1900</v>
      </c>
      <c r="H1736" s="25" t="s">
        <v>433</v>
      </c>
      <c r="I1736" s="25" t="s">
        <v>2986</v>
      </c>
      <c r="J1736" s="26"/>
    </row>
    <row r="1737" spans="1:10" s="41" customFormat="1" ht="30.95" customHeight="1">
      <c r="A1737" s="41">
        <v>239</v>
      </c>
      <c r="C1737" s="22">
        <f t="shared" si="26"/>
        <v>1730</v>
      </c>
      <c r="D1737" s="166" t="s">
        <v>2987</v>
      </c>
      <c r="E1737" s="23" t="s">
        <v>1136</v>
      </c>
      <c r="F1737" s="45" t="s">
        <v>2740</v>
      </c>
      <c r="G1737" s="24">
        <v>2550</v>
      </c>
      <c r="H1737" s="25" t="s">
        <v>433</v>
      </c>
      <c r="I1737" s="25" t="s">
        <v>2988</v>
      </c>
      <c r="J1737" s="26"/>
    </row>
    <row r="1738" spans="1:10" s="41" customFormat="1" ht="30.95" customHeight="1">
      <c r="A1738" s="41">
        <v>240</v>
      </c>
      <c r="C1738" s="22">
        <f t="shared" ref="C1738:C1801" si="27">C1737+1</f>
        <v>1731</v>
      </c>
      <c r="D1738" s="166" t="s">
        <v>2989</v>
      </c>
      <c r="E1738" s="23" t="s">
        <v>1136</v>
      </c>
      <c r="F1738" s="45" t="s">
        <v>2740</v>
      </c>
      <c r="G1738" s="24">
        <v>500</v>
      </c>
      <c r="H1738" s="25" t="s">
        <v>433</v>
      </c>
      <c r="I1738" s="25" t="s">
        <v>2806</v>
      </c>
      <c r="J1738" s="26"/>
    </row>
    <row r="1739" spans="1:10" s="41" customFormat="1" ht="30.95" customHeight="1">
      <c r="A1739" s="41">
        <v>241</v>
      </c>
      <c r="C1739" s="22">
        <f t="shared" si="27"/>
        <v>1732</v>
      </c>
      <c r="D1739" s="166" t="s">
        <v>2990</v>
      </c>
      <c r="E1739" s="23" t="s">
        <v>1136</v>
      </c>
      <c r="F1739" s="45" t="s">
        <v>2740</v>
      </c>
      <c r="G1739" s="24">
        <v>500</v>
      </c>
      <c r="H1739" s="25" t="s">
        <v>433</v>
      </c>
      <c r="I1739" s="25" t="s">
        <v>2806</v>
      </c>
      <c r="J1739" s="26"/>
    </row>
    <row r="1740" spans="1:10" s="41" customFormat="1" ht="30.95" customHeight="1">
      <c r="A1740" s="41">
        <v>242</v>
      </c>
      <c r="C1740" s="22">
        <f t="shared" si="27"/>
        <v>1733</v>
      </c>
      <c r="D1740" s="166" t="s">
        <v>2991</v>
      </c>
      <c r="E1740" s="23" t="s">
        <v>1136</v>
      </c>
      <c r="F1740" s="45" t="s">
        <v>2740</v>
      </c>
      <c r="G1740" s="24">
        <v>300</v>
      </c>
      <c r="H1740" s="25" t="s">
        <v>433</v>
      </c>
      <c r="I1740" s="25" t="s">
        <v>2806</v>
      </c>
      <c r="J1740" s="26"/>
    </row>
    <row r="1741" spans="1:10" s="41" customFormat="1" ht="30.95" customHeight="1">
      <c r="A1741" s="41">
        <v>243</v>
      </c>
      <c r="C1741" s="22">
        <f t="shared" si="27"/>
        <v>1734</v>
      </c>
      <c r="D1741" s="166" t="s">
        <v>2992</v>
      </c>
      <c r="E1741" s="23" t="s">
        <v>1136</v>
      </c>
      <c r="F1741" s="45" t="s">
        <v>2740</v>
      </c>
      <c r="G1741" s="24">
        <v>1300</v>
      </c>
      <c r="H1741" s="25" t="s">
        <v>433</v>
      </c>
      <c r="I1741" s="25" t="s">
        <v>2993</v>
      </c>
      <c r="J1741" s="26"/>
    </row>
    <row r="1742" spans="1:10" s="41" customFormat="1" ht="30.95" customHeight="1">
      <c r="A1742" s="41">
        <v>244</v>
      </c>
      <c r="C1742" s="22">
        <f t="shared" si="27"/>
        <v>1735</v>
      </c>
      <c r="D1742" s="166" t="s">
        <v>2994</v>
      </c>
      <c r="E1742" s="23" t="s">
        <v>1136</v>
      </c>
      <c r="F1742" s="45" t="s">
        <v>2740</v>
      </c>
      <c r="G1742" s="24">
        <v>300</v>
      </c>
      <c r="H1742" s="25" t="s">
        <v>433</v>
      </c>
      <c r="I1742" s="25" t="s">
        <v>2806</v>
      </c>
      <c r="J1742" s="26"/>
    </row>
    <row r="1743" spans="1:10" s="41" customFormat="1" ht="30.95" customHeight="1">
      <c r="A1743" s="41">
        <v>245</v>
      </c>
      <c r="C1743" s="22">
        <f t="shared" si="27"/>
        <v>1736</v>
      </c>
      <c r="D1743" s="166" t="s">
        <v>2995</v>
      </c>
      <c r="E1743" s="23" t="s">
        <v>1136</v>
      </c>
      <c r="F1743" s="45" t="s">
        <v>2740</v>
      </c>
      <c r="G1743" s="24">
        <v>2400</v>
      </c>
      <c r="H1743" s="25" t="s">
        <v>433</v>
      </c>
      <c r="I1743" s="25" t="s">
        <v>2344</v>
      </c>
      <c r="J1743" s="26"/>
    </row>
    <row r="1744" spans="1:10" s="41" customFormat="1" ht="30.95" customHeight="1">
      <c r="A1744" s="41">
        <v>246</v>
      </c>
      <c r="C1744" s="22">
        <f t="shared" si="27"/>
        <v>1737</v>
      </c>
      <c r="D1744" s="166" t="s">
        <v>2996</v>
      </c>
      <c r="E1744" s="23" t="s">
        <v>1136</v>
      </c>
      <c r="F1744" s="45" t="s">
        <v>2740</v>
      </c>
      <c r="G1744" s="24">
        <v>400</v>
      </c>
      <c r="H1744" s="25" t="s">
        <v>433</v>
      </c>
      <c r="I1744" s="25" t="s">
        <v>763</v>
      </c>
      <c r="J1744" s="26"/>
    </row>
    <row r="1745" spans="1:10" s="41" customFormat="1" ht="30.95" customHeight="1">
      <c r="A1745" s="41">
        <v>247</v>
      </c>
      <c r="C1745" s="22">
        <f t="shared" si="27"/>
        <v>1738</v>
      </c>
      <c r="D1745" s="166" t="s">
        <v>2997</v>
      </c>
      <c r="E1745" s="23" t="s">
        <v>1136</v>
      </c>
      <c r="F1745" s="45" t="s">
        <v>2740</v>
      </c>
      <c r="G1745" s="24">
        <v>400</v>
      </c>
      <c r="H1745" s="25" t="s">
        <v>433</v>
      </c>
      <c r="I1745" s="25" t="s">
        <v>2806</v>
      </c>
      <c r="J1745" s="26"/>
    </row>
    <row r="1746" spans="1:10" s="41" customFormat="1" ht="30.95" customHeight="1">
      <c r="A1746" s="41">
        <v>248</v>
      </c>
      <c r="C1746" s="22">
        <f t="shared" si="27"/>
        <v>1739</v>
      </c>
      <c r="D1746" s="166" t="s">
        <v>2998</v>
      </c>
      <c r="E1746" s="23" t="s">
        <v>1136</v>
      </c>
      <c r="F1746" s="45" t="s">
        <v>2740</v>
      </c>
      <c r="G1746" s="24">
        <v>2200</v>
      </c>
      <c r="H1746" s="25" t="s">
        <v>433</v>
      </c>
      <c r="I1746" s="25" t="s">
        <v>2988</v>
      </c>
      <c r="J1746" s="26"/>
    </row>
    <row r="1747" spans="1:10" s="41" customFormat="1" ht="30.95" customHeight="1">
      <c r="A1747" s="41">
        <v>249</v>
      </c>
      <c r="C1747" s="22">
        <f t="shared" si="27"/>
        <v>1740</v>
      </c>
      <c r="D1747" s="166" t="s">
        <v>2999</v>
      </c>
      <c r="E1747" s="23" t="s">
        <v>1136</v>
      </c>
      <c r="F1747" s="45" t="s">
        <v>2740</v>
      </c>
      <c r="G1747" s="24">
        <v>2000</v>
      </c>
      <c r="H1747" s="25" t="s">
        <v>433</v>
      </c>
      <c r="I1747" s="25" t="s">
        <v>2988</v>
      </c>
      <c r="J1747" s="26"/>
    </row>
    <row r="1748" spans="1:10" s="41" customFormat="1" ht="30.95" customHeight="1">
      <c r="A1748" s="41">
        <v>250</v>
      </c>
      <c r="C1748" s="22">
        <f t="shared" si="27"/>
        <v>1741</v>
      </c>
      <c r="D1748" s="166" t="s">
        <v>3000</v>
      </c>
      <c r="E1748" s="23" t="s">
        <v>1136</v>
      </c>
      <c r="F1748" s="45" t="s">
        <v>2740</v>
      </c>
      <c r="G1748" s="24">
        <v>1900</v>
      </c>
      <c r="H1748" s="25" t="s">
        <v>433</v>
      </c>
      <c r="I1748" s="25" t="s">
        <v>2988</v>
      </c>
      <c r="J1748" s="26"/>
    </row>
    <row r="1749" spans="1:10" s="41" customFormat="1" ht="30.95" customHeight="1">
      <c r="A1749" s="41">
        <v>251</v>
      </c>
      <c r="C1749" s="22">
        <f t="shared" si="27"/>
        <v>1742</v>
      </c>
      <c r="D1749" s="166" t="s">
        <v>3001</v>
      </c>
      <c r="E1749" s="23" t="s">
        <v>1136</v>
      </c>
      <c r="F1749" s="45" t="s">
        <v>2740</v>
      </c>
      <c r="G1749" s="24">
        <v>1400</v>
      </c>
      <c r="H1749" s="25" t="s">
        <v>433</v>
      </c>
      <c r="I1749" s="25" t="s">
        <v>2993</v>
      </c>
      <c r="J1749" s="26"/>
    </row>
    <row r="1750" spans="1:10" s="41" customFormat="1" ht="30.95" customHeight="1">
      <c r="A1750" s="41">
        <v>252</v>
      </c>
      <c r="C1750" s="22">
        <f t="shared" si="27"/>
        <v>1743</v>
      </c>
      <c r="D1750" s="166" t="s">
        <v>3002</v>
      </c>
      <c r="E1750" s="23" t="s">
        <v>1136</v>
      </c>
      <c r="F1750" s="45" t="s">
        <v>2740</v>
      </c>
      <c r="G1750" s="24">
        <v>400</v>
      </c>
      <c r="H1750" s="25" t="s">
        <v>433</v>
      </c>
      <c r="I1750" s="25" t="s">
        <v>2806</v>
      </c>
      <c r="J1750" s="26"/>
    </row>
    <row r="1751" spans="1:10" s="41" customFormat="1" ht="30.95" customHeight="1">
      <c r="A1751" s="41">
        <v>253</v>
      </c>
      <c r="C1751" s="22">
        <f t="shared" si="27"/>
        <v>1744</v>
      </c>
      <c r="D1751" s="166" t="s">
        <v>3003</v>
      </c>
      <c r="E1751" s="23" t="s">
        <v>1136</v>
      </c>
      <c r="F1751" s="45" t="s">
        <v>2740</v>
      </c>
      <c r="G1751" s="24">
        <v>250</v>
      </c>
      <c r="H1751" s="25" t="s">
        <v>433</v>
      </c>
      <c r="I1751" s="25" t="s">
        <v>2806</v>
      </c>
      <c r="J1751" s="26"/>
    </row>
    <row r="1752" spans="1:10" s="41" customFormat="1" ht="30.95" customHeight="1">
      <c r="A1752" s="41">
        <v>254</v>
      </c>
      <c r="C1752" s="22">
        <f t="shared" si="27"/>
        <v>1745</v>
      </c>
      <c r="D1752" s="166" t="s">
        <v>3004</v>
      </c>
      <c r="E1752" s="23" t="s">
        <v>1136</v>
      </c>
      <c r="F1752" s="45" t="s">
        <v>2740</v>
      </c>
      <c r="G1752" s="24">
        <v>300</v>
      </c>
      <c r="H1752" s="25" t="s">
        <v>433</v>
      </c>
      <c r="I1752" s="25" t="s">
        <v>2806</v>
      </c>
      <c r="J1752" s="26"/>
    </row>
    <row r="1753" spans="1:10" s="41" customFormat="1" ht="30.95" customHeight="1">
      <c r="A1753" s="41">
        <v>255</v>
      </c>
      <c r="C1753" s="22">
        <f t="shared" si="27"/>
        <v>1746</v>
      </c>
      <c r="D1753" s="166" t="s">
        <v>3005</v>
      </c>
      <c r="E1753" s="23" t="s">
        <v>1136</v>
      </c>
      <c r="F1753" s="45" t="s">
        <v>2740</v>
      </c>
      <c r="G1753" s="24">
        <v>350</v>
      </c>
      <c r="H1753" s="25" t="s">
        <v>433</v>
      </c>
      <c r="I1753" s="25" t="s">
        <v>2806</v>
      </c>
      <c r="J1753" s="26"/>
    </row>
    <row r="1754" spans="1:10" s="41" customFormat="1" ht="30.95" customHeight="1">
      <c r="A1754" s="41">
        <v>256</v>
      </c>
      <c r="C1754" s="22">
        <f t="shared" si="27"/>
        <v>1747</v>
      </c>
      <c r="D1754" s="166" t="s">
        <v>3006</v>
      </c>
      <c r="E1754" s="23" t="s">
        <v>1136</v>
      </c>
      <c r="F1754" s="45" t="s">
        <v>2740</v>
      </c>
      <c r="G1754" s="24">
        <v>600</v>
      </c>
      <c r="H1754" s="25" t="s">
        <v>433</v>
      </c>
      <c r="I1754" s="25" t="s">
        <v>2806</v>
      </c>
      <c r="J1754" s="26"/>
    </row>
    <row r="1755" spans="1:10" s="41" customFormat="1" ht="30.95" customHeight="1">
      <c r="A1755" s="41">
        <v>257</v>
      </c>
      <c r="C1755" s="22">
        <f t="shared" si="27"/>
        <v>1748</v>
      </c>
      <c r="D1755" s="166" t="s">
        <v>3007</v>
      </c>
      <c r="E1755" s="23" t="s">
        <v>1136</v>
      </c>
      <c r="F1755" s="45" t="s">
        <v>2740</v>
      </c>
      <c r="G1755" s="24">
        <v>500</v>
      </c>
      <c r="H1755" s="25" t="s">
        <v>433</v>
      </c>
      <c r="I1755" s="25" t="s">
        <v>2806</v>
      </c>
      <c r="J1755" s="26"/>
    </row>
    <row r="1756" spans="1:10" s="41" customFormat="1" ht="30.95" customHeight="1">
      <c r="A1756" s="41">
        <v>258</v>
      </c>
      <c r="C1756" s="22">
        <f t="shared" si="27"/>
        <v>1749</v>
      </c>
      <c r="D1756" s="166" t="s">
        <v>3008</v>
      </c>
      <c r="E1756" s="23" t="s">
        <v>1136</v>
      </c>
      <c r="F1756" s="45" t="s">
        <v>2740</v>
      </c>
      <c r="G1756" s="24">
        <v>550</v>
      </c>
      <c r="H1756" s="25" t="s">
        <v>433</v>
      </c>
      <c r="I1756" s="25" t="s">
        <v>2806</v>
      </c>
      <c r="J1756" s="26"/>
    </row>
    <row r="1757" spans="1:10" s="41" customFormat="1" ht="30.95" customHeight="1">
      <c r="A1757" s="41">
        <v>259</v>
      </c>
      <c r="C1757" s="22">
        <f t="shared" si="27"/>
        <v>1750</v>
      </c>
      <c r="D1757" s="166" t="s">
        <v>3009</v>
      </c>
      <c r="E1757" s="23" t="s">
        <v>1136</v>
      </c>
      <c r="F1757" s="45" t="s">
        <v>2740</v>
      </c>
      <c r="G1757" s="24">
        <v>300</v>
      </c>
      <c r="H1757" s="25" t="s">
        <v>2453</v>
      </c>
      <c r="I1757" s="25" t="s">
        <v>2806</v>
      </c>
      <c r="J1757" s="26"/>
    </row>
    <row r="1758" spans="1:10" s="41" customFormat="1" ht="30.95" customHeight="1">
      <c r="A1758" s="41">
        <v>260</v>
      </c>
      <c r="C1758" s="22">
        <f t="shared" si="27"/>
        <v>1751</v>
      </c>
      <c r="D1758" s="166" t="s">
        <v>3010</v>
      </c>
      <c r="E1758" s="23" t="s">
        <v>1136</v>
      </c>
      <c r="F1758" s="45" t="s">
        <v>2740</v>
      </c>
      <c r="G1758" s="24">
        <v>847</v>
      </c>
      <c r="H1758" s="25" t="s">
        <v>2453</v>
      </c>
      <c r="I1758" s="25" t="s">
        <v>2806</v>
      </c>
      <c r="J1758" s="26"/>
    </row>
    <row r="1759" spans="1:10" s="41" customFormat="1" ht="30.95" customHeight="1">
      <c r="A1759" s="41">
        <v>261</v>
      </c>
      <c r="C1759" s="22">
        <f t="shared" si="27"/>
        <v>1752</v>
      </c>
      <c r="D1759" s="166" t="s">
        <v>2983</v>
      </c>
      <c r="E1759" s="23" t="s">
        <v>1136</v>
      </c>
      <c r="F1759" s="45" t="s">
        <v>2740</v>
      </c>
      <c r="G1759" s="24">
        <v>800</v>
      </c>
      <c r="H1759" s="25" t="s">
        <v>2453</v>
      </c>
      <c r="I1759" s="25" t="s">
        <v>2806</v>
      </c>
      <c r="J1759" s="26"/>
    </row>
    <row r="1760" spans="1:10" s="41" customFormat="1" ht="30.95" customHeight="1">
      <c r="A1760" s="41">
        <v>262</v>
      </c>
      <c r="C1760" s="22">
        <f t="shared" si="27"/>
        <v>1753</v>
      </c>
      <c r="D1760" s="166" t="s">
        <v>3011</v>
      </c>
      <c r="E1760" s="23" t="s">
        <v>1136</v>
      </c>
      <c r="F1760" s="45" t="s">
        <v>2740</v>
      </c>
      <c r="G1760" s="24">
        <v>500</v>
      </c>
      <c r="H1760" s="25" t="s">
        <v>2453</v>
      </c>
      <c r="I1760" s="25" t="s">
        <v>2806</v>
      </c>
      <c r="J1760" s="26"/>
    </row>
    <row r="1761" spans="1:10" s="41" customFormat="1" ht="30.95" customHeight="1">
      <c r="A1761" s="41">
        <v>263</v>
      </c>
      <c r="C1761" s="22">
        <f t="shared" si="27"/>
        <v>1754</v>
      </c>
      <c r="D1761" s="166" t="s">
        <v>3012</v>
      </c>
      <c r="E1761" s="23" t="s">
        <v>1136</v>
      </c>
      <c r="F1761" s="45" t="s">
        <v>2740</v>
      </c>
      <c r="G1761" s="24">
        <v>2800</v>
      </c>
      <c r="H1761" s="25" t="s">
        <v>2453</v>
      </c>
      <c r="I1761" s="25" t="s">
        <v>3013</v>
      </c>
      <c r="J1761" s="26"/>
    </row>
    <row r="1762" spans="1:10" s="41" customFormat="1" ht="30.95" customHeight="1">
      <c r="A1762" s="41">
        <v>264</v>
      </c>
      <c r="C1762" s="22">
        <f t="shared" si="27"/>
        <v>1755</v>
      </c>
      <c r="D1762" s="166" t="s">
        <v>3014</v>
      </c>
      <c r="E1762" s="23" t="s">
        <v>1136</v>
      </c>
      <c r="F1762" s="45" t="s">
        <v>2740</v>
      </c>
      <c r="G1762" s="24">
        <v>300</v>
      </c>
      <c r="H1762" s="25" t="s">
        <v>2453</v>
      </c>
      <c r="I1762" s="25" t="s">
        <v>2806</v>
      </c>
      <c r="J1762" s="26"/>
    </row>
    <row r="1763" spans="1:10" s="41" customFormat="1" ht="30.95" customHeight="1">
      <c r="A1763" s="41">
        <v>265</v>
      </c>
      <c r="C1763" s="22">
        <f t="shared" si="27"/>
        <v>1756</v>
      </c>
      <c r="D1763" s="166" t="s">
        <v>3015</v>
      </c>
      <c r="E1763" s="23" t="s">
        <v>1136</v>
      </c>
      <c r="F1763" s="45" t="s">
        <v>2740</v>
      </c>
      <c r="G1763" s="24">
        <v>3300</v>
      </c>
      <c r="H1763" s="25" t="s">
        <v>2453</v>
      </c>
      <c r="I1763" s="25" t="s">
        <v>2454</v>
      </c>
      <c r="J1763" s="26"/>
    </row>
    <row r="1764" spans="1:10" s="41" customFormat="1" ht="30.95" customHeight="1">
      <c r="A1764" s="41">
        <v>266</v>
      </c>
      <c r="C1764" s="22">
        <f t="shared" si="27"/>
        <v>1757</v>
      </c>
      <c r="D1764" s="166" t="s">
        <v>3016</v>
      </c>
      <c r="E1764" s="23" t="s">
        <v>1136</v>
      </c>
      <c r="F1764" s="45" t="s">
        <v>2740</v>
      </c>
      <c r="G1764" s="24">
        <v>3000</v>
      </c>
      <c r="H1764" s="25" t="s">
        <v>2453</v>
      </c>
      <c r="I1764" s="25" t="s">
        <v>2454</v>
      </c>
      <c r="J1764" s="26"/>
    </row>
    <row r="1765" spans="1:10" s="41" customFormat="1" ht="30.95" customHeight="1">
      <c r="A1765" s="41">
        <v>267</v>
      </c>
      <c r="C1765" s="22">
        <f t="shared" si="27"/>
        <v>1758</v>
      </c>
      <c r="D1765" s="166" t="s">
        <v>3017</v>
      </c>
      <c r="E1765" s="23" t="s">
        <v>1136</v>
      </c>
      <c r="F1765" s="45" t="s">
        <v>2740</v>
      </c>
      <c r="G1765" s="24">
        <v>1100</v>
      </c>
      <c r="H1765" s="25" t="s">
        <v>2453</v>
      </c>
      <c r="I1765" s="25" t="s">
        <v>2806</v>
      </c>
      <c r="J1765" s="26"/>
    </row>
    <row r="1766" spans="1:10" s="41" customFormat="1" ht="30.95" customHeight="1">
      <c r="A1766" s="41">
        <v>268</v>
      </c>
      <c r="C1766" s="22">
        <f t="shared" si="27"/>
        <v>1759</v>
      </c>
      <c r="D1766" s="166" t="s">
        <v>3018</v>
      </c>
      <c r="E1766" s="23" t="s">
        <v>1136</v>
      </c>
      <c r="F1766" s="45" t="s">
        <v>2740</v>
      </c>
      <c r="G1766" s="24">
        <v>500</v>
      </c>
      <c r="H1766" s="25" t="s">
        <v>2453</v>
      </c>
      <c r="I1766" s="25" t="s">
        <v>2806</v>
      </c>
      <c r="J1766" s="26"/>
    </row>
    <row r="1767" spans="1:10" s="41" customFormat="1" ht="30.95" customHeight="1">
      <c r="A1767" s="41">
        <v>269</v>
      </c>
      <c r="C1767" s="22">
        <f t="shared" si="27"/>
        <v>1760</v>
      </c>
      <c r="D1767" s="166" t="s">
        <v>3019</v>
      </c>
      <c r="E1767" s="23" t="s">
        <v>1136</v>
      </c>
      <c r="F1767" s="45" t="s">
        <v>2740</v>
      </c>
      <c r="G1767" s="24">
        <v>750</v>
      </c>
      <c r="H1767" s="25" t="s">
        <v>2453</v>
      </c>
      <c r="I1767" s="25" t="s">
        <v>2806</v>
      </c>
      <c r="J1767" s="26"/>
    </row>
    <row r="1768" spans="1:10" s="41" customFormat="1" ht="30.95" customHeight="1">
      <c r="A1768" s="41">
        <v>270</v>
      </c>
      <c r="C1768" s="22">
        <f t="shared" si="27"/>
        <v>1761</v>
      </c>
      <c r="D1768" s="166" t="s">
        <v>3020</v>
      </c>
      <c r="E1768" s="23" t="s">
        <v>1136</v>
      </c>
      <c r="F1768" s="45" t="s">
        <v>2740</v>
      </c>
      <c r="G1768" s="24">
        <v>500</v>
      </c>
      <c r="H1768" s="25" t="s">
        <v>2453</v>
      </c>
      <c r="I1768" s="25" t="s">
        <v>2806</v>
      </c>
      <c r="J1768" s="26"/>
    </row>
    <row r="1769" spans="1:10" s="41" customFormat="1" ht="30.95" customHeight="1">
      <c r="A1769" s="41">
        <v>271</v>
      </c>
      <c r="C1769" s="22">
        <f t="shared" si="27"/>
        <v>1762</v>
      </c>
      <c r="D1769" s="166" t="s">
        <v>3021</v>
      </c>
      <c r="E1769" s="23" t="s">
        <v>1136</v>
      </c>
      <c r="F1769" s="45" t="s">
        <v>2740</v>
      </c>
      <c r="G1769" s="24">
        <v>1800</v>
      </c>
      <c r="H1769" s="25" t="s">
        <v>2453</v>
      </c>
      <c r="I1769" s="25" t="s">
        <v>3022</v>
      </c>
      <c r="J1769" s="26"/>
    </row>
    <row r="1770" spans="1:10" s="41" customFormat="1" ht="30.95" customHeight="1">
      <c r="A1770" s="41">
        <v>272</v>
      </c>
      <c r="C1770" s="22">
        <f t="shared" si="27"/>
        <v>1763</v>
      </c>
      <c r="D1770" s="166" t="s">
        <v>3023</v>
      </c>
      <c r="E1770" s="23" t="s">
        <v>1136</v>
      </c>
      <c r="F1770" s="45" t="s">
        <v>2740</v>
      </c>
      <c r="G1770" s="24">
        <v>1300</v>
      </c>
      <c r="H1770" s="25" t="s">
        <v>606</v>
      </c>
      <c r="I1770" s="25" t="s">
        <v>2993</v>
      </c>
      <c r="J1770" s="26"/>
    </row>
    <row r="1771" spans="1:10" s="41" customFormat="1" ht="30.95" customHeight="1">
      <c r="A1771" s="41">
        <v>273</v>
      </c>
      <c r="C1771" s="22">
        <f t="shared" si="27"/>
        <v>1764</v>
      </c>
      <c r="D1771" s="166" t="s">
        <v>3024</v>
      </c>
      <c r="E1771" s="23" t="s">
        <v>1136</v>
      </c>
      <c r="F1771" s="45" t="s">
        <v>2740</v>
      </c>
      <c r="G1771" s="24">
        <v>500</v>
      </c>
      <c r="H1771" s="25" t="s">
        <v>2453</v>
      </c>
      <c r="I1771" s="25" t="s">
        <v>2993</v>
      </c>
      <c r="J1771" s="26"/>
    </row>
    <row r="1772" spans="1:10" s="41" customFormat="1" ht="30.95" customHeight="1">
      <c r="A1772" s="41">
        <v>274</v>
      </c>
      <c r="C1772" s="22">
        <f t="shared" si="27"/>
        <v>1765</v>
      </c>
      <c r="D1772" s="166" t="s">
        <v>3025</v>
      </c>
      <c r="E1772" s="23" t="s">
        <v>1136</v>
      </c>
      <c r="F1772" s="45" t="s">
        <v>2740</v>
      </c>
      <c r="G1772" s="24">
        <v>2400</v>
      </c>
      <c r="H1772" s="25" t="s">
        <v>3026</v>
      </c>
      <c r="I1772" s="25" t="s">
        <v>2768</v>
      </c>
      <c r="J1772" s="26"/>
    </row>
    <row r="1773" spans="1:10" s="41" customFormat="1" ht="30.95" customHeight="1">
      <c r="A1773" s="41">
        <v>275</v>
      </c>
      <c r="C1773" s="22">
        <f t="shared" si="27"/>
        <v>1766</v>
      </c>
      <c r="D1773" s="166" t="s">
        <v>3027</v>
      </c>
      <c r="E1773" s="23" t="s">
        <v>1136</v>
      </c>
      <c r="F1773" s="45" t="s">
        <v>2740</v>
      </c>
      <c r="G1773" s="24">
        <v>1400</v>
      </c>
      <c r="H1773" s="25" t="s">
        <v>3028</v>
      </c>
      <c r="I1773" s="25" t="s">
        <v>3025</v>
      </c>
      <c r="J1773" s="26"/>
    </row>
    <row r="1774" spans="1:10" s="41" customFormat="1" ht="30.95" customHeight="1">
      <c r="A1774" s="41">
        <v>276</v>
      </c>
      <c r="C1774" s="22">
        <f t="shared" si="27"/>
        <v>1767</v>
      </c>
      <c r="D1774" s="166" t="s">
        <v>3029</v>
      </c>
      <c r="E1774" s="23" t="s">
        <v>1136</v>
      </c>
      <c r="F1774" s="45" t="s">
        <v>2740</v>
      </c>
      <c r="G1774" s="24">
        <v>1650</v>
      </c>
      <c r="H1774" s="25" t="s">
        <v>3030</v>
      </c>
      <c r="I1774" s="25" t="s">
        <v>3031</v>
      </c>
      <c r="J1774" s="26"/>
    </row>
    <row r="1775" spans="1:10" s="41" customFormat="1" ht="30.95" customHeight="1">
      <c r="A1775" s="41">
        <v>277</v>
      </c>
      <c r="C1775" s="22">
        <f t="shared" si="27"/>
        <v>1768</v>
      </c>
      <c r="D1775" s="166" t="s">
        <v>3032</v>
      </c>
      <c r="E1775" s="23" t="s">
        <v>1136</v>
      </c>
      <c r="F1775" s="45" t="s">
        <v>2740</v>
      </c>
      <c r="G1775" s="24">
        <v>1000</v>
      </c>
      <c r="H1775" s="25" t="s">
        <v>2219</v>
      </c>
      <c r="I1775" s="25" t="s">
        <v>2993</v>
      </c>
      <c r="J1775" s="26"/>
    </row>
    <row r="1776" spans="1:10" s="41" customFormat="1" ht="30.95" customHeight="1">
      <c r="A1776" s="41">
        <v>278</v>
      </c>
      <c r="C1776" s="22">
        <f t="shared" si="27"/>
        <v>1769</v>
      </c>
      <c r="D1776" s="166" t="s">
        <v>3033</v>
      </c>
      <c r="E1776" s="23" t="s">
        <v>1136</v>
      </c>
      <c r="F1776" s="45" t="s">
        <v>2740</v>
      </c>
      <c r="G1776" s="24">
        <v>1000</v>
      </c>
      <c r="H1776" s="25" t="s">
        <v>2219</v>
      </c>
      <c r="I1776" s="25" t="s">
        <v>2993</v>
      </c>
      <c r="J1776" s="26"/>
    </row>
    <row r="1777" spans="1:10" s="41" customFormat="1" ht="30.95" customHeight="1">
      <c r="A1777" s="41">
        <v>279</v>
      </c>
      <c r="C1777" s="22">
        <f t="shared" si="27"/>
        <v>1770</v>
      </c>
      <c r="D1777" s="166" t="s">
        <v>3034</v>
      </c>
      <c r="E1777" s="23" t="s">
        <v>1136</v>
      </c>
      <c r="F1777" s="45" t="s">
        <v>2740</v>
      </c>
      <c r="G1777" s="24">
        <v>1400</v>
      </c>
      <c r="H1777" s="25" t="s">
        <v>2219</v>
      </c>
      <c r="I1777" s="25" t="s">
        <v>2993</v>
      </c>
      <c r="J1777" s="26"/>
    </row>
    <row r="1778" spans="1:10" s="41" customFormat="1" ht="30.95" customHeight="1">
      <c r="A1778" s="41">
        <v>280</v>
      </c>
      <c r="C1778" s="22">
        <f t="shared" si="27"/>
        <v>1771</v>
      </c>
      <c r="D1778" s="166" t="s">
        <v>3035</v>
      </c>
      <c r="E1778" s="23" t="s">
        <v>1136</v>
      </c>
      <c r="F1778" s="45" t="s">
        <v>2740</v>
      </c>
      <c r="G1778" s="24">
        <v>550</v>
      </c>
      <c r="H1778" s="25" t="s">
        <v>2762</v>
      </c>
      <c r="I1778" s="25" t="s">
        <v>2806</v>
      </c>
      <c r="J1778" s="26"/>
    </row>
    <row r="1779" spans="1:10" s="41" customFormat="1" ht="30.95" customHeight="1">
      <c r="A1779" s="41">
        <v>281</v>
      </c>
      <c r="C1779" s="22">
        <f t="shared" si="27"/>
        <v>1772</v>
      </c>
      <c r="D1779" s="166" t="s">
        <v>2762</v>
      </c>
      <c r="E1779" s="23" t="s">
        <v>1136</v>
      </c>
      <c r="F1779" s="45" t="s">
        <v>2740</v>
      </c>
      <c r="G1779" s="24">
        <v>300</v>
      </c>
      <c r="H1779" s="25" t="s">
        <v>2986</v>
      </c>
      <c r="I1779" s="25" t="s">
        <v>3026</v>
      </c>
      <c r="J1779" s="26"/>
    </row>
    <row r="1780" spans="1:10" s="41" customFormat="1" ht="30.95" customHeight="1">
      <c r="A1780" s="41">
        <v>282</v>
      </c>
      <c r="C1780" s="22">
        <f t="shared" si="27"/>
        <v>1773</v>
      </c>
      <c r="D1780" s="166" t="s">
        <v>2828</v>
      </c>
      <c r="E1780" s="23" t="s">
        <v>1136</v>
      </c>
      <c r="F1780" s="45" t="s">
        <v>2740</v>
      </c>
      <c r="G1780" s="24">
        <v>450</v>
      </c>
      <c r="H1780" s="25" t="s">
        <v>3030</v>
      </c>
      <c r="I1780" s="25" t="s">
        <v>2993</v>
      </c>
      <c r="J1780" s="26"/>
    </row>
    <row r="1781" spans="1:10" s="41" customFormat="1" ht="30.95" customHeight="1">
      <c r="A1781" s="41">
        <v>283</v>
      </c>
      <c r="C1781" s="22">
        <f t="shared" si="27"/>
        <v>1774</v>
      </c>
      <c r="D1781" s="166" t="s">
        <v>2557</v>
      </c>
      <c r="E1781" s="23" t="s">
        <v>1136</v>
      </c>
      <c r="F1781" s="45" t="s">
        <v>2740</v>
      </c>
      <c r="G1781" s="24">
        <v>700</v>
      </c>
      <c r="H1781" s="25" t="s">
        <v>3030</v>
      </c>
      <c r="I1781" s="25" t="s">
        <v>2993</v>
      </c>
      <c r="J1781" s="26"/>
    </row>
    <row r="1782" spans="1:10" s="41" customFormat="1" ht="30.95" customHeight="1">
      <c r="A1782" s="41">
        <v>284</v>
      </c>
      <c r="C1782" s="22">
        <f t="shared" si="27"/>
        <v>1775</v>
      </c>
      <c r="D1782" s="166" t="s">
        <v>3036</v>
      </c>
      <c r="E1782" s="23" t="s">
        <v>1136</v>
      </c>
      <c r="F1782" s="45" t="s">
        <v>2740</v>
      </c>
      <c r="G1782" s="24">
        <v>350</v>
      </c>
      <c r="H1782" s="25" t="s">
        <v>2986</v>
      </c>
      <c r="I1782" s="25" t="s">
        <v>2806</v>
      </c>
      <c r="J1782" s="26"/>
    </row>
    <row r="1783" spans="1:10" s="41" customFormat="1" ht="30.95" customHeight="1">
      <c r="A1783" s="41">
        <v>285</v>
      </c>
      <c r="C1783" s="22">
        <f t="shared" si="27"/>
        <v>1776</v>
      </c>
      <c r="D1783" s="166" t="s">
        <v>3037</v>
      </c>
      <c r="E1783" s="23" t="s">
        <v>1136</v>
      </c>
      <c r="F1783" s="45" t="s">
        <v>2740</v>
      </c>
      <c r="G1783" s="24">
        <v>400</v>
      </c>
      <c r="H1783" s="25" t="s">
        <v>2986</v>
      </c>
      <c r="I1783" s="25" t="s">
        <v>2806</v>
      </c>
      <c r="J1783" s="26"/>
    </row>
    <row r="1784" spans="1:10" s="41" customFormat="1" ht="30.95" customHeight="1">
      <c r="A1784" s="41">
        <v>286</v>
      </c>
      <c r="C1784" s="22">
        <f t="shared" si="27"/>
        <v>1777</v>
      </c>
      <c r="D1784" s="166" t="s">
        <v>3038</v>
      </c>
      <c r="E1784" s="23" t="s">
        <v>1136</v>
      </c>
      <c r="F1784" s="45" t="s">
        <v>2740</v>
      </c>
      <c r="G1784" s="24">
        <v>450</v>
      </c>
      <c r="H1784" s="25" t="s">
        <v>2986</v>
      </c>
      <c r="I1784" s="25" t="s">
        <v>2806</v>
      </c>
      <c r="J1784" s="26"/>
    </row>
    <row r="1785" spans="1:10" s="41" customFormat="1" ht="30.95" customHeight="1">
      <c r="A1785" s="41">
        <v>287</v>
      </c>
      <c r="C1785" s="22">
        <f t="shared" si="27"/>
        <v>1778</v>
      </c>
      <c r="D1785" s="166" t="s">
        <v>3039</v>
      </c>
      <c r="E1785" s="23" t="s">
        <v>1136</v>
      </c>
      <c r="F1785" s="45" t="s">
        <v>2740</v>
      </c>
      <c r="G1785" s="24">
        <v>300</v>
      </c>
      <c r="H1785" s="25" t="s">
        <v>2986</v>
      </c>
      <c r="I1785" s="25" t="s">
        <v>2806</v>
      </c>
      <c r="J1785" s="26"/>
    </row>
    <row r="1786" spans="1:10" s="41" customFormat="1" ht="30.95" customHeight="1">
      <c r="A1786" s="41">
        <v>288</v>
      </c>
      <c r="C1786" s="22">
        <f t="shared" si="27"/>
        <v>1779</v>
      </c>
      <c r="D1786" s="166" t="s">
        <v>2999</v>
      </c>
      <c r="E1786" s="23" t="s">
        <v>1136</v>
      </c>
      <c r="F1786" s="45" t="s">
        <v>2740</v>
      </c>
      <c r="G1786" s="24">
        <v>2000</v>
      </c>
      <c r="H1786" s="25" t="s">
        <v>433</v>
      </c>
      <c r="I1786" s="25" t="s">
        <v>2988</v>
      </c>
      <c r="J1786" s="26"/>
    </row>
    <row r="1787" spans="1:10" s="41" customFormat="1" ht="30.95" customHeight="1">
      <c r="A1787" s="41">
        <v>289</v>
      </c>
      <c r="C1787" s="22">
        <f t="shared" si="27"/>
        <v>1780</v>
      </c>
      <c r="D1787" s="166" t="s">
        <v>3040</v>
      </c>
      <c r="E1787" s="23" t="s">
        <v>1136</v>
      </c>
      <c r="F1787" s="45" t="s">
        <v>2740</v>
      </c>
      <c r="G1787" s="24">
        <v>900</v>
      </c>
      <c r="H1787" s="25" t="s">
        <v>2341</v>
      </c>
      <c r="I1787" s="25" t="s">
        <v>3027</v>
      </c>
      <c r="J1787" s="26"/>
    </row>
    <row r="1788" spans="1:10" s="41" customFormat="1" ht="30.95" customHeight="1">
      <c r="A1788" s="41">
        <v>290</v>
      </c>
      <c r="C1788" s="22">
        <f t="shared" si="27"/>
        <v>1781</v>
      </c>
      <c r="D1788" s="166" t="s">
        <v>3041</v>
      </c>
      <c r="E1788" s="23" t="s">
        <v>1136</v>
      </c>
      <c r="F1788" s="45" t="s">
        <v>2740</v>
      </c>
      <c r="G1788" s="24">
        <v>350</v>
      </c>
      <c r="H1788" s="25" t="s">
        <v>2986</v>
      </c>
      <c r="I1788" s="25" t="s">
        <v>2455</v>
      </c>
      <c r="J1788" s="26"/>
    </row>
    <row r="1789" spans="1:10" s="41" customFormat="1" ht="30.95" customHeight="1">
      <c r="A1789" s="41">
        <v>291</v>
      </c>
      <c r="C1789" s="22">
        <f t="shared" si="27"/>
        <v>1782</v>
      </c>
      <c r="D1789" s="166" t="s">
        <v>3042</v>
      </c>
      <c r="E1789" s="23" t="s">
        <v>1136</v>
      </c>
      <c r="F1789" s="45" t="s">
        <v>2740</v>
      </c>
      <c r="G1789" s="24">
        <v>1000</v>
      </c>
      <c r="H1789" s="25" t="s">
        <v>2454</v>
      </c>
      <c r="I1789" s="25" t="s">
        <v>2344</v>
      </c>
      <c r="J1789" s="26"/>
    </row>
    <row r="1790" spans="1:10" s="41" customFormat="1" ht="30.95" customHeight="1">
      <c r="A1790" s="41">
        <v>292</v>
      </c>
      <c r="C1790" s="22">
        <f t="shared" si="27"/>
        <v>1783</v>
      </c>
      <c r="D1790" s="166" t="s">
        <v>3043</v>
      </c>
      <c r="E1790" s="23" t="s">
        <v>1136</v>
      </c>
      <c r="F1790" s="45" t="s">
        <v>2740</v>
      </c>
      <c r="G1790" s="24">
        <v>900</v>
      </c>
      <c r="H1790" s="25" t="s">
        <v>2454</v>
      </c>
      <c r="I1790" s="25" t="s">
        <v>2344</v>
      </c>
      <c r="J1790" s="26"/>
    </row>
    <row r="1791" spans="1:10" s="41" customFormat="1" ht="30.95" customHeight="1">
      <c r="A1791" s="41">
        <v>293</v>
      </c>
      <c r="C1791" s="22">
        <f t="shared" si="27"/>
        <v>1784</v>
      </c>
      <c r="D1791" s="166" t="s">
        <v>3044</v>
      </c>
      <c r="E1791" s="23" t="s">
        <v>1136</v>
      </c>
      <c r="F1791" s="45" t="s">
        <v>2740</v>
      </c>
      <c r="G1791" s="24">
        <v>800</v>
      </c>
      <c r="H1791" s="25" t="s">
        <v>2344</v>
      </c>
      <c r="I1791" s="25" t="s">
        <v>2993</v>
      </c>
      <c r="J1791" s="26"/>
    </row>
    <row r="1792" spans="1:10" s="41" customFormat="1" ht="30.95" customHeight="1">
      <c r="A1792" s="41">
        <v>294</v>
      </c>
      <c r="C1792" s="22">
        <f t="shared" si="27"/>
        <v>1785</v>
      </c>
      <c r="D1792" s="166" t="s">
        <v>3045</v>
      </c>
      <c r="E1792" s="23" t="s">
        <v>1136</v>
      </c>
      <c r="F1792" s="45" t="s">
        <v>2740</v>
      </c>
      <c r="G1792" s="24">
        <v>700</v>
      </c>
      <c r="H1792" s="25" t="s">
        <v>2454</v>
      </c>
      <c r="I1792" s="25" t="s">
        <v>2993</v>
      </c>
      <c r="J1792" s="26"/>
    </row>
    <row r="1793" spans="1:10" s="41" customFormat="1" ht="30.95" customHeight="1">
      <c r="A1793" s="41">
        <v>295</v>
      </c>
      <c r="C1793" s="22">
        <f t="shared" si="27"/>
        <v>1786</v>
      </c>
      <c r="D1793" s="166" t="s">
        <v>3046</v>
      </c>
      <c r="E1793" s="23" t="s">
        <v>1136</v>
      </c>
      <c r="F1793" s="45" t="s">
        <v>2740</v>
      </c>
      <c r="G1793" s="24">
        <v>1000</v>
      </c>
      <c r="H1793" s="25" t="s">
        <v>2986</v>
      </c>
      <c r="I1793" s="25" t="s">
        <v>2985</v>
      </c>
      <c r="J1793" s="26"/>
    </row>
    <row r="1794" spans="1:10" s="41" customFormat="1" ht="30.95" customHeight="1">
      <c r="A1794" s="41">
        <v>296</v>
      </c>
      <c r="C1794" s="22">
        <f t="shared" si="27"/>
        <v>1787</v>
      </c>
      <c r="D1794" s="166" t="s">
        <v>3047</v>
      </c>
      <c r="E1794" s="23" t="s">
        <v>1136</v>
      </c>
      <c r="F1794" s="45" t="s">
        <v>2740</v>
      </c>
      <c r="G1794" s="24">
        <v>1300</v>
      </c>
      <c r="H1794" s="25" t="s">
        <v>3048</v>
      </c>
      <c r="I1794" s="25" t="s">
        <v>3049</v>
      </c>
      <c r="J1794" s="26"/>
    </row>
    <row r="1795" spans="1:10" s="41" customFormat="1" ht="30.95" customHeight="1">
      <c r="A1795" s="41">
        <v>297</v>
      </c>
      <c r="C1795" s="22">
        <f t="shared" si="27"/>
        <v>1788</v>
      </c>
      <c r="D1795" s="166" t="s">
        <v>3050</v>
      </c>
      <c r="E1795" s="23" t="s">
        <v>1136</v>
      </c>
      <c r="F1795" s="45" t="s">
        <v>2740</v>
      </c>
      <c r="G1795" s="24">
        <v>500</v>
      </c>
      <c r="H1795" s="25" t="s">
        <v>3048</v>
      </c>
      <c r="I1795" s="25" t="s">
        <v>3051</v>
      </c>
      <c r="J1795" s="26"/>
    </row>
    <row r="1796" spans="1:10" s="41" customFormat="1" ht="30.95" customHeight="1">
      <c r="A1796" s="41">
        <v>298</v>
      </c>
      <c r="C1796" s="22">
        <f t="shared" si="27"/>
        <v>1789</v>
      </c>
      <c r="D1796" s="166" t="s">
        <v>3052</v>
      </c>
      <c r="E1796" s="23" t="s">
        <v>1136</v>
      </c>
      <c r="F1796" s="45" t="s">
        <v>2740</v>
      </c>
      <c r="G1796" s="24">
        <v>550</v>
      </c>
      <c r="H1796" s="25" t="s">
        <v>3053</v>
      </c>
      <c r="I1796" s="25" t="s">
        <v>3054</v>
      </c>
      <c r="J1796" s="26"/>
    </row>
    <row r="1797" spans="1:10" s="41" customFormat="1" ht="30.95" customHeight="1">
      <c r="A1797" s="41">
        <v>299</v>
      </c>
      <c r="C1797" s="22">
        <f t="shared" si="27"/>
        <v>1790</v>
      </c>
      <c r="D1797" s="166" t="s">
        <v>3055</v>
      </c>
      <c r="E1797" s="23" t="s">
        <v>1136</v>
      </c>
      <c r="F1797" s="45" t="s">
        <v>2740</v>
      </c>
      <c r="G1797" s="24">
        <v>700</v>
      </c>
      <c r="H1797" s="25" t="s">
        <v>3053</v>
      </c>
      <c r="I1797" s="25" t="s">
        <v>3056</v>
      </c>
      <c r="J1797" s="26"/>
    </row>
    <row r="1798" spans="1:10" s="41" customFormat="1" ht="30.95" customHeight="1">
      <c r="A1798" s="41">
        <v>300</v>
      </c>
      <c r="C1798" s="22">
        <f t="shared" si="27"/>
        <v>1791</v>
      </c>
      <c r="D1798" s="166" t="s">
        <v>3057</v>
      </c>
      <c r="E1798" s="23" t="s">
        <v>1136</v>
      </c>
      <c r="F1798" s="45" t="s">
        <v>2740</v>
      </c>
      <c r="G1798" s="24">
        <v>1600</v>
      </c>
      <c r="H1798" s="25" t="s">
        <v>2987</v>
      </c>
      <c r="I1798" s="25" t="s">
        <v>2992</v>
      </c>
      <c r="J1798" s="26"/>
    </row>
    <row r="1799" spans="1:10" s="41" customFormat="1" ht="30.95" customHeight="1">
      <c r="A1799" s="41">
        <v>301</v>
      </c>
      <c r="C1799" s="22">
        <f t="shared" si="27"/>
        <v>1792</v>
      </c>
      <c r="D1799" s="166" t="s">
        <v>3058</v>
      </c>
      <c r="E1799" s="23" t="s">
        <v>1136</v>
      </c>
      <c r="F1799" s="45" t="s">
        <v>2740</v>
      </c>
      <c r="G1799" s="24">
        <v>700</v>
      </c>
      <c r="H1799" s="25" t="s">
        <v>3016</v>
      </c>
      <c r="I1799" s="25" t="s">
        <v>2806</v>
      </c>
      <c r="J1799" s="26"/>
    </row>
    <row r="1800" spans="1:10" s="41" customFormat="1" ht="30.95" customHeight="1">
      <c r="A1800" s="41">
        <v>302</v>
      </c>
      <c r="C1800" s="22">
        <f t="shared" si="27"/>
        <v>1793</v>
      </c>
      <c r="D1800" s="166" t="s">
        <v>2938</v>
      </c>
      <c r="E1800" s="23" t="s">
        <v>1136</v>
      </c>
      <c r="F1800" s="45" t="s">
        <v>2740</v>
      </c>
      <c r="G1800" s="24">
        <v>300</v>
      </c>
      <c r="H1800" s="25" t="s">
        <v>2453</v>
      </c>
      <c r="I1800" s="25" t="s">
        <v>2806</v>
      </c>
      <c r="J1800" s="26"/>
    </row>
    <row r="1801" spans="1:10" s="41" customFormat="1" ht="30.95" customHeight="1">
      <c r="A1801" s="41">
        <v>303</v>
      </c>
      <c r="C1801" s="22">
        <f t="shared" si="27"/>
        <v>1794</v>
      </c>
      <c r="D1801" s="166" t="s">
        <v>3059</v>
      </c>
      <c r="E1801" s="23" t="s">
        <v>1136</v>
      </c>
      <c r="F1801" s="45" t="s">
        <v>2740</v>
      </c>
      <c r="G1801" s="24">
        <v>650</v>
      </c>
      <c r="H1801" s="25" t="s">
        <v>3060</v>
      </c>
      <c r="I1801" s="25" t="s">
        <v>2806</v>
      </c>
      <c r="J1801" s="26"/>
    </row>
    <row r="1802" spans="1:10" s="41" customFormat="1" ht="30.95" customHeight="1">
      <c r="A1802" s="41">
        <v>304</v>
      </c>
      <c r="C1802" s="22">
        <f t="shared" ref="C1802:C1865" si="28">C1801+1</f>
        <v>1795</v>
      </c>
      <c r="D1802" s="166" t="s">
        <v>3061</v>
      </c>
      <c r="E1802" s="23" t="s">
        <v>1136</v>
      </c>
      <c r="F1802" s="45" t="s">
        <v>2740</v>
      </c>
      <c r="G1802" s="24">
        <v>1388</v>
      </c>
      <c r="H1802" s="25" t="s">
        <v>3062</v>
      </c>
      <c r="I1802" s="25" t="s">
        <v>3063</v>
      </c>
      <c r="J1802" s="26"/>
    </row>
    <row r="1803" spans="1:10" s="41" customFormat="1" ht="30.95" customHeight="1">
      <c r="A1803" s="41">
        <v>305</v>
      </c>
      <c r="C1803" s="22">
        <f t="shared" si="28"/>
        <v>1796</v>
      </c>
      <c r="D1803" s="166" t="s">
        <v>2788</v>
      </c>
      <c r="E1803" s="23" t="s">
        <v>1136</v>
      </c>
      <c r="F1803" s="45" t="s">
        <v>2740</v>
      </c>
      <c r="G1803" s="24">
        <v>860</v>
      </c>
      <c r="H1803" s="25" t="s">
        <v>3064</v>
      </c>
      <c r="I1803" s="25" t="s">
        <v>3065</v>
      </c>
      <c r="J1803" s="26"/>
    </row>
    <row r="1804" spans="1:10" s="41" customFormat="1" ht="30.95" customHeight="1">
      <c r="A1804" s="41">
        <v>306</v>
      </c>
      <c r="C1804" s="22">
        <f t="shared" si="28"/>
        <v>1797</v>
      </c>
      <c r="D1804" s="166" t="s">
        <v>3066</v>
      </c>
      <c r="E1804" s="23" t="s">
        <v>1136</v>
      </c>
      <c r="F1804" s="45" t="s">
        <v>2740</v>
      </c>
      <c r="G1804" s="24">
        <v>548</v>
      </c>
      <c r="H1804" s="25" t="s">
        <v>3067</v>
      </c>
      <c r="I1804" s="25" t="s">
        <v>3068</v>
      </c>
      <c r="J1804" s="26"/>
    </row>
    <row r="1805" spans="1:10" s="41" customFormat="1" ht="30.95" customHeight="1">
      <c r="A1805" s="41">
        <v>307</v>
      </c>
      <c r="C1805" s="22">
        <f t="shared" si="28"/>
        <v>1798</v>
      </c>
      <c r="D1805" s="166" t="s">
        <v>3069</v>
      </c>
      <c r="E1805" s="23" t="s">
        <v>1136</v>
      </c>
      <c r="F1805" s="45" t="s">
        <v>2740</v>
      </c>
      <c r="G1805" s="24">
        <v>1343</v>
      </c>
      <c r="H1805" s="25" t="s">
        <v>3070</v>
      </c>
      <c r="I1805" s="25" t="s">
        <v>3071</v>
      </c>
      <c r="J1805" s="26"/>
    </row>
    <row r="1806" spans="1:10" s="41" customFormat="1" ht="30.95" customHeight="1">
      <c r="A1806" s="41">
        <v>308</v>
      </c>
      <c r="C1806" s="22">
        <f t="shared" si="28"/>
        <v>1799</v>
      </c>
      <c r="D1806" s="166" t="s">
        <v>2791</v>
      </c>
      <c r="E1806" s="23" t="s">
        <v>1136</v>
      </c>
      <c r="F1806" s="45" t="s">
        <v>2740</v>
      </c>
      <c r="G1806" s="24">
        <v>590</v>
      </c>
      <c r="H1806" s="25" t="s">
        <v>3070</v>
      </c>
      <c r="I1806" s="25" t="s">
        <v>3072</v>
      </c>
      <c r="J1806" s="26"/>
    </row>
    <row r="1807" spans="1:10" s="41" customFormat="1" ht="30.95" customHeight="1">
      <c r="A1807" s="41">
        <v>309</v>
      </c>
      <c r="C1807" s="22">
        <f t="shared" si="28"/>
        <v>1800</v>
      </c>
      <c r="D1807" s="166" t="s">
        <v>3073</v>
      </c>
      <c r="E1807" s="23" t="s">
        <v>1136</v>
      </c>
      <c r="F1807" s="45" t="s">
        <v>2740</v>
      </c>
      <c r="G1807" s="24">
        <v>889</v>
      </c>
      <c r="H1807" s="25" t="s">
        <v>3070</v>
      </c>
      <c r="I1807" s="25" t="s">
        <v>3074</v>
      </c>
      <c r="J1807" s="26"/>
    </row>
    <row r="1808" spans="1:10" s="41" customFormat="1" ht="30.95" customHeight="1">
      <c r="A1808" s="41">
        <v>310</v>
      </c>
      <c r="C1808" s="22">
        <f t="shared" si="28"/>
        <v>1801</v>
      </c>
      <c r="D1808" s="166" t="s">
        <v>3075</v>
      </c>
      <c r="E1808" s="23" t="s">
        <v>1136</v>
      </c>
      <c r="F1808" s="45" t="s">
        <v>2740</v>
      </c>
      <c r="G1808" s="24">
        <v>620</v>
      </c>
      <c r="H1808" s="25" t="s">
        <v>2224</v>
      </c>
      <c r="I1808" s="25" t="s">
        <v>3076</v>
      </c>
      <c r="J1808" s="26"/>
    </row>
    <row r="1809" spans="1:10" s="41" customFormat="1" ht="30.95" customHeight="1">
      <c r="A1809" s="41">
        <v>311</v>
      </c>
      <c r="C1809" s="22">
        <f t="shared" si="28"/>
        <v>1802</v>
      </c>
      <c r="D1809" s="166" t="s">
        <v>3077</v>
      </c>
      <c r="E1809" s="23" t="s">
        <v>1136</v>
      </c>
      <c r="F1809" s="45" t="s">
        <v>2740</v>
      </c>
      <c r="G1809" s="24">
        <v>1760</v>
      </c>
      <c r="H1809" s="25" t="s">
        <v>3078</v>
      </c>
      <c r="I1809" s="25" t="s">
        <v>2341</v>
      </c>
      <c r="J1809" s="26"/>
    </row>
    <row r="1810" spans="1:10" s="41" customFormat="1" ht="30.95" customHeight="1">
      <c r="A1810" s="41">
        <v>312</v>
      </c>
      <c r="C1810" s="22">
        <f t="shared" si="28"/>
        <v>1803</v>
      </c>
      <c r="D1810" s="166" t="s">
        <v>3079</v>
      </c>
      <c r="E1810" s="23" t="s">
        <v>1136</v>
      </c>
      <c r="F1810" s="45" t="s">
        <v>2740</v>
      </c>
      <c r="G1810" s="24">
        <v>870</v>
      </c>
      <c r="H1810" s="25" t="s">
        <v>3076</v>
      </c>
      <c r="I1810" s="25" t="s">
        <v>3080</v>
      </c>
      <c r="J1810" s="26"/>
    </row>
    <row r="1811" spans="1:10" s="41" customFormat="1" ht="30.95" customHeight="1">
      <c r="A1811" s="41">
        <v>313</v>
      </c>
      <c r="C1811" s="22">
        <f t="shared" si="28"/>
        <v>1804</v>
      </c>
      <c r="D1811" s="166" t="s">
        <v>3081</v>
      </c>
      <c r="E1811" s="23" t="s">
        <v>1136</v>
      </c>
      <c r="F1811" s="45" t="s">
        <v>2740</v>
      </c>
      <c r="G1811" s="24">
        <v>444</v>
      </c>
      <c r="H1811" s="25" t="s">
        <v>2803</v>
      </c>
      <c r="I1811" s="25" t="s">
        <v>3076</v>
      </c>
      <c r="J1811" s="26"/>
    </row>
    <row r="1812" spans="1:10" s="41" customFormat="1" ht="30.95" customHeight="1">
      <c r="A1812" s="41">
        <v>314</v>
      </c>
      <c r="C1812" s="22">
        <f t="shared" si="28"/>
        <v>1805</v>
      </c>
      <c r="D1812" s="166" t="s">
        <v>2803</v>
      </c>
      <c r="E1812" s="23" t="s">
        <v>1136</v>
      </c>
      <c r="F1812" s="45" t="s">
        <v>2740</v>
      </c>
      <c r="G1812" s="24">
        <v>1050</v>
      </c>
      <c r="H1812" s="25" t="s">
        <v>3082</v>
      </c>
      <c r="I1812" s="25" t="s">
        <v>3076</v>
      </c>
      <c r="J1812" s="26"/>
    </row>
    <row r="1813" spans="1:10" s="41" customFormat="1" ht="30.95" customHeight="1">
      <c r="A1813" s="41">
        <v>315</v>
      </c>
      <c r="C1813" s="22">
        <f t="shared" si="28"/>
        <v>1806</v>
      </c>
      <c r="D1813" s="166" t="s">
        <v>3083</v>
      </c>
      <c r="E1813" s="23" t="s">
        <v>1136</v>
      </c>
      <c r="F1813" s="45" t="s">
        <v>2740</v>
      </c>
      <c r="G1813" s="24">
        <v>700</v>
      </c>
      <c r="H1813" s="25" t="s">
        <v>2224</v>
      </c>
      <c r="I1813" s="25" t="s">
        <v>3076</v>
      </c>
      <c r="J1813" s="26"/>
    </row>
    <row r="1814" spans="1:10" s="41" customFormat="1" ht="30.95" customHeight="1">
      <c r="A1814" s="41">
        <v>316</v>
      </c>
      <c r="C1814" s="22">
        <f t="shared" si="28"/>
        <v>1807</v>
      </c>
      <c r="D1814" s="166" t="s">
        <v>3084</v>
      </c>
      <c r="E1814" s="23" t="s">
        <v>1136</v>
      </c>
      <c r="F1814" s="45" t="s">
        <v>2740</v>
      </c>
      <c r="G1814" s="24">
        <v>760</v>
      </c>
      <c r="H1814" s="25" t="s">
        <v>387</v>
      </c>
      <c r="I1814" s="25" t="s">
        <v>3085</v>
      </c>
      <c r="J1814" s="26"/>
    </row>
    <row r="1815" spans="1:10" s="41" customFormat="1" ht="30.95" customHeight="1">
      <c r="A1815" s="41">
        <v>317</v>
      </c>
      <c r="C1815" s="22">
        <f t="shared" si="28"/>
        <v>1808</v>
      </c>
      <c r="D1815" s="166" t="s">
        <v>3086</v>
      </c>
      <c r="E1815" s="23" t="s">
        <v>1136</v>
      </c>
      <c r="F1815" s="45" t="s">
        <v>2740</v>
      </c>
      <c r="G1815" s="24">
        <v>500</v>
      </c>
      <c r="H1815" s="25" t="s">
        <v>2458</v>
      </c>
      <c r="I1815" s="25" t="s">
        <v>3087</v>
      </c>
      <c r="J1815" s="26"/>
    </row>
    <row r="1816" spans="1:10" s="41" customFormat="1" ht="30.95" customHeight="1">
      <c r="A1816" s="41">
        <v>318</v>
      </c>
      <c r="C1816" s="22">
        <f t="shared" si="28"/>
        <v>1809</v>
      </c>
      <c r="D1816" s="166" t="s">
        <v>3088</v>
      </c>
      <c r="E1816" s="23" t="s">
        <v>1136</v>
      </c>
      <c r="F1816" s="45" t="s">
        <v>2740</v>
      </c>
      <c r="G1816" s="24">
        <v>870</v>
      </c>
      <c r="H1816" s="25" t="s">
        <v>3089</v>
      </c>
      <c r="I1816" s="25" t="s">
        <v>3085</v>
      </c>
      <c r="J1816" s="26"/>
    </row>
    <row r="1817" spans="1:10" s="41" customFormat="1" ht="30.95" customHeight="1">
      <c r="A1817" s="41">
        <v>319</v>
      </c>
      <c r="C1817" s="22">
        <f t="shared" si="28"/>
        <v>1810</v>
      </c>
      <c r="D1817" s="166" t="s">
        <v>2959</v>
      </c>
      <c r="E1817" s="23" t="s">
        <v>1136</v>
      </c>
      <c r="F1817" s="45" t="s">
        <v>2740</v>
      </c>
      <c r="G1817" s="24">
        <v>350</v>
      </c>
      <c r="H1817" s="25" t="s">
        <v>3089</v>
      </c>
      <c r="I1817" s="25" t="s">
        <v>3085</v>
      </c>
      <c r="J1817" s="26"/>
    </row>
    <row r="1818" spans="1:10" s="41" customFormat="1" ht="30.95" customHeight="1">
      <c r="A1818" s="41">
        <v>320</v>
      </c>
      <c r="C1818" s="22">
        <f t="shared" si="28"/>
        <v>1811</v>
      </c>
      <c r="D1818" s="166" t="s">
        <v>3090</v>
      </c>
      <c r="E1818" s="23" t="s">
        <v>1136</v>
      </c>
      <c r="F1818" s="45" t="s">
        <v>2740</v>
      </c>
      <c r="G1818" s="24">
        <v>200</v>
      </c>
      <c r="H1818" s="25" t="s">
        <v>3089</v>
      </c>
      <c r="I1818" s="25" t="s">
        <v>3085</v>
      </c>
      <c r="J1818" s="26"/>
    </row>
    <row r="1819" spans="1:10" s="41" customFormat="1" ht="30.95" customHeight="1">
      <c r="A1819" s="41">
        <v>321</v>
      </c>
      <c r="C1819" s="22">
        <f t="shared" si="28"/>
        <v>1812</v>
      </c>
      <c r="D1819" s="166" t="s">
        <v>3091</v>
      </c>
      <c r="E1819" s="23" t="s">
        <v>1136</v>
      </c>
      <c r="F1819" s="45" t="s">
        <v>2740</v>
      </c>
      <c r="G1819" s="24">
        <v>100</v>
      </c>
      <c r="H1819" s="25" t="s">
        <v>3089</v>
      </c>
      <c r="I1819" s="25" t="s">
        <v>3092</v>
      </c>
      <c r="J1819" s="26"/>
    </row>
    <row r="1820" spans="1:10" s="41" customFormat="1" ht="30.95" customHeight="1">
      <c r="A1820" s="41">
        <v>322</v>
      </c>
      <c r="C1820" s="22">
        <f t="shared" si="28"/>
        <v>1813</v>
      </c>
      <c r="D1820" s="166" t="s">
        <v>3093</v>
      </c>
      <c r="E1820" s="23" t="s">
        <v>1136</v>
      </c>
      <c r="F1820" s="45" t="s">
        <v>2740</v>
      </c>
      <c r="G1820" s="24">
        <v>200</v>
      </c>
      <c r="H1820" s="25" t="s">
        <v>3089</v>
      </c>
      <c r="I1820" s="25" t="s">
        <v>3085</v>
      </c>
      <c r="J1820" s="26"/>
    </row>
    <row r="1821" spans="1:10" s="41" customFormat="1" ht="30.95" customHeight="1">
      <c r="A1821" s="41">
        <v>323</v>
      </c>
      <c r="C1821" s="22">
        <f t="shared" si="28"/>
        <v>1814</v>
      </c>
      <c r="D1821" s="166" t="s">
        <v>3094</v>
      </c>
      <c r="E1821" s="23" t="s">
        <v>1136</v>
      </c>
      <c r="F1821" s="45" t="s">
        <v>2740</v>
      </c>
      <c r="G1821" s="24">
        <v>3000</v>
      </c>
      <c r="H1821" s="25" t="s">
        <v>3089</v>
      </c>
      <c r="I1821" s="25" t="s">
        <v>3085</v>
      </c>
      <c r="J1821" s="26"/>
    </row>
    <row r="1822" spans="1:10" s="41" customFormat="1" ht="30.95" customHeight="1">
      <c r="A1822" s="41">
        <v>324</v>
      </c>
      <c r="C1822" s="22">
        <f t="shared" si="28"/>
        <v>1815</v>
      </c>
      <c r="D1822" s="166" t="s">
        <v>3095</v>
      </c>
      <c r="E1822" s="23" t="s">
        <v>1136</v>
      </c>
      <c r="F1822" s="45" t="s">
        <v>2740</v>
      </c>
      <c r="G1822" s="24">
        <v>100</v>
      </c>
      <c r="H1822" s="25" t="s">
        <v>3089</v>
      </c>
      <c r="I1822" s="25" t="s">
        <v>3085</v>
      </c>
      <c r="J1822" s="26"/>
    </row>
    <row r="1823" spans="1:10" s="41" customFormat="1" ht="30.95" customHeight="1">
      <c r="A1823" s="41">
        <v>325</v>
      </c>
      <c r="C1823" s="22">
        <f t="shared" si="28"/>
        <v>1816</v>
      </c>
      <c r="D1823" s="166" t="s">
        <v>3096</v>
      </c>
      <c r="E1823" s="23" t="s">
        <v>1136</v>
      </c>
      <c r="F1823" s="45" t="s">
        <v>2740</v>
      </c>
      <c r="G1823" s="24">
        <v>739</v>
      </c>
      <c r="H1823" s="25" t="s">
        <v>3089</v>
      </c>
      <c r="I1823" s="25" t="s">
        <v>3085</v>
      </c>
      <c r="J1823" s="26"/>
    </row>
    <row r="1824" spans="1:10" s="41" customFormat="1" ht="30.95" customHeight="1">
      <c r="A1824" s="41">
        <v>326</v>
      </c>
      <c r="B1824" s="47">
        <f>SUM(G1499:G1824)</f>
        <v>352530.30000000005</v>
      </c>
      <c r="C1824" s="22">
        <f t="shared" si="28"/>
        <v>1817</v>
      </c>
      <c r="D1824" s="166" t="s">
        <v>3097</v>
      </c>
      <c r="E1824" s="23" t="s">
        <v>1136</v>
      </c>
      <c r="F1824" s="45" t="s">
        <v>2740</v>
      </c>
      <c r="G1824" s="24">
        <v>764</v>
      </c>
      <c r="H1824" s="25" t="s">
        <v>3098</v>
      </c>
      <c r="I1824" s="25" t="s">
        <v>3085</v>
      </c>
      <c r="J1824" s="48"/>
    </row>
    <row r="1825" spans="1:10" s="41" customFormat="1" ht="30.95" customHeight="1">
      <c r="A1825" s="41">
        <v>1</v>
      </c>
      <c r="C1825" s="22">
        <f t="shared" si="28"/>
        <v>1818</v>
      </c>
      <c r="D1825" s="161" t="s">
        <v>3872</v>
      </c>
      <c r="E1825" s="23" t="s">
        <v>1136</v>
      </c>
      <c r="F1825" s="150" t="s">
        <v>3100</v>
      </c>
      <c r="G1825" s="24">
        <v>2500</v>
      </c>
      <c r="H1825" s="25" t="s">
        <v>3101</v>
      </c>
      <c r="I1825" s="25" t="s">
        <v>3102</v>
      </c>
      <c r="J1825" s="26"/>
    </row>
    <row r="1826" spans="1:10" s="41" customFormat="1" ht="30.95" customHeight="1">
      <c r="A1826" s="41">
        <v>2</v>
      </c>
      <c r="C1826" s="22">
        <f t="shared" si="28"/>
        <v>1819</v>
      </c>
      <c r="D1826" s="161" t="s">
        <v>2517</v>
      </c>
      <c r="E1826" s="23" t="s">
        <v>1136</v>
      </c>
      <c r="F1826" s="150" t="s">
        <v>3100</v>
      </c>
      <c r="G1826" s="24">
        <v>2000</v>
      </c>
      <c r="H1826" s="25" t="s">
        <v>3101</v>
      </c>
      <c r="I1826" s="25" t="s">
        <v>3103</v>
      </c>
      <c r="J1826" s="26"/>
    </row>
    <row r="1827" spans="1:10" s="41" customFormat="1" ht="30.95" customHeight="1">
      <c r="A1827" s="41">
        <v>3</v>
      </c>
      <c r="C1827" s="22">
        <f t="shared" si="28"/>
        <v>1820</v>
      </c>
      <c r="D1827" s="161" t="s">
        <v>594</v>
      </c>
      <c r="E1827" s="23" t="s">
        <v>1136</v>
      </c>
      <c r="F1827" s="150" t="s">
        <v>3100</v>
      </c>
      <c r="G1827" s="24">
        <v>1500</v>
      </c>
      <c r="H1827" s="25" t="s">
        <v>3101</v>
      </c>
      <c r="I1827" s="25" t="s">
        <v>2373</v>
      </c>
      <c r="J1827" s="26"/>
    </row>
    <row r="1828" spans="1:10" s="41" customFormat="1" ht="30.95" customHeight="1">
      <c r="A1828" s="41">
        <v>4</v>
      </c>
      <c r="C1828" s="22">
        <f t="shared" si="28"/>
        <v>1821</v>
      </c>
      <c r="D1828" s="161" t="s">
        <v>305</v>
      </c>
      <c r="E1828" s="23" t="s">
        <v>1136</v>
      </c>
      <c r="F1828" s="150" t="s">
        <v>3100</v>
      </c>
      <c r="G1828" s="24">
        <v>1200</v>
      </c>
      <c r="H1828" s="25" t="s">
        <v>3105</v>
      </c>
      <c r="I1828" s="25" t="s">
        <v>3103</v>
      </c>
      <c r="J1828" s="26"/>
    </row>
    <row r="1829" spans="1:10" s="41" customFormat="1" ht="30.95" customHeight="1">
      <c r="A1829" s="41">
        <v>5</v>
      </c>
      <c r="C1829" s="22">
        <f t="shared" si="28"/>
        <v>1822</v>
      </c>
      <c r="D1829" s="161" t="s">
        <v>310</v>
      </c>
      <c r="E1829" s="23" t="s">
        <v>1136</v>
      </c>
      <c r="F1829" s="150" t="s">
        <v>3100</v>
      </c>
      <c r="G1829" s="24">
        <v>1000</v>
      </c>
      <c r="H1829" s="25" t="s">
        <v>3105</v>
      </c>
      <c r="I1829" s="25" t="s">
        <v>3103</v>
      </c>
      <c r="J1829" s="26"/>
    </row>
    <row r="1830" spans="1:10" s="41" customFormat="1" ht="30.95" customHeight="1">
      <c r="A1830" s="41">
        <v>6</v>
      </c>
      <c r="C1830" s="22">
        <f t="shared" si="28"/>
        <v>1823</v>
      </c>
      <c r="D1830" s="161" t="s">
        <v>1111</v>
      </c>
      <c r="E1830" s="23" t="s">
        <v>1136</v>
      </c>
      <c r="F1830" s="150" t="s">
        <v>3100</v>
      </c>
      <c r="G1830" s="24">
        <v>1200</v>
      </c>
      <c r="H1830" s="25" t="s">
        <v>3104</v>
      </c>
      <c r="I1830" s="25" t="s">
        <v>3103</v>
      </c>
      <c r="J1830" s="26"/>
    </row>
    <row r="1831" spans="1:10" s="41" customFormat="1" ht="30.95" customHeight="1">
      <c r="A1831" s="41">
        <v>7</v>
      </c>
      <c r="C1831" s="22">
        <f t="shared" si="28"/>
        <v>1824</v>
      </c>
      <c r="D1831" s="161" t="s">
        <v>3873</v>
      </c>
      <c r="E1831" s="23" t="s">
        <v>1136</v>
      </c>
      <c r="F1831" s="150" t="s">
        <v>3100</v>
      </c>
      <c r="G1831" s="24">
        <v>2500</v>
      </c>
      <c r="H1831" s="25" t="s">
        <v>3107</v>
      </c>
      <c r="I1831" s="25" t="s">
        <v>3103</v>
      </c>
      <c r="J1831" s="26"/>
    </row>
    <row r="1832" spans="1:10" s="41" customFormat="1" ht="30.95" customHeight="1">
      <c r="A1832" s="41">
        <v>8</v>
      </c>
      <c r="C1832" s="22">
        <f t="shared" si="28"/>
        <v>1825</v>
      </c>
      <c r="D1832" s="161" t="s">
        <v>3874</v>
      </c>
      <c r="E1832" s="23" t="s">
        <v>1136</v>
      </c>
      <c r="F1832" s="150" t="s">
        <v>3100</v>
      </c>
      <c r="G1832" s="24">
        <v>2600</v>
      </c>
      <c r="H1832" s="25" t="s">
        <v>3105</v>
      </c>
      <c r="I1832" s="25" t="s">
        <v>3106</v>
      </c>
      <c r="J1832" s="26"/>
    </row>
    <row r="1833" spans="1:10" s="41" customFormat="1" ht="30.95" customHeight="1">
      <c r="A1833" s="41">
        <v>9</v>
      </c>
      <c r="C1833" s="22">
        <f t="shared" si="28"/>
        <v>1826</v>
      </c>
      <c r="D1833" s="161" t="s">
        <v>3875</v>
      </c>
      <c r="E1833" s="23" t="s">
        <v>1136</v>
      </c>
      <c r="F1833" s="150" t="s">
        <v>3100</v>
      </c>
      <c r="G1833" s="24">
        <v>2000</v>
      </c>
      <c r="H1833" s="25" t="s">
        <v>3105</v>
      </c>
      <c r="I1833" s="25" t="s">
        <v>3103</v>
      </c>
      <c r="J1833" s="26"/>
    </row>
    <row r="1834" spans="1:10" s="41" customFormat="1" ht="30.95" customHeight="1">
      <c r="A1834" s="41">
        <v>10</v>
      </c>
      <c r="C1834" s="22">
        <f t="shared" si="28"/>
        <v>1827</v>
      </c>
      <c r="D1834" s="161" t="s">
        <v>3109</v>
      </c>
      <c r="E1834" s="23" t="s">
        <v>1136</v>
      </c>
      <c r="F1834" s="150" t="s">
        <v>3100</v>
      </c>
      <c r="G1834" s="24">
        <v>3000</v>
      </c>
      <c r="H1834" s="25" t="s">
        <v>3110</v>
      </c>
      <c r="I1834" s="25" t="s">
        <v>3108</v>
      </c>
      <c r="J1834" s="26"/>
    </row>
    <row r="1835" spans="1:10" s="41" customFormat="1" ht="30.95" customHeight="1">
      <c r="A1835" s="41">
        <v>11</v>
      </c>
      <c r="C1835" s="22">
        <f t="shared" si="28"/>
        <v>1828</v>
      </c>
      <c r="D1835" s="161" t="s">
        <v>3876</v>
      </c>
      <c r="E1835" s="23" t="s">
        <v>1136</v>
      </c>
      <c r="F1835" s="150" t="s">
        <v>3100</v>
      </c>
      <c r="G1835" s="24">
        <v>3500</v>
      </c>
      <c r="H1835" s="25" t="s">
        <v>3105</v>
      </c>
      <c r="I1835" s="25" t="s">
        <v>3111</v>
      </c>
      <c r="J1835" s="26"/>
    </row>
    <row r="1836" spans="1:10" s="41" customFormat="1" ht="30.95" customHeight="1">
      <c r="A1836" s="41">
        <v>12</v>
      </c>
      <c r="C1836" s="22">
        <f t="shared" si="28"/>
        <v>1829</v>
      </c>
      <c r="D1836" s="161" t="s">
        <v>3877</v>
      </c>
      <c r="E1836" s="23" t="s">
        <v>1136</v>
      </c>
      <c r="F1836" s="150" t="s">
        <v>3100</v>
      </c>
      <c r="G1836" s="24">
        <v>3000</v>
      </c>
      <c r="H1836" s="25" t="s">
        <v>3105</v>
      </c>
      <c r="I1836" s="25" t="s">
        <v>3103</v>
      </c>
      <c r="J1836" s="26"/>
    </row>
    <row r="1837" spans="1:10" s="41" customFormat="1" ht="30.95" customHeight="1">
      <c r="A1837" s="41">
        <v>13</v>
      </c>
      <c r="C1837" s="22">
        <f t="shared" si="28"/>
        <v>1830</v>
      </c>
      <c r="D1837" s="161" t="s">
        <v>3878</v>
      </c>
      <c r="E1837" s="23" t="s">
        <v>1136</v>
      </c>
      <c r="F1837" s="150" t="s">
        <v>3100</v>
      </c>
      <c r="G1837" s="24">
        <v>2000</v>
      </c>
      <c r="H1837" s="25" t="s">
        <v>3112</v>
      </c>
      <c r="I1837" s="25" t="s">
        <v>3103</v>
      </c>
      <c r="J1837" s="26"/>
    </row>
    <row r="1838" spans="1:10" s="41" customFormat="1" ht="30.95" customHeight="1">
      <c r="A1838" s="41">
        <v>14</v>
      </c>
      <c r="C1838" s="22">
        <f t="shared" si="28"/>
        <v>1831</v>
      </c>
      <c r="D1838" s="161" t="s">
        <v>3879</v>
      </c>
      <c r="E1838" s="23" t="s">
        <v>1136</v>
      </c>
      <c r="F1838" s="150" t="s">
        <v>3100</v>
      </c>
      <c r="G1838" s="24">
        <v>2500</v>
      </c>
      <c r="H1838" s="25" t="s">
        <v>3099</v>
      </c>
      <c r="I1838" s="25" t="s">
        <v>3103</v>
      </c>
      <c r="J1838" s="26"/>
    </row>
    <row r="1839" spans="1:10" s="41" customFormat="1" ht="30.95" customHeight="1">
      <c r="A1839" s="41">
        <v>15</v>
      </c>
      <c r="C1839" s="22">
        <f t="shared" si="28"/>
        <v>1832</v>
      </c>
      <c r="D1839" s="161" t="s">
        <v>3880</v>
      </c>
      <c r="E1839" s="23" t="s">
        <v>1136</v>
      </c>
      <c r="F1839" s="150" t="s">
        <v>3100</v>
      </c>
      <c r="G1839" s="24">
        <v>3500</v>
      </c>
      <c r="H1839" s="25" t="s">
        <v>3101</v>
      </c>
      <c r="I1839" s="25" t="s">
        <v>3103</v>
      </c>
      <c r="J1839" s="26"/>
    </row>
    <row r="1840" spans="1:10" s="41" customFormat="1" ht="30.95" customHeight="1">
      <c r="A1840" s="41">
        <v>16</v>
      </c>
      <c r="C1840" s="22">
        <f t="shared" si="28"/>
        <v>1833</v>
      </c>
      <c r="D1840" s="161" t="s">
        <v>3881</v>
      </c>
      <c r="E1840" s="23" t="s">
        <v>1136</v>
      </c>
      <c r="F1840" s="150" t="s">
        <v>3100</v>
      </c>
      <c r="G1840" s="24">
        <v>2000</v>
      </c>
      <c r="H1840" s="25" t="s">
        <v>3101</v>
      </c>
      <c r="I1840" s="25" t="s">
        <v>3103</v>
      </c>
      <c r="J1840" s="26"/>
    </row>
    <row r="1841" spans="1:10" s="41" customFormat="1" ht="30.95" customHeight="1">
      <c r="A1841" s="41">
        <v>17</v>
      </c>
      <c r="C1841" s="22">
        <f t="shared" si="28"/>
        <v>1834</v>
      </c>
      <c r="D1841" s="161" t="s">
        <v>133</v>
      </c>
      <c r="E1841" s="23" t="s">
        <v>1136</v>
      </c>
      <c r="F1841" s="150" t="s">
        <v>3100</v>
      </c>
      <c r="G1841" s="24">
        <v>1500</v>
      </c>
      <c r="H1841" s="25" t="s">
        <v>128</v>
      </c>
      <c r="I1841" s="25" t="s">
        <v>3103</v>
      </c>
      <c r="J1841" s="26"/>
    </row>
    <row r="1842" spans="1:10" s="41" customFormat="1" ht="30.95" customHeight="1">
      <c r="A1842" s="41">
        <v>18</v>
      </c>
      <c r="C1842" s="22">
        <f t="shared" si="28"/>
        <v>1835</v>
      </c>
      <c r="D1842" s="161" t="s">
        <v>3882</v>
      </c>
      <c r="E1842" s="23" t="s">
        <v>1136</v>
      </c>
      <c r="F1842" s="150" t="s">
        <v>3100</v>
      </c>
      <c r="G1842" s="24">
        <v>1500</v>
      </c>
      <c r="H1842" s="25" t="s">
        <v>128</v>
      </c>
      <c r="I1842" s="25" t="s">
        <v>3103</v>
      </c>
      <c r="J1842" s="26"/>
    </row>
    <row r="1843" spans="1:10" s="41" customFormat="1" ht="30.95" customHeight="1">
      <c r="A1843" s="41">
        <v>19</v>
      </c>
      <c r="C1843" s="22">
        <f t="shared" si="28"/>
        <v>1836</v>
      </c>
      <c r="D1843" s="161" t="s">
        <v>3883</v>
      </c>
      <c r="E1843" s="23" t="s">
        <v>1136</v>
      </c>
      <c r="F1843" s="150" t="s">
        <v>3100</v>
      </c>
      <c r="G1843" s="24">
        <v>3000</v>
      </c>
      <c r="H1843" s="25" t="s">
        <v>128</v>
      </c>
      <c r="I1843" s="25" t="s">
        <v>244</v>
      </c>
      <c r="J1843" s="26"/>
    </row>
    <row r="1844" spans="1:10" s="41" customFormat="1" ht="30.95" customHeight="1">
      <c r="A1844" s="41">
        <v>20</v>
      </c>
      <c r="C1844" s="22">
        <f t="shared" si="28"/>
        <v>1837</v>
      </c>
      <c r="D1844" s="161" t="s">
        <v>3884</v>
      </c>
      <c r="E1844" s="23" t="s">
        <v>1136</v>
      </c>
      <c r="F1844" s="150" t="s">
        <v>3100</v>
      </c>
      <c r="G1844" s="24">
        <v>3000</v>
      </c>
      <c r="H1844" s="25" t="s">
        <v>128</v>
      </c>
      <c r="I1844" s="25" t="s">
        <v>244</v>
      </c>
      <c r="J1844" s="26"/>
    </row>
    <row r="1845" spans="1:10" s="41" customFormat="1" ht="30.95" customHeight="1">
      <c r="A1845" s="41">
        <v>21</v>
      </c>
      <c r="C1845" s="22">
        <f t="shared" si="28"/>
        <v>1838</v>
      </c>
      <c r="D1845" s="161" t="s">
        <v>3885</v>
      </c>
      <c r="E1845" s="23" t="s">
        <v>1136</v>
      </c>
      <c r="F1845" s="150" t="s">
        <v>3100</v>
      </c>
      <c r="G1845" s="24">
        <v>4500</v>
      </c>
      <c r="H1845" s="25" t="s">
        <v>3114</v>
      </c>
      <c r="I1845" s="25" t="s">
        <v>3113</v>
      </c>
      <c r="J1845" s="26"/>
    </row>
    <row r="1846" spans="1:10" s="41" customFormat="1" ht="30.95" customHeight="1">
      <c r="A1846" s="41">
        <v>22</v>
      </c>
      <c r="C1846" s="22">
        <f t="shared" si="28"/>
        <v>1839</v>
      </c>
      <c r="D1846" s="161" t="s">
        <v>3353</v>
      </c>
      <c r="E1846" s="23" t="s">
        <v>1136</v>
      </c>
      <c r="F1846" s="150" t="s">
        <v>3100</v>
      </c>
      <c r="G1846" s="24">
        <v>2500</v>
      </c>
      <c r="H1846" s="25" t="s">
        <v>3114</v>
      </c>
      <c r="I1846" s="25" t="s">
        <v>3116</v>
      </c>
      <c r="J1846" s="26"/>
    </row>
    <row r="1847" spans="1:10" s="41" customFormat="1" ht="30.95" customHeight="1">
      <c r="A1847" s="41">
        <v>23</v>
      </c>
      <c r="C1847" s="22">
        <f t="shared" si="28"/>
        <v>1840</v>
      </c>
      <c r="D1847" s="161" t="s">
        <v>3886</v>
      </c>
      <c r="E1847" s="23" t="s">
        <v>1136</v>
      </c>
      <c r="F1847" s="150" t="s">
        <v>3100</v>
      </c>
      <c r="G1847" s="24">
        <v>2000</v>
      </c>
      <c r="H1847" s="25" t="s">
        <v>3115</v>
      </c>
      <c r="I1847" s="25" t="s">
        <v>244</v>
      </c>
      <c r="J1847" s="26"/>
    </row>
    <row r="1848" spans="1:10" s="41" customFormat="1" ht="30.95" customHeight="1">
      <c r="A1848" s="41">
        <v>24</v>
      </c>
      <c r="C1848" s="22">
        <f t="shared" si="28"/>
        <v>1841</v>
      </c>
      <c r="D1848" s="161" t="s">
        <v>3428</v>
      </c>
      <c r="E1848" s="23" t="s">
        <v>1136</v>
      </c>
      <c r="F1848" s="150" t="s">
        <v>3100</v>
      </c>
      <c r="G1848" s="24">
        <v>3500</v>
      </c>
      <c r="H1848" s="25" t="s">
        <v>3101</v>
      </c>
      <c r="I1848" s="25" t="s">
        <v>3115</v>
      </c>
      <c r="J1848" s="26"/>
    </row>
    <row r="1849" spans="1:10" s="41" customFormat="1" ht="30.95" customHeight="1">
      <c r="A1849" s="41">
        <v>25</v>
      </c>
      <c r="C1849" s="22">
        <f t="shared" si="28"/>
        <v>1842</v>
      </c>
      <c r="D1849" s="161" t="s">
        <v>3584</v>
      </c>
      <c r="E1849" s="23" t="s">
        <v>1136</v>
      </c>
      <c r="F1849" s="150" t="s">
        <v>3100</v>
      </c>
      <c r="G1849" s="24">
        <v>2500</v>
      </c>
      <c r="H1849" s="25" t="s">
        <v>3115</v>
      </c>
      <c r="I1849" s="25" t="s">
        <v>244</v>
      </c>
      <c r="J1849" s="26"/>
    </row>
    <row r="1850" spans="1:10" s="41" customFormat="1" ht="30.95" customHeight="1">
      <c r="A1850" s="41">
        <v>26</v>
      </c>
      <c r="C1850" s="22">
        <f t="shared" si="28"/>
        <v>1843</v>
      </c>
      <c r="D1850" s="161" t="s">
        <v>3887</v>
      </c>
      <c r="E1850" s="23" t="s">
        <v>1136</v>
      </c>
      <c r="F1850" s="150" t="s">
        <v>3100</v>
      </c>
      <c r="G1850" s="24">
        <v>2500</v>
      </c>
      <c r="H1850" s="25" t="s">
        <v>3117</v>
      </c>
      <c r="I1850" s="25" t="s">
        <v>244</v>
      </c>
      <c r="J1850" s="26"/>
    </row>
    <row r="1851" spans="1:10" s="41" customFormat="1" ht="30.95" customHeight="1">
      <c r="A1851" s="41">
        <v>27</v>
      </c>
      <c r="C1851" s="22">
        <f t="shared" si="28"/>
        <v>1844</v>
      </c>
      <c r="D1851" s="161" t="s">
        <v>3888</v>
      </c>
      <c r="E1851" s="23" t="s">
        <v>1136</v>
      </c>
      <c r="F1851" s="150" t="s">
        <v>3100</v>
      </c>
      <c r="G1851" s="24">
        <v>2000</v>
      </c>
      <c r="H1851" s="25" t="s">
        <v>3101</v>
      </c>
      <c r="I1851" s="25" t="s">
        <v>244</v>
      </c>
      <c r="J1851" s="26"/>
    </row>
    <row r="1852" spans="1:10" s="41" customFormat="1" ht="30.95" customHeight="1">
      <c r="A1852" s="41">
        <v>28</v>
      </c>
      <c r="C1852" s="22">
        <f t="shared" si="28"/>
        <v>1845</v>
      </c>
      <c r="D1852" s="161" t="s">
        <v>688</v>
      </c>
      <c r="E1852" s="23" t="s">
        <v>1136</v>
      </c>
      <c r="F1852" s="150" t="s">
        <v>3100</v>
      </c>
      <c r="G1852" s="24">
        <v>2000</v>
      </c>
      <c r="H1852" s="25" t="s">
        <v>263</v>
      </c>
      <c r="I1852" s="25" t="s">
        <v>244</v>
      </c>
      <c r="J1852" s="26"/>
    </row>
    <row r="1853" spans="1:10" s="41" customFormat="1" ht="30.95" customHeight="1">
      <c r="A1853" s="41">
        <v>29</v>
      </c>
      <c r="C1853" s="22">
        <f t="shared" si="28"/>
        <v>1846</v>
      </c>
      <c r="D1853" s="161" t="s">
        <v>3889</v>
      </c>
      <c r="E1853" s="23" t="s">
        <v>1136</v>
      </c>
      <c r="F1853" s="150" t="s">
        <v>3100</v>
      </c>
      <c r="G1853" s="24">
        <v>2000</v>
      </c>
      <c r="H1853" s="25" t="s">
        <v>3101</v>
      </c>
      <c r="I1853" s="25" t="s">
        <v>244</v>
      </c>
      <c r="J1853" s="26"/>
    </row>
    <row r="1854" spans="1:10" s="41" customFormat="1" ht="30.95" customHeight="1">
      <c r="A1854" s="41">
        <v>30</v>
      </c>
      <c r="C1854" s="22">
        <f t="shared" si="28"/>
        <v>1847</v>
      </c>
      <c r="D1854" s="161" t="s">
        <v>3890</v>
      </c>
      <c r="E1854" s="23" t="s">
        <v>1136</v>
      </c>
      <c r="F1854" s="150" t="s">
        <v>3100</v>
      </c>
      <c r="G1854" s="24">
        <v>1500</v>
      </c>
      <c r="H1854" s="25" t="s">
        <v>3118</v>
      </c>
      <c r="I1854" s="25" t="s">
        <v>244</v>
      </c>
      <c r="J1854" s="26"/>
    </row>
    <row r="1855" spans="1:10" s="41" customFormat="1" ht="30.95" customHeight="1">
      <c r="A1855" s="41">
        <v>31</v>
      </c>
      <c r="C1855" s="22">
        <f t="shared" si="28"/>
        <v>1848</v>
      </c>
      <c r="D1855" s="161" t="s">
        <v>704</v>
      </c>
      <c r="E1855" s="23" t="s">
        <v>1136</v>
      </c>
      <c r="F1855" s="150" t="s">
        <v>3100</v>
      </c>
      <c r="G1855" s="24">
        <v>2500</v>
      </c>
      <c r="H1855" s="25" t="s">
        <v>3119</v>
      </c>
      <c r="I1855" s="25" t="s">
        <v>244</v>
      </c>
      <c r="J1855" s="26"/>
    </row>
    <row r="1856" spans="1:10" s="41" customFormat="1" ht="30.95" customHeight="1">
      <c r="A1856" s="41">
        <v>32</v>
      </c>
      <c r="C1856" s="22">
        <f t="shared" si="28"/>
        <v>1849</v>
      </c>
      <c r="D1856" s="161" t="s">
        <v>705</v>
      </c>
      <c r="E1856" s="23" t="s">
        <v>1136</v>
      </c>
      <c r="F1856" s="150" t="s">
        <v>3100</v>
      </c>
      <c r="G1856" s="24">
        <v>3000</v>
      </c>
      <c r="H1856" s="25" t="s">
        <v>3119</v>
      </c>
      <c r="I1856" s="25" t="s">
        <v>260</v>
      </c>
      <c r="J1856" s="26"/>
    </row>
    <row r="1857" spans="1:10" s="41" customFormat="1" ht="30.95" customHeight="1">
      <c r="A1857" s="41">
        <v>33</v>
      </c>
      <c r="C1857" s="22">
        <f t="shared" si="28"/>
        <v>1850</v>
      </c>
      <c r="D1857" s="161" t="s">
        <v>3891</v>
      </c>
      <c r="E1857" s="23" t="s">
        <v>1136</v>
      </c>
      <c r="F1857" s="150" t="s">
        <v>3100</v>
      </c>
      <c r="G1857" s="24">
        <v>3500</v>
      </c>
      <c r="H1857" s="25" t="s">
        <v>262</v>
      </c>
      <c r="I1857" s="25" t="s">
        <v>244</v>
      </c>
      <c r="J1857" s="26"/>
    </row>
    <row r="1858" spans="1:10" s="41" customFormat="1" ht="30.95" customHeight="1">
      <c r="A1858" s="46">
        <v>34</v>
      </c>
      <c r="B1858" s="47">
        <f>SUM(G1825:G1858)</f>
        <v>82000</v>
      </c>
      <c r="C1858" s="22">
        <f t="shared" si="28"/>
        <v>1851</v>
      </c>
      <c r="D1858" s="161" t="s">
        <v>679</v>
      </c>
      <c r="E1858" s="23" t="s">
        <v>1136</v>
      </c>
      <c r="F1858" s="150" t="s">
        <v>3100</v>
      </c>
      <c r="G1858" s="24">
        <v>3000</v>
      </c>
      <c r="H1858" s="25" t="s">
        <v>3119</v>
      </c>
      <c r="I1858" s="25" t="s">
        <v>260</v>
      </c>
      <c r="J1858" s="48"/>
    </row>
    <row r="1859" spans="1:10" s="41" customFormat="1" ht="30.95" customHeight="1">
      <c r="A1859" s="41">
        <v>1</v>
      </c>
      <c r="C1859" s="22">
        <f t="shared" si="28"/>
        <v>1852</v>
      </c>
      <c r="D1859" s="161" t="s">
        <v>913</v>
      </c>
      <c r="E1859" s="23" t="s">
        <v>1136</v>
      </c>
      <c r="F1859" s="45" t="s">
        <v>3120</v>
      </c>
      <c r="G1859" s="24">
        <v>2720</v>
      </c>
      <c r="H1859" s="25" t="s">
        <v>914</v>
      </c>
      <c r="I1859" s="25" t="s">
        <v>908</v>
      </c>
      <c r="J1859" s="26"/>
    </row>
    <row r="1860" spans="1:10" s="41" customFormat="1" ht="30.95" customHeight="1">
      <c r="A1860" s="41">
        <v>2</v>
      </c>
      <c r="C1860" s="22">
        <f t="shared" si="28"/>
        <v>1853</v>
      </c>
      <c r="D1860" s="161" t="s">
        <v>918</v>
      </c>
      <c r="E1860" s="23" t="s">
        <v>1136</v>
      </c>
      <c r="F1860" s="45" t="s">
        <v>3120</v>
      </c>
      <c r="G1860" s="24">
        <v>1320</v>
      </c>
      <c r="H1860" s="25" t="s">
        <v>127</v>
      </c>
      <c r="I1860" s="25" t="s">
        <v>913</v>
      </c>
      <c r="J1860" s="26"/>
    </row>
    <row r="1861" spans="1:10" s="41" customFormat="1" ht="30.95" customHeight="1">
      <c r="A1861" s="41">
        <v>3</v>
      </c>
      <c r="C1861" s="22">
        <f t="shared" si="28"/>
        <v>1854</v>
      </c>
      <c r="D1861" s="161" t="s">
        <v>917</v>
      </c>
      <c r="E1861" s="23" t="s">
        <v>1136</v>
      </c>
      <c r="F1861" s="45" t="s">
        <v>3120</v>
      </c>
      <c r="G1861" s="24">
        <v>1003</v>
      </c>
      <c r="H1861" s="25" t="s">
        <v>127</v>
      </c>
      <c r="I1861" s="25" t="s">
        <v>910</v>
      </c>
      <c r="J1861" s="26"/>
    </row>
    <row r="1862" spans="1:10" s="41" customFormat="1" ht="30.95" customHeight="1">
      <c r="A1862" s="41">
        <v>4</v>
      </c>
      <c r="C1862" s="22">
        <f t="shared" si="28"/>
        <v>1855</v>
      </c>
      <c r="D1862" s="161" t="s">
        <v>916</v>
      </c>
      <c r="E1862" s="23" t="s">
        <v>1136</v>
      </c>
      <c r="F1862" s="45" t="s">
        <v>3120</v>
      </c>
      <c r="G1862" s="24">
        <v>1500</v>
      </c>
      <c r="H1862" s="25" t="s">
        <v>127</v>
      </c>
      <c r="I1862" s="25" t="s">
        <v>913</v>
      </c>
      <c r="J1862" s="26"/>
    </row>
    <row r="1863" spans="1:10" s="41" customFormat="1" ht="30.95" customHeight="1">
      <c r="A1863" s="41">
        <v>5</v>
      </c>
      <c r="C1863" s="22">
        <f t="shared" si="28"/>
        <v>1856</v>
      </c>
      <c r="D1863" s="161" t="s">
        <v>915</v>
      </c>
      <c r="E1863" s="23" t="s">
        <v>1136</v>
      </c>
      <c r="F1863" s="45" t="s">
        <v>3120</v>
      </c>
      <c r="G1863" s="24">
        <v>1330</v>
      </c>
      <c r="H1863" s="25" t="s">
        <v>127</v>
      </c>
      <c r="I1863" s="25" t="s">
        <v>913</v>
      </c>
      <c r="J1863" s="26"/>
    </row>
    <row r="1864" spans="1:10" s="41" customFormat="1" ht="30.95" customHeight="1">
      <c r="A1864" s="41">
        <v>6</v>
      </c>
      <c r="C1864" s="22">
        <f t="shared" si="28"/>
        <v>1857</v>
      </c>
      <c r="D1864" s="161" t="s">
        <v>914</v>
      </c>
      <c r="E1864" s="23" t="s">
        <v>1136</v>
      </c>
      <c r="F1864" s="45" t="s">
        <v>3120</v>
      </c>
      <c r="G1864" s="24">
        <v>1090</v>
      </c>
      <c r="H1864" s="25" t="s">
        <v>127</v>
      </c>
      <c r="I1864" s="25" t="s">
        <v>913</v>
      </c>
      <c r="J1864" s="26"/>
    </row>
    <row r="1865" spans="1:10" s="41" customFormat="1" ht="30.95" customHeight="1">
      <c r="A1865" s="41">
        <v>7</v>
      </c>
      <c r="C1865" s="22">
        <f t="shared" si="28"/>
        <v>1858</v>
      </c>
      <c r="D1865" s="161" t="s">
        <v>3121</v>
      </c>
      <c r="E1865" s="23" t="s">
        <v>1136</v>
      </c>
      <c r="F1865" s="45" t="s">
        <v>3120</v>
      </c>
      <c r="G1865" s="24">
        <v>2480</v>
      </c>
      <c r="H1865" s="25" t="s">
        <v>727</v>
      </c>
      <c r="I1865" s="25" t="s">
        <v>897</v>
      </c>
      <c r="J1865" s="26"/>
    </row>
    <row r="1866" spans="1:10" s="41" customFormat="1" ht="30.95" customHeight="1">
      <c r="A1866" s="41">
        <v>8</v>
      </c>
      <c r="C1866" s="22">
        <f t="shared" ref="C1866:C1929" si="29">C1865+1</f>
        <v>1859</v>
      </c>
      <c r="D1866" s="161" t="s">
        <v>3122</v>
      </c>
      <c r="E1866" s="23" t="s">
        <v>1136</v>
      </c>
      <c r="F1866" s="45" t="s">
        <v>3120</v>
      </c>
      <c r="G1866" s="24">
        <v>2307</v>
      </c>
      <c r="H1866" s="25" t="s">
        <v>899</v>
      </c>
      <c r="I1866" s="25" t="s">
        <v>722</v>
      </c>
      <c r="J1866" s="26"/>
    </row>
    <row r="1867" spans="1:10" s="41" customFormat="1" ht="30.95" customHeight="1">
      <c r="A1867" s="41">
        <v>9</v>
      </c>
      <c r="C1867" s="22">
        <f t="shared" si="29"/>
        <v>1860</v>
      </c>
      <c r="D1867" s="161" t="s">
        <v>112</v>
      </c>
      <c r="E1867" s="23" t="s">
        <v>1136</v>
      </c>
      <c r="F1867" s="45" t="s">
        <v>3120</v>
      </c>
      <c r="G1867" s="24">
        <v>3652</v>
      </c>
      <c r="H1867" s="25" t="s">
        <v>905</v>
      </c>
      <c r="I1867" s="25" t="s">
        <v>877</v>
      </c>
      <c r="J1867" s="26"/>
    </row>
    <row r="1868" spans="1:10" s="41" customFormat="1" ht="30.95" customHeight="1">
      <c r="A1868" s="41">
        <v>10</v>
      </c>
      <c r="C1868" s="22">
        <f t="shared" si="29"/>
        <v>1861</v>
      </c>
      <c r="D1868" s="161" t="s">
        <v>899</v>
      </c>
      <c r="E1868" s="23" t="s">
        <v>1136</v>
      </c>
      <c r="F1868" s="45" t="s">
        <v>3120</v>
      </c>
      <c r="G1868" s="24">
        <v>6590</v>
      </c>
      <c r="H1868" s="25" t="s">
        <v>801</v>
      </c>
      <c r="I1868" s="25" t="s">
        <v>3123</v>
      </c>
      <c r="J1868" s="26"/>
    </row>
    <row r="1869" spans="1:10" s="41" customFormat="1" ht="30.95" customHeight="1">
      <c r="A1869" s="41">
        <v>11</v>
      </c>
      <c r="C1869" s="22">
        <f t="shared" si="29"/>
        <v>1862</v>
      </c>
      <c r="D1869" s="161" t="s">
        <v>912</v>
      </c>
      <c r="E1869" s="23" t="s">
        <v>1136</v>
      </c>
      <c r="F1869" s="45" t="s">
        <v>3120</v>
      </c>
      <c r="G1869" s="24">
        <v>1610</v>
      </c>
      <c r="H1869" s="25" t="s">
        <v>127</v>
      </c>
      <c r="I1869" s="25" t="s">
        <v>244</v>
      </c>
      <c r="J1869" s="26"/>
    </row>
    <row r="1870" spans="1:10" s="41" customFormat="1" ht="30.95" customHeight="1">
      <c r="A1870" s="41">
        <v>12</v>
      </c>
      <c r="C1870" s="22">
        <f t="shared" si="29"/>
        <v>1863</v>
      </c>
      <c r="D1870" s="161" t="s">
        <v>3123</v>
      </c>
      <c r="E1870" s="23" t="s">
        <v>1136</v>
      </c>
      <c r="F1870" s="45" t="s">
        <v>3120</v>
      </c>
      <c r="G1870" s="24">
        <v>2280</v>
      </c>
      <c r="H1870" s="25" t="s">
        <v>3124</v>
      </c>
      <c r="I1870" s="25" t="s">
        <v>899</v>
      </c>
      <c r="J1870" s="26"/>
    </row>
    <row r="1871" spans="1:10" s="41" customFormat="1" ht="30.95" customHeight="1">
      <c r="A1871" s="41">
        <v>13</v>
      </c>
      <c r="C1871" s="22">
        <f t="shared" si="29"/>
        <v>1864</v>
      </c>
      <c r="D1871" s="161" t="s">
        <v>911</v>
      </c>
      <c r="E1871" s="23" t="s">
        <v>1136</v>
      </c>
      <c r="F1871" s="45" t="s">
        <v>3120</v>
      </c>
      <c r="G1871" s="24">
        <v>1900</v>
      </c>
      <c r="H1871" s="25" t="s">
        <v>127</v>
      </c>
      <c r="I1871" s="25" t="s">
        <v>244</v>
      </c>
      <c r="J1871" s="26"/>
    </row>
    <row r="1872" spans="1:10" s="41" customFormat="1" ht="30.95" customHeight="1">
      <c r="A1872" s="41">
        <v>14</v>
      </c>
      <c r="C1872" s="22">
        <f t="shared" si="29"/>
        <v>1865</v>
      </c>
      <c r="D1872" s="161" t="s">
        <v>910</v>
      </c>
      <c r="E1872" s="23" t="s">
        <v>1136</v>
      </c>
      <c r="F1872" s="45" t="s">
        <v>3120</v>
      </c>
      <c r="G1872" s="24">
        <v>2510</v>
      </c>
      <c r="H1872" s="25" t="s">
        <v>127</v>
      </c>
      <c r="I1872" s="25" t="s">
        <v>244</v>
      </c>
      <c r="J1872" s="26"/>
    </row>
    <row r="1873" spans="1:10" s="41" customFormat="1" ht="30.95" customHeight="1">
      <c r="A1873" s="41">
        <v>15</v>
      </c>
      <c r="C1873" s="22">
        <f t="shared" si="29"/>
        <v>1866</v>
      </c>
      <c r="D1873" s="161" t="s">
        <v>909</v>
      </c>
      <c r="E1873" s="23" t="s">
        <v>1136</v>
      </c>
      <c r="F1873" s="45" t="s">
        <v>3120</v>
      </c>
      <c r="G1873" s="24">
        <v>1135</v>
      </c>
      <c r="H1873" s="25" t="s">
        <v>127</v>
      </c>
      <c r="I1873" s="25" t="s">
        <v>244</v>
      </c>
      <c r="J1873" s="26"/>
    </row>
    <row r="1874" spans="1:10" s="41" customFormat="1" ht="30.95" customHeight="1">
      <c r="A1874" s="41">
        <v>16</v>
      </c>
      <c r="C1874" s="22">
        <f t="shared" si="29"/>
        <v>1867</v>
      </c>
      <c r="D1874" s="161" t="s">
        <v>908</v>
      </c>
      <c r="E1874" s="23" t="s">
        <v>1136</v>
      </c>
      <c r="F1874" s="45" t="s">
        <v>3120</v>
      </c>
      <c r="G1874" s="24">
        <v>1440</v>
      </c>
      <c r="H1874" s="25" t="s">
        <v>127</v>
      </c>
      <c r="I1874" s="25" t="s">
        <v>244</v>
      </c>
      <c r="J1874" s="26"/>
    </row>
    <row r="1875" spans="1:10" s="41" customFormat="1" ht="30.95" customHeight="1">
      <c r="A1875" s="41">
        <v>17</v>
      </c>
      <c r="C1875" s="22">
        <f t="shared" si="29"/>
        <v>1868</v>
      </c>
      <c r="D1875" s="161" t="s">
        <v>902</v>
      </c>
      <c r="E1875" s="23" t="s">
        <v>1136</v>
      </c>
      <c r="F1875" s="45" t="s">
        <v>3120</v>
      </c>
      <c r="G1875" s="24">
        <v>8750</v>
      </c>
      <c r="H1875" s="25" t="s">
        <v>906</v>
      </c>
      <c r="I1875" s="25" t="s">
        <v>907</v>
      </c>
      <c r="J1875" s="26"/>
    </row>
    <row r="1876" spans="1:10" s="41" customFormat="1" ht="30.95" customHeight="1">
      <c r="A1876" s="41">
        <v>18</v>
      </c>
      <c r="C1876" s="22">
        <f t="shared" si="29"/>
        <v>1869</v>
      </c>
      <c r="D1876" s="161" t="s">
        <v>905</v>
      </c>
      <c r="E1876" s="23" t="s">
        <v>1136</v>
      </c>
      <c r="F1876" s="45" t="s">
        <v>3120</v>
      </c>
      <c r="G1876" s="24">
        <v>2990</v>
      </c>
      <c r="H1876" s="25" t="s">
        <v>3125</v>
      </c>
      <c r="I1876" s="25" t="s">
        <v>739</v>
      </c>
      <c r="J1876" s="26"/>
    </row>
    <row r="1877" spans="1:10" s="41" customFormat="1" ht="30.95" customHeight="1">
      <c r="A1877" s="41">
        <v>19</v>
      </c>
      <c r="C1877" s="22">
        <f t="shared" si="29"/>
        <v>1870</v>
      </c>
      <c r="D1877" s="161" t="s">
        <v>904</v>
      </c>
      <c r="E1877" s="23" t="s">
        <v>1136</v>
      </c>
      <c r="F1877" s="45" t="s">
        <v>3120</v>
      </c>
      <c r="G1877" s="24">
        <v>3190</v>
      </c>
      <c r="H1877" s="25" t="s">
        <v>896</v>
      </c>
      <c r="I1877" s="25" t="s">
        <v>891</v>
      </c>
      <c r="J1877" s="26"/>
    </row>
    <row r="1878" spans="1:10" s="41" customFormat="1" ht="30.95" customHeight="1">
      <c r="A1878" s="41">
        <v>20</v>
      </c>
      <c r="C1878" s="22">
        <f t="shared" si="29"/>
        <v>1871</v>
      </c>
      <c r="D1878" s="161" t="s">
        <v>3126</v>
      </c>
      <c r="E1878" s="23" t="s">
        <v>1136</v>
      </c>
      <c r="F1878" s="45" t="s">
        <v>3120</v>
      </c>
      <c r="G1878" s="24">
        <v>4440</v>
      </c>
      <c r="H1878" s="25" t="s">
        <v>891</v>
      </c>
      <c r="I1878" s="25" t="s">
        <v>896</v>
      </c>
      <c r="J1878" s="26"/>
    </row>
    <row r="1879" spans="1:10" s="41" customFormat="1" ht="30.95" customHeight="1">
      <c r="A1879" s="41">
        <v>21</v>
      </c>
      <c r="C1879" s="22">
        <f t="shared" si="29"/>
        <v>1872</v>
      </c>
      <c r="D1879" s="161" t="s">
        <v>900</v>
      </c>
      <c r="E1879" s="23" t="s">
        <v>1136</v>
      </c>
      <c r="F1879" s="45" t="s">
        <v>3120</v>
      </c>
      <c r="G1879" s="24">
        <v>2400</v>
      </c>
      <c r="H1879" s="25" t="s">
        <v>896</v>
      </c>
      <c r="I1879" s="25" t="s">
        <v>899</v>
      </c>
      <c r="J1879" s="26"/>
    </row>
    <row r="1880" spans="1:10" s="41" customFormat="1" ht="30.95" customHeight="1">
      <c r="A1880" s="41">
        <v>22</v>
      </c>
      <c r="C1880" s="22">
        <f t="shared" si="29"/>
        <v>1873</v>
      </c>
      <c r="D1880" s="161" t="s">
        <v>897</v>
      </c>
      <c r="E1880" s="23" t="s">
        <v>1136</v>
      </c>
      <c r="F1880" s="45" t="s">
        <v>3120</v>
      </c>
      <c r="G1880" s="24">
        <v>1960</v>
      </c>
      <c r="H1880" s="25" t="s">
        <v>896</v>
      </c>
      <c r="I1880" s="25" t="s">
        <v>838</v>
      </c>
      <c r="J1880" s="26"/>
    </row>
    <row r="1881" spans="1:10" s="41" customFormat="1" ht="30.95" customHeight="1">
      <c r="A1881" s="41">
        <v>23</v>
      </c>
      <c r="C1881" s="22">
        <f t="shared" si="29"/>
        <v>1874</v>
      </c>
      <c r="D1881" s="161" t="s">
        <v>894</v>
      </c>
      <c r="E1881" s="23" t="s">
        <v>1136</v>
      </c>
      <c r="F1881" s="45" t="s">
        <v>3120</v>
      </c>
      <c r="G1881" s="24">
        <v>1120</v>
      </c>
      <c r="H1881" s="25" t="s">
        <v>739</v>
      </c>
      <c r="I1881" s="25" t="s">
        <v>838</v>
      </c>
      <c r="J1881" s="26"/>
    </row>
    <row r="1882" spans="1:10" s="41" customFormat="1" ht="30.95" customHeight="1">
      <c r="A1882" s="41">
        <v>24</v>
      </c>
      <c r="C1882" s="22">
        <f t="shared" si="29"/>
        <v>1875</v>
      </c>
      <c r="D1882" s="161" t="s">
        <v>891</v>
      </c>
      <c r="E1882" s="23" t="s">
        <v>1136</v>
      </c>
      <c r="F1882" s="45" t="s">
        <v>3120</v>
      </c>
      <c r="G1882" s="24">
        <v>10210</v>
      </c>
      <c r="H1882" s="25" t="s">
        <v>3127</v>
      </c>
      <c r="I1882" s="25" t="s">
        <v>3128</v>
      </c>
      <c r="J1882" s="26"/>
    </row>
    <row r="1883" spans="1:10" s="41" customFormat="1" ht="30.95" customHeight="1">
      <c r="A1883" s="41">
        <v>25</v>
      </c>
      <c r="C1883" s="22">
        <f t="shared" si="29"/>
        <v>1876</v>
      </c>
      <c r="D1883" s="161" t="s">
        <v>893</v>
      </c>
      <c r="E1883" s="23" t="s">
        <v>1136</v>
      </c>
      <c r="F1883" s="45" t="s">
        <v>3120</v>
      </c>
      <c r="G1883" s="24">
        <v>2520</v>
      </c>
      <c r="H1883" s="25" t="s">
        <v>892</v>
      </c>
      <c r="I1883" s="25" t="s">
        <v>891</v>
      </c>
      <c r="J1883" s="26"/>
    </row>
    <row r="1884" spans="1:10" s="41" customFormat="1" ht="30.95" customHeight="1">
      <c r="A1884" s="41">
        <v>26</v>
      </c>
      <c r="C1884" s="22">
        <f t="shared" si="29"/>
        <v>1877</v>
      </c>
      <c r="D1884" s="161" t="s">
        <v>890</v>
      </c>
      <c r="E1884" s="23" t="s">
        <v>1136</v>
      </c>
      <c r="F1884" s="45" t="s">
        <v>3120</v>
      </c>
      <c r="G1884" s="24">
        <v>2298</v>
      </c>
      <c r="H1884" s="25" t="s">
        <v>739</v>
      </c>
      <c r="I1884" s="25" t="s">
        <v>879</v>
      </c>
      <c r="J1884" s="26"/>
    </row>
    <row r="1885" spans="1:10" s="41" customFormat="1" ht="30.95" customHeight="1">
      <c r="A1885" s="41">
        <v>27</v>
      </c>
      <c r="C1885" s="22">
        <f t="shared" si="29"/>
        <v>1878</v>
      </c>
      <c r="D1885" s="161" t="s">
        <v>917</v>
      </c>
      <c r="E1885" s="23" t="s">
        <v>1136</v>
      </c>
      <c r="F1885" s="45" t="s">
        <v>3120</v>
      </c>
      <c r="G1885" s="24">
        <v>1869</v>
      </c>
      <c r="H1885" s="25" t="s">
        <v>739</v>
      </c>
      <c r="I1885" s="25" t="s">
        <v>879</v>
      </c>
      <c r="J1885" s="26"/>
    </row>
    <row r="1886" spans="1:10" s="41" customFormat="1" ht="30.95" customHeight="1">
      <c r="A1886" s="41">
        <v>28</v>
      </c>
      <c r="C1886" s="22">
        <f t="shared" si="29"/>
        <v>1879</v>
      </c>
      <c r="D1886" s="161" t="s">
        <v>888</v>
      </c>
      <c r="E1886" s="23" t="s">
        <v>1136</v>
      </c>
      <c r="F1886" s="45" t="s">
        <v>3120</v>
      </c>
      <c r="G1886" s="24">
        <v>2950</v>
      </c>
      <c r="H1886" s="25" t="s">
        <v>127</v>
      </c>
      <c r="I1886" s="25" t="s">
        <v>127</v>
      </c>
      <c r="J1886" s="26"/>
    </row>
    <row r="1887" spans="1:10" s="41" customFormat="1" ht="30.95" customHeight="1">
      <c r="A1887" s="41">
        <v>29</v>
      </c>
      <c r="C1887" s="22">
        <f t="shared" si="29"/>
        <v>1880</v>
      </c>
      <c r="D1887" s="161" t="s">
        <v>3129</v>
      </c>
      <c r="E1887" s="23" t="s">
        <v>1136</v>
      </c>
      <c r="F1887" s="45" t="s">
        <v>3120</v>
      </c>
      <c r="G1887" s="24">
        <v>4275</v>
      </c>
      <c r="H1887" s="25" t="s">
        <v>877</v>
      </c>
      <c r="I1887" s="25" t="s">
        <v>739</v>
      </c>
      <c r="J1887" s="26"/>
    </row>
    <row r="1888" spans="1:10" s="41" customFormat="1" ht="30.95" customHeight="1">
      <c r="A1888" s="41">
        <v>30</v>
      </c>
      <c r="C1888" s="22">
        <f t="shared" si="29"/>
        <v>1881</v>
      </c>
      <c r="D1888" s="161" t="s">
        <v>3130</v>
      </c>
      <c r="E1888" s="23" t="s">
        <v>1136</v>
      </c>
      <c r="F1888" s="45" t="s">
        <v>3120</v>
      </c>
      <c r="G1888" s="24">
        <v>1319</v>
      </c>
      <c r="H1888" s="25" t="s">
        <v>886</v>
      </c>
      <c r="I1888" s="25" t="s">
        <v>244</v>
      </c>
      <c r="J1888" s="26"/>
    </row>
    <row r="1889" spans="1:10" s="41" customFormat="1" ht="30.95" customHeight="1">
      <c r="A1889" s="41">
        <v>31</v>
      </c>
      <c r="C1889" s="22">
        <f t="shared" si="29"/>
        <v>1882</v>
      </c>
      <c r="D1889" s="161" t="s">
        <v>3131</v>
      </c>
      <c r="E1889" s="23" t="s">
        <v>1136</v>
      </c>
      <c r="F1889" s="45" t="s">
        <v>3120</v>
      </c>
      <c r="G1889" s="24">
        <v>1166</v>
      </c>
      <c r="H1889" s="25" t="s">
        <v>127</v>
      </c>
      <c r="I1889" s="25" t="s">
        <v>244</v>
      </c>
      <c r="J1889" s="26"/>
    </row>
    <row r="1890" spans="1:10" s="41" customFormat="1" ht="30.95" customHeight="1">
      <c r="A1890" s="41">
        <v>32</v>
      </c>
      <c r="C1890" s="22">
        <f t="shared" si="29"/>
        <v>1883</v>
      </c>
      <c r="D1890" s="161" t="s">
        <v>884</v>
      </c>
      <c r="E1890" s="23" t="s">
        <v>1136</v>
      </c>
      <c r="F1890" s="45" t="s">
        <v>3120</v>
      </c>
      <c r="G1890" s="24">
        <v>1832</v>
      </c>
      <c r="H1890" s="25" t="s">
        <v>877</v>
      </c>
      <c r="I1890" s="25" t="s">
        <v>838</v>
      </c>
      <c r="J1890" s="26"/>
    </row>
    <row r="1891" spans="1:10" s="41" customFormat="1" ht="30.95" customHeight="1">
      <c r="A1891" s="41">
        <v>33</v>
      </c>
      <c r="C1891" s="22">
        <f t="shared" si="29"/>
        <v>1884</v>
      </c>
      <c r="D1891" s="161" t="s">
        <v>883</v>
      </c>
      <c r="E1891" s="23" t="s">
        <v>1136</v>
      </c>
      <c r="F1891" s="45" t="s">
        <v>3120</v>
      </c>
      <c r="G1891" s="24">
        <v>1271</v>
      </c>
      <c r="H1891" s="25" t="s">
        <v>739</v>
      </c>
      <c r="I1891" s="25" t="s">
        <v>244</v>
      </c>
      <c r="J1891" s="26"/>
    </row>
    <row r="1892" spans="1:10" s="41" customFormat="1" ht="30.95" customHeight="1">
      <c r="A1892" s="41">
        <v>34</v>
      </c>
      <c r="C1892" s="22">
        <f t="shared" si="29"/>
        <v>1885</v>
      </c>
      <c r="D1892" s="161" t="s">
        <v>880</v>
      </c>
      <c r="E1892" s="23" t="s">
        <v>1136</v>
      </c>
      <c r="F1892" s="45" t="s">
        <v>3120</v>
      </c>
      <c r="G1892" s="24">
        <v>950</v>
      </c>
      <c r="H1892" s="25" t="s">
        <v>739</v>
      </c>
      <c r="I1892" s="25" t="s">
        <v>879</v>
      </c>
      <c r="J1892" s="26"/>
    </row>
    <row r="1893" spans="1:10" s="41" customFormat="1" ht="30.95" customHeight="1">
      <c r="A1893" s="41">
        <v>35</v>
      </c>
      <c r="C1893" s="22">
        <f t="shared" si="29"/>
        <v>1886</v>
      </c>
      <c r="D1893" s="161" t="s">
        <v>878</v>
      </c>
      <c r="E1893" s="23" t="s">
        <v>1136</v>
      </c>
      <c r="F1893" s="45" t="s">
        <v>3120</v>
      </c>
      <c r="G1893" s="24">
        <v>780</v>
      </c>
      <c r="H1893" s="25" t="s">
        <v>877</v>
      </c>
      <c r="I1893" s="25" t="s">
        <v>838</v>
      </c>
      <c r="J1893" s="26"/>
    </row>
    <row r="1894" spans="1:10" s="41" customFormat="1" ht="30.95" customHeight="1">
      <c r="A1894" s="41">
        <v>36</v>
      </c>
      <c r="C1894" s="22">
        <f t="shared" si="29"/>
        <v>1887</v>
      </c>
      <c r="D1894" s="161" t="s">
        <v>876</v>
      </c>
      <c r="E1894" s="23" t="s">
        <v>1136</v>
      </c>
      <c r="F1894" s="45" t="s">
        <v>3120</v>
      </c>
      <c r="G1894" s="24">
        <v>710</v>
      </c>
      <c r="H1894" s="25" t="s">
        <v>875</v>
      </c>
      <c r="I1894" s="25" t="s">
        <v>244</v>
      </c>
      <c r="J1894" s="26"/>
    </row>
    <row r="1895" spans="1:10" s="41" customFormat="1" ht="30.95" customHeight="1">
      <c r="A1895" s="41">
        <v>37</v>
      </c>
      <c r="C1895" s="22">
        <f t="shared" si="29"/>
        <v>1888</v>
      </c>
      <c r="D1895" s="161" t="s">
        <v>874</v>
      </c>
      <c r="E1895" s="23" t="s">
        <v>1136</v>
      </c>
      <c r="F1895" s="45" t="s">
        <v>3120</v>
      </c>
      <c r="G1895" s="24">
        <v>1340</v>
      </c>
      <c r="H1895" s="25" t="s">
        <v>865</v>
      </c>
      <c r="I1895" s="25" t="s">
        <v>244</v>
      </c>
      <c r="J1895" s="26"/>
    </row>
    <row r="1896" spans="1:10" s="41" customFormat="1" ht="30.95" customHeight="1">
      <c r="A1896" s="41">
        <v>38</v>
      </c>
      <c r="C1896" s="22">
        <f t="shared" si="29"/>
        <v>1889</v>
      </c>
      <c r="D1896" s="161" t="s">
        <v>873</v>
      </c>
      <c r="E1896" s="23" t="s">
        <v>1136</v>
      </c>
      <c r="F1896" s="45" t="s">
        <v>3120</v>
      </c>
      <c r="G1896" s="24">
        <v>740</v>
      </c>
      <c r="H1896" s="25" t="s">
        <v>865</v>
      </c>
      <c r="I1896" s="25" t="s">
        <v>244</v>
      </c>
      <c r="J1896" s="26"/>
    </row>
    <row r="1897" spans="1:10" s="41" customFormat="1" ht="30.95" customHeight="1">
      <c r="A1897" s="41">
        <v>39</v>
      </c>
      <c r="C1897" s="22">
        <f t="shared" si="29"/>
        <v>1890</v>
      </c>
      <c r="D1897" s="161" t="s">
        <v>858</v>
      </c>
      <c r="E1897" s="23" t="s">
        <v>1136</v>
      </c>
      <c r="F1897" s="45" t="s">
        <v>3120</v>
      </c>
      <c r="G1897" s="24">
        <v>2000</v>
      </c>
      <c r="H1897" s="25" t="s">
        <v>865</v>
      </c>
      <c r="I1897" s="25" t="s">
        <v>838</v>
      </c>
      <c r="J1897" s="26"/>
    </row>
    <row r="1898" spans="1:10" s="41" customFormat="1" ht="30.95" customHeight="1">
      <c r="A1898" s="41">
        <v>40</v>
      </c>
      <c r="C1898" s="22">
        <f t="shared" si="29"/>
        <v>1891</v>
      </c>
      <c r="D1898" s="161" t="s">
        <v>848</v>
      </c>
      <c r="E1898" s="23" t="s">
        <v>1136</v>
      </c>
      <c r="F1898" s="45" t="s">
        <v>3120</v>
      </c>
      <c r="G1898" s="24">
        <v>380</v>
      </c>
      <c r="H1898" s="25" t="s">
        <v>843</v>
      </c>
      <c r="I1898" s="25" t="s">
        <v>244</v>
      </c>
      <c r="J1898" s="26"/>
    </row>
    <row r="1899" spans="1:10" s="41" customFormat="1" ht="30.95" customHeight="1">
      <c r="A1899" s="41">
        <v>41</v>
      </c>
      <c r="C1899" s="22">
        <f t="shared" si="29"/>
        <v>1892</v>
      </c>
      <c r="D1899" s="161" t="s">
        <v>3132</v>
      </c>
      <c r="E1899" s="23" t="s">
        <v>1136</v>
      </c>
      <c r="F1899" s="45" t="s">
        <v>3120</v>
      </c>
      <c r="G1899" s="24">
        <v>1850</v>
      </c>
      <c r="H1899" s="25" t="s">
        <v>727</v>
      </c>
      <c r="I1899" s="25" t="s">
        <v>244</v>
      </c>
      <c r="J1899" s="26"/>
    </row>
    <row r="1900" spans="1:10" s="41" customFormat="1" ht="30.95" customHeight="1">
      <c r="A1900" s="41">
        <v>42</v>
      </c>
      <c r="C1900" s="22">
        <f t="shared" si="29"/>
        <v>1893</v>
      </c>
      <c r="D1900" s="161" t="s">
        <v>3133</v>
      </c>
      <c r="E1900" s="23" t="s">
        <v>1136</v>
      </c>
      <c r="F1900" s="45" t="s">
        <v>3120</v>
      </c>
      <c r="G1900" s="24">
        <v>1690</v>
      </c>
      <c r="H1900" s="25" t="s">
        <v>3134</v>
      </c>
      <c r="I1900" s="25" t="s">
        <v>2806</v>
      </c>
      <c r="J1900" s="26"/>
    </row>
    <row r="1901" spans="1:10" s="41" customFormat="1" ht="30.95" customHeight="1">
      <c r="A1901" s="41">
        <v>43</v>
      </c>
      <c r="C1901" s="22">
        <f t="shared" si="29"/>
        <v>1894</v>
      </c>
      <c r="D1901" s="161" t="s">
        <v>3135</v>
      </c>
      <c r="E1901" s="23" t="s">
        <v>1136</v>
      </c>
      <c r="F1901" s="45" t="s">
        <v>3120</v>
      </c>
      <c r="G1901" s="24">
        <v>2020</v>
      </c>
      <c r="H1901" s="25" t="s">
        <v>3134</v>
      </c>
      <c r="I1901" s="25" t="s">
        <v>244</v>
      </c>
      <c r="J1901" s="26"/>
    </row>
    <row r="1902" spans="1:10" s="41" customFormat="1" ht="30.95" customHeight="1">
      <c r="A1902" s="41">
        <v>44</v>
      </c>
      <c r="C1902" s="22">
        <f t="shared" si="29"/>
        <v>1895</v>
      </c>
      <c r="D1902" s="161" t="s">
        <v>867</v>
      </c>
      <c r="E1902" s="23" t="s">
        <v>1136</v>
      </c>
      <c r="F1902" s="45" t="s">
        <v>3120</v>
      </c>
      <c r="G1902" s="24">
        <v>636</v>
      </c>
      <c r="H1902" s="25" t="s">
        <v>3134</v>
      </c>
      <c r="I1902" s="25" t="s">
        <v>2806</v>
      </c>
      <c r="J1902" s="26"/>
    </row>
    <row r="1903" spans="1:10" s="41" customFormat="1" ht="30.95" customHeight="1">
      <c r="A1903" s="41">
        <v>45</v>
      </c>
      <c r="C1903" s="22">
        <f t="shared" si="29"/>
        <v>1896</v>
      </c>
      <c r="D1903" s="161" t="s">
        <v>3136</v>
      </c>
      <c r="E1903" s="23" t="s">
        <v>1136</v>
      </c>
      <c r="F1903" s="45" t="s">
        <v>3120</v>
      </c>
      <c r="G1903" s="24">
        <v>990</v>
      </c>
      <c r="H1903" s="25" t="s">
        <v>865</v>
      </c>
      <c r="I1903" s="25" t="s">
        <v>244</v>
      </c>
      <c r="J1903" s="26"/>
    </row>
    <row r="1904" spans="1:10" s="41" customFormat="1" ht="30.95" customHeight="1">
      <c r="A1904" s="41">
        <v>46</v>
      </c>
      <c r="C1904" s="22">
        <f t="shared" si="29"/>
        <v>1897</v>
      </c>
      <c r="D1904" s="161" t="s">
        <v>864</v>
      </c>
      <c r="E1904" s="23" t="s">
        <v>1136</v>
      </c>
      <c r="F1904" s="45" t="s">
        <v>3120</v>
      </c>
      <c r="G1904" s="24">
        <v>1520</v>
      </c>
      <c r="H1904" s="25" t="s">
        <v>717</v>
      </c>
      <c r="I1904" s="25" t="s">
        <v>244</v>
      </c>
      <c r="J1904" s="26"/>
    </row>
    <row r="1905" spans="1:10" s="41" customFormat="1" ht="30.95" customHeight="1">
      <c r="A1905" s="41">
        <v>47</v>
      </c>
      <c r="C1905" s="22">
        <f t="shared" si="29"/>
        <v>1898</v>
      </c>
      <c r="D1905" s="161" t="s">
        <v>863</v>
      </c>
      <c r="E1905" s="23" t="s">
        <v>1136</v>
      </c>
      <c r="F1905" s="45" t="s">
        <v>3120</v>
      </c>
      <c r="G1905" s="24">
        <v>1463</v>
      </c>
      <c r="H1905" s="25" t="s">
        <v>856</v>
      </c>
      <c r="I1905" s="25" t="s">
        <v>862</v>
      </c>
      <c r="J1905" s="26"/>
    </row>
    <row r="1906" spans="1:10" s="41" customFormat="1" ht="30.95" customHeight="1">
      <c r="A1906" s="41">
        <v>48</v>
      </c>
      <c r="C1906" s="22">
        <f t="shared" si="29"/>
        <v>1899</v>
      </c>
      <c r="D1906" s="161" t="s">
        <v>861</v>
      </c>
      <c r="E1906" s="23" t="s">
        <v>1136</v>
      </c>
      <c r="F1906" s="45" t="s">
        <v>3120</v>
      </c>
      <c r="G1906" s="24">
        <v>1630</v>
      </c>
      <c r="H1906" s="25" t="s">
        <v>3137</v>
      </c>
      <c r="I1906" s="25" t="s">
        <v>244</v>
      </c>
      <c r="J1906" s="26"/>
    </row>
    <row r="1907" spans="1:10" s="41" customFormat="1" ht="30.95" customHeight="1">
      <c r="A1907" s="41">
        <v>49</v>
      </c>
      <c r="C1907" s="22">
        <f t="shared" si="29"/>
        <v>1900</v>
      </c>
      <c r="D1907" s="161" t="s">
        <v>3138</v>
      </c>
      <c r="E1907" s="23" t="s">
        <v>1136</v>
      </c>
      <c r="F1907" s="45" t="s">
        <v>3120</v>
      </c>
      <c r="G1907" s="24">
        <v>1630</v>
      </c>
      <c r="H1907" s="25" t="s">
        <v>843</v>
      </c>
      <c r="I1907" s="25" t="s">
        <v>244</v>
      </c>
      <c r="J1907" s="26"/>
    </row>
    <row r="1908" spans="1:10" s="41" customFormat="1" ht="30.95" customHeight="1">
      <c r="A1908" s="41">
        <v>50</v>
      </c>
      <c r="C1908" s="22">
        <f t="shared" si="29"/>
        <v>1901</v>
      </c>
      <c r="D1908" s="161" t="s">
        <v>859</v>
      </c>
      <c r="E1908" s="23" t="s">
        <v>1136</v>
      </c>
      <c r="F1908" s="45" t="s">
        <v>3120</v>
      </c>
      <c r="G1908" s="24">
        <v>2260</v>
      </c>
      <c r="H1908" s="25" t="s">
        <v>856</v>
      </c>
      <c r="I1908" s="25" t="s">
        <v>244</v>
      </c>
      <c r="J1908" s="26"/>
    </row>
    <row r="1909" spans="1:10" s="41" customFormat="1" ht="30.95" customHeight="1">
      <c r="A1909" s="41">
        <v>51</v>
      </c>
      <c r="C1909" s="22">
        <f t="shared" si="29"/>
        <v>1902</v>
      </c>
      <c r="D1909" s="161" t="s">
        <v>831</v>
      </c>
      <c r="E1909" s="23" t="s">
        <v>1136</v>
      </c>
      <c r="F1909" s="45" t="s">
        <v>3120</v>
      </c>
      <c r="G1909" s="24">
        <v>1340</v>
      </c>
      <c r="H1909" s="25" t="s">
        <v>858</v>
      </c>
      <c r="I1909" s="25" t="s">
        <v>838</v>
      </c>
      <c r="J1909" s="26"/>
    </row>
    <row r="1910" spans="1:10" s="41" customFormat="1" ht="30.95" customHeight="1">
      <c r="A1910" s="41">
        <v>52</v>
      </c>
      <c r="C1910" s="22">
        <f t="shared" si="29"/>
        <v>1903</v>
      </c>
      <c r="D1910" s="161" t="s">
        <v>857</v>
      </c>
      <c r="E1910" s="23" t="s">
        <v>1136</v>
      </c>
      <c r="F1910" s="45" t="s">
        <v>3120</v>
      </c>
      <c r="G1910" s="24">
        <v>600</v>
      </c>
      <c r="H1910" s="25" t="s">
        <v>856</v>
      </c>
      <c r="I1910" s="25" t="s">
        <v>244</v>
      </c>
      <c r="J1910" s="26"/>
    </row>
    <row r="1911" spans="1:10" s="41" customFormat="1" ht="30.95" customHeight="1">
      <c r="A1911" s="41">
        <v>53</v>
      </c>
      <c r="C1911" s="22">
        <f t="shared" si="29"/>
        <v>1904</v>
      </c>
      <c r="D1911" s="161" t="s">
        <v>855</v>
      </c>
      <c r="E1911" s="23" t="s">
        <v>1136</v>
      </c>
      <c r="F1911" s="45" t="s">
        <v>3120</v>
      </c>
      <c r="G1911" s="24">
        <v>3800</v>
      </c>
      <c r="H1911" s="25" t="s">
        <v>854</v>
      </c>
      <c r="I1911" s="25" t="s">
        <v>841</v>
      </c>
      <c r="J1911" s="26"/>
    </row>
    <row r="1912" spans="1:10" s="41" customFormat="1" ht="30.95" customHeight="1">
      <c r="A1912" s="41">
        <v>54</v>
      </c>
      <c r="C1912" s="22">
        <f t="shared" si="29"/>
        <v>1905</v>
      </c>
      <c r="D1912" s="161" t="s">
        <v>851</v>
      </c>
      <c r="E1912" s="23" t="s">
        <v>1136</v>
      </c>
      <c r="F1912" s="45" t="s">
        <v>3120</v>
      </c>
      <c r="G1912" s="24">
        <v>4010</v>
      </c>
      <c r="H1912" s="25" t="s">
        <v>850</v>
      </c>
      <c r="I1912" s="25" t="s">
        <v>844</v>
      </c>
      <c r="J1912" s="26"/>
    </row>
    <row r="1913" spans="1:10" s="41" customFormat="1" ht="30.95" customHeight="1">
      <c r="A1913" s="41">
        <v>55</v>
      </c>
      <c r="C1913" s="22">
        <f t="shared" si="29"/>
        <v>1906</v>
      </c>
      <c r="D1913" s="161" t="s">
        <v>849</v>
      </c>
      <c r="E1913" s="23" t="s">
        <v>1136</v>
      </c>
      <c r="F1913" s="45" t="s">
        <v>3120</v>
      </c>
      <c r="G1913" s="24">
        <v>1030</v>
      </c>
      <c r="H1913" s="25" t="s">
        <v>843</v>
      </c>
      <c r="I1913" s="25" t="s">
        <v>244</v>
      </c>
      <c r="J1913" s="26"/>
    </row>
    <row r="1914" spans="1:10" s="41" customFormat="1" ht="30.95" customHeight="1">
      <c r="A1914" s="41">
        <v>56</v>
      </c>
      <c r="C1914" s="22">
        <f t="shared" si="29"/>
        <v>1907</v>
      </c>
      <c r="D1914" s="161" t="s">
        <v>847</v>
      </c>
      <c r="E1914" s="23" t="s">
        <v>1136</v>
      </c>
      <c r="F1914" s="45" t="s">
        <v>3120</v>
      </c>
      <c r="G1914" s="24">
        <v>2420</v>
      </c>
      <c r="H1914" s="25" t="s">
        <v>853</v>
      </c>
      <c r="I1914" s="25" t="s">
        <v>846</v>
      </c>
      <c r="J1914" s="26"/>
    </row>
    <row r="1915" spans="1:10" s="41" customFormat="1" ht="30.95" customHeight="1">
      <c r="A1915" s="41">
        <v>57</v>
      </c>
      <c r="C1915" s="22">
        <f t="shared" si="29"/>
        <v>1908</v>
      </c>
      <c r="D1915" s="161" t="s">
        <v>845</v>
      </c>
      <c r="E1915" s="23" t="s">
        <v>1136</v>
      </c>
      <c r="F1915" s="45" t="s">
        <v>3120</v>
      </c>
      <c r="G1915" s="24">
        <v>880</v>
      </c>
      <c r="H1915" s="25" t="s">
        <v>3137</v>
      </c>
      <c r="I1915" s="25" t="s">
        <v>843</v>
      </c>
      <c r="J1915" s="26"/>
    </row>
    <row r="1916" spans="1:10" s="41" customFormat="1" ht="30.95" customHeight="1">
      <c r="A1916" s="41">
        <v>58</v>
      </c>
      <c r="C1916" s="22">
        <f t="shared" si="29"/>
        <v>1909</v>
      </c>
      <c r="D1916" s="161" t="s">
        <v>842</v>
      </c>
      <c r="E1916" s="23" t="s">
        <v>1136</v>
      </c>
      <c r="F1916" s="45" t="s">
        <v>3120</v>
      </c>
      <c r="G1916" s="24">
        <v>3700</v>
      </c>
      <c r="H1916" s="25" t="s">
        <v>853</v>
      </c>
      <c r="I1916" s="25" t="s">
        <v>739</v>
      </c>
      <c r="J1916" s="26"/>
    </row>
    <row r="1917" spans="1:10" s="41" customFormat="1" ht="30.95" customHeight="1">
      <c r="A1917" s="41">
        <v>59</v>
      </c>
      <c r="C1917" s="22">
        <f t="shared" si="29"/>
        <v>1910</v>
      </c>
      <c r="D1917" s="161" t="s">
        <v>900</v>
      </c>
      <c r="E1917" s="23" t="s">
        <v>1136</v>
      </c>
      <c r="F1917" s="45" t="s">
        <v>3120</v>
      </c>
      <c r="G1917" s="24">
        <v>3060</v>
      </c>
      <c r="H1917" s="25" t="s">
        <v>853</v>
      </c>
      <c r="I1917" s="25" t="s">
        <v>739</v>
      </c>
      <c r="J1917" s="26"/>
    </row>
    <row r="1918" spans="1:10" s="41" customFormat="1" ht="30.95" customHeight="1">
      <c r="A1918" s="41">
        <v>60</v>
      </c>
      <c r="C1918" s="22">
        <f t="shared" si="29"/>
        <v>1911</v>
      </c>
      <c r="D1918" s="161" t="s">
        <v>833</v>
      </c>
      <c r="E1918" s="23" t="s">
        <v>1136</v>
      </c>
      <c r="F1918" s="45" t="s">
        <v>3120</v>
      </c>
      <c r="G1918" s="24">
        <v>2480</v>
      </c>
      <c r="H1918" s="25" t="s">
        <v>757</v>
      </c>
      <c r="I1918" s="25" t="s">
        <v>244</v>
      </c>
      <c r="J1918" s="26"/>
    </row>
    <row r="1919" spans="1:10" s="41" customFormat="1" ht="30.95" customHeight="1">
      <c r="A1919" s="41">
        <v>61</v>
      </c>
      <c r="C1919" s="22">
        <f t="shared" si="29"/>
        <v>1912</v>
      </c>
      <c r="D1919" s="161" t="s">
        <v>839</v>
      </c>
      <c r="E1919" s="23" t="s">
        <v>1136</v>
      </c>
      <c r="F1919" s="45" t="s">
        <v>3120</v>
      </c>
      <c r="G1919" s="24">
        <v>3560</v>
      </c>
      <c r="H1919" s="25" t="s">
        <v>806</v>
      </c>
      <c r="I1919" s="25" t="s">
        <v>838</v>
      </c>
      <c r="J1919" s="26"/>
    </row>
    <row r="1920" spans="1:10" s="41" customFormat="1" ht="30.95" customHeight="1">
      <c r="A1920" s="41">
        <v>62</v>
      </c>
      <c r="C1920" s="22">
        <f t="shared" si="29"/>
        <v>1913</v>
      </c>
      <c r="D1920" s="161" t="s">
        <v>3139</v>
      </c>
      <c r="E1920" s="23" t="s">
        <v>1136</v>
      </c>
      <c r="F1920" s="45" t="s">
        <v>3120</v>
      </c>
      <c r="G1920" s="24">
        <v>1510</v>
      </c>
      <c r="H1920" s="25" t="s">
        <v>806</v>
      </c>
      <c r="I1920" s="25" t="s">
        <v>244</v>
      </c>
      <c r="J1920" s="26"/>
    </row>
    <row r="1921" spans="1:10" s="41" customFormat="1" ht="30.95" customHeight="1">
      <c r="A1921" s="41">
        <v>63</v>
      </c>
      <c r="C1921" s="22">
        <f t="shared" si="29"/>
        <v>1914</v>
      </c>
      <c r="D1921" s="161" t="s">
        <v>723</v>
      </c>
      <c r="E1921" s="23" t="s">
        <v>1136</v>
      </c>
      <c r="F1921" s="45" t="s">
        <v>3120</v>
      </c>
      <c r="G1921" s="24">
        <v>2140</v>
      </c>
      <c r="H1921" s="25" t="s">
        <v>757</v>
      </c>
      <c r="I1921" s="25" t="s">
        <v>244</v>
      </c>
      <c r="J1921" s="26"/>
    </row>
    <row r="1922" spans="1:10" s="41" customFormat="1" ht="30.95" customHeight="1">
      <c r="A1922" s="41">
        <v>64</v>
      </c>
      <c r="C1922" s="22">
        <f t="shared" si="29"/>
        <v>1915</v>
      </c>
      <c r="D1922" s="161" t="s">
        <v>835</v>
      </c>
      <c r="E1922" s="23" t="s">
        <v>1136</v>
      </c>
      <c r="F1922" s="45" t="s">
        <v>3120</v>
      </c>
      <c r="G1922" s="24">
        <v>1600</v>
      </c>
      <c r="H1922" s="25" t="s">
        <v>757</v>
      </c>
      <c r="I1922" s="25" t="s">
        <v>244</v>
      </c>
      <c r="J1922" s="26"/>
    </row>
    <row r="1923" spans="1:10" s="41" customFormat="1" ht="30.95" customHeight="1">
      <c r="A1923" s="41">
        <v>65</v>
      </c>
      <c r="C1923" s="22">
        <f t="shared" si="29"/>
        <v>1916</v>
      </c>
      <c r="D1923" s="161" t="s">
        <v>834</v>
      </c>
      <c r="E1923" s="23" t="s">
        <v>1136</v>
      </c>
      <c r="F1923" s="45" t="s">
        <v>3120</v>
      </c>
      <c r="G1923" s="24">
        <v>982</v>
      </c>
      <c r="H1923" s="25" t="s">
        <v>757</v>
      </c>
      <c r="I1923" s="25" t="s">
        <v>833</v>
      </c>
      <c r="J1923" s="26"/>
    </row>
    <row r="1924" spans="1:10" s="41" customFormat="1" ht="30.95" customHeight="1">
      <c r="A1924" s="41">
        <v>66</v>
      </c>
      <c r="C1924" s="22">
        <f t="shared" si="29"/>
        <v>1917</v>
      </c>
      <c r="D1924" s="161" t="s">
        <v>3140</v>
      </c>
      <c r="E1924" s="23" t="s">
        <v>1136</v>
      </c>
      <c r="F1924" s="45" t="s">
        <v>3120</v>
      </c>
      <c r="G1924" s="24">
        <v>2300</v>
      </c>
      <c r="H1924" s="25" t="s">
        <v>757</v>
      </c>
      <c r="I1924" s="25" t="s">
        <v>831</v>
      </c>
      <c r="J1924" s="26"/>
    </row>
    <row r="1925" spans="1:10" s="41" customFormat="1" ht="30.95" customHeight="1">
      <c r="A1925" s="41">
        <v>67</v>
      </c>
      <c r="C1925" s="22">
        <f t="shared" si="29"/>
        <v>1918</v>
      </c>
      <c r="D1925" s="161" t="s">
        <v>3141</v>
      </c>
      <c r="E1925" s="23" t="s">
        <v>1136</v>
      </c>
      <c r="F1925" s="45" t="s">
        <v>3120</v>
      </c>
      <c r="G1925" s="24">
        <v>2240</v>
      </c>
      <c r="H1925" s="25" t="s">
        <v>757</v>
      </c>
      <c r="I1925" s="25" t="s">
        <v>244</v>
      </c>
      <c r="J1925" s="26"/>
    </row>
    <row r="1926" spans="1:10" s="41" customFormat="1" ht="30.95" customHeight="1">
      <c r="A1926" s="41">
        <v>68</v>
      </c>
      <c r="C1926" s="22">
        <f t="shared" si="29"/>
        <v>1919</v>
      </c>
      <c r="D1926" s="161" t="s">
        <v>829</v>
      </c>
      <c r="E1926" s="23" t="s">
        <v>1136</v>
      </c>
      <c r="F1926" s="45" t="s">
        <v>3120</v>
      </c>
      <c r="G1926" s="24">
        <v>1410</v>
      </c>
      <c r="H1926" s="25" t="s">
        <v>828</v>
      </c>
      <c r="I1926" s="25" t="s">
        <v>244</v>
      </c>
      <c r="J1926" s="26"/>
    </row>
    <row r="1927" spans="1:10" s="41" customFormat="1" ht="30.95" customHeight="1">
      <c r="A1927" s="41">
        <v>69</v>
      </c>
      <c r="C1927" s="22">
        <f t="shared" si="29"/>
        <v>1920</v>
      </c>
      <c r="D1927" s="161" t="s">
        <v>743</v>
      </c>
      <c r="E1927" s="23" t="s">
        <v>1136</v>
      </c>
      <c r="F1927" s="45" t="s">
        <v>3120</v>
      </c>
      <c r="G1927" s="24">
        <v>3260</v>
      </c>
      <c r="H1927" s="25" t="s">
        <v>739</v>
      </c>
      <c r="I1927" s="25" t="s">
        <v>826</v>
      </c>
      <c r="J1927" s="26"/>
    </row>
    <row r="1928" spans="1:10" s="41" customFormat="1" ht="30.95" customHeight="1">
      <c r="A1928" s="41">
        <v>70</v>
      </c>
      <c r="C1928" s="22">
        <f t="shared" si="29"/>
        <v>1921</v>
      </c>
      <c r="D1928" s="161" t="s">
        <v>825</v>
      </c>
      <c r="E1928" s="23" t="s">
        <v>1136</v>
      </c>
      <c r="F1928" s="45" t="s">
        <v>3120</v>
      </c>
      <c r="G1928" s="24">
        <v>1660</v>
      </c>
      <c r="H1928" s="25" t="s">
        <v>773</v>
      </c>
      <c r="I1928" s="25" t="s">
        <v>244</v>
      </c>
      <c r="J1928" s="26"/>
    </row>
    <row r="1929" spans="1:10" s="41" customFormat="1" ht="30.95" customHeight="1">
      <c r="A1929" s="41">
        <v>71</v>
      </c>
      <c r="C1929" s="22">
        <f t="shared" si="29"/>
        <v>1922</v>
      </c>
      <c r="D1929" s="161" t="s">
        <v>823</v>
      </c>
      <c r="E1929" s="23" t="s">
        <v>1136</v>
      </c>
      <c r="F1929" s="45" t="s">
        <v>3120</v>
      </c>
      <c r="G1929" s="24">
        <v>393</v>
      </c>
      <c r="H1929" s="25" t="s">
        <v>816</v>
      </c>
      <c r="I1929" s="25" t="s">
        <v>244</v>
      </c>
      <c r="J1929" s="26"/>
    </row>
    <row r="1930" spans="1:10" s="41" customFormat="1" ht="30.95" customHeight="1">
      <c r="A1930" s="41">
        <v>72</v>
      </c>
      <c r="C1930" s="22">
        <f t="shared" ref="C1930:C1993" si="30">C1929+1</f>
        <v>1923</v>
      </c>
      <c r="D1930" s="161" t="s">
        <v>3142</v>
      </c>
      <c r="E1930" s="23" t="s">
        <v>1136</v>
      </c>
      <c r="F1930" s="45" t="s">
        <v>3120</v>
      </c>
      <c r="G1930" s="24">
        <v>1210</v>
      </c>
      <c r="H1930" s="25" t="s">
        <v>801</v>
      </c>
      <c r="I1930" s="25" t="s">
        <v>821</v>
      </c>
      <c r="J1930" s="26"/>
    </row>
    <row r="1931" spans="1:10" s="41" customFormat="1" ht="30.95" customHeight="1">
      <c r="A1931" s="41">
        <v>73</v>
      </c>
      <c r="C1931" s="22">
        <f t="shared" si="30"/>
        <v>1924</v>
      </c>
      <c r="D1931" s="161" t="s">
        <v>820</v>
      </c>
      <c r="E1931" s="23" t="s">
        <v>1136</v>
      </c>
      <c r="F1931" s="45" t="s">
        <v>3120</v>
      </c>
      <c r="G1931" s="24">
        <v>1800</v>
      </c>
      <c r="H1931" s="25" t="s">
        <v>801</v>
      </c>
      <c r="I1931" s="25" t="s">
        <v>244</v>
      </c>
      <c r="J1931" s="26"/>
    </row>
    <row r="1932" spans="1:10" s="41" customFormat="1" ht="30.95" customHeight="1">
      <c r="A1932" s="41">
        <v>74</v>
      </c>
      <c r="C1932" s="22">
        <f t="shared" si="30"/>
        <v>1925</v>
      </c>
      <c r="D1932" s="161" t="s">
        <v>3143</v>
      </c>
      <c r="E1932" s="23" t="s">
        <v>1136</v>
      </c>
      <c r="F1932" s="45" t="s">
        <v>3120</v>
      </c>
      <c r="G1932" s="24">
        <v>3190</v>
      </c>
      <c r="H1932" s="25" t="s">
        <v>3144</v>
      </c>
      <c r="I1932" s="25" t="s">
        <v>244</v>
      </c>
      <c r="J1932" s="26"/>
    </row>
    <row r="1933" spans="1:10" s="41" customFormat="1" ht="30.95" customHeight="1">
      <c r="A1933" s="41">
        <v>75</v>
      </c>
      <c r="C1933" s="22">
        <f t="shared" si="30"/>
        <v>1926</v>
      </c>
      <c r="D1933" s="161" t="s">
        <v>3145</v>
      </c>
      <c r="E1933" s="23" t="s">
        <v>1136</v>
      </c>
      <c r="F1933" s="45" t="s">
        <v>3120</v>
      </c>
      <c r="G1933" s="24">
        <v>1785</v>
      </c>
      <c r="H1933" s="25" t="s">
        <v>816</v>
      </c>
      <c r="I1933" s="25" t="s">
        <v>244</v>
      </c>
      <c r="J1933" s="26"/>
    </row>
    <row r="1934" spans="1:10" s="41" customFormat="1" ht="30.95" customHeight="1">
      <c r="A1934" s="41">
        <v>76</v>
      </c>
      <c r="C1934" s="22">
        <f t="shared" si="30"/>
        <v>1927</v>
      </c>
      <c r="D1934" s="161" t="s">
        <v>3146</v>
      </c>
      <c r="E1934" s="23" t="s">
        <v>1136</v>
      </c>
      <c r="F1934" s="45" t="s">
        <v>3120</v>
      </c>
      <c r="G1934" s="24">
        <v>1475</v>
      </c>
      <c r="H1934" s="25" t="s">
        <v>816</v>
      </c>
      <c r="I1934" s="25" t="s">
        <v>244</v>
      </c>
      <c r="J1934" s="26"/>
    </row>
    <row r="1935" spans="1:10" s="41" customFormat="1" ht="30.95" customHeight="1">
      <c r="A1935" s="41">
        <v>77</v>
      </c>
      <c r="C1935" s="22">
        <f t="shared" si="30"/>
        <v>1928</v>
      </c>
      <c r="D1935" s="161" t="s">
        <v>3147</v>
      </c>
      <c r="E1935" s="23" t="s">
        <v>1136</v>
      </c>
      <c r="F1935" s="45" t="s">
        <v>3120</v>
      </c>
      <c r="G1935" s="24">
        <v>2440</v>
      </c>
      <c r="H1935" s="25" t="s">
        <v>757</v>
      </c>
      <c r="I1935" s="25" t="s">
        <v>244</v>
      </c>
      <c r="J1935" s="26"/>
    </row>
    <row r="1936" spans="1:10" s="41" customFormat="1" ht="30.95" customHeight="1">
      <c r="A1936" s="41">
        <v>78</v>
      </c>
      <c r="C1936" s="22">
        <f t="shared" si="30"/>
        <v>1929</v>
      </c>
      <c r="D1936" s="166" t="s">
        <v>3892</v>
      </c>
      <c r="E1936" s="23" t="s">
        <v>1136</v>
      </c>
      <c r="F1936" s="45" t="s">
        <v>3120</v>
      </c>
      <c r="G1936" s="24">
        <v>5300</v>
      </c>
      <c r="H1936" s="25" t="s">
        <v>127</v>
      </c>
      <c r="I1936" s="25" t="s">
        <v>757</v>
      </c>
      <c r="J1936" s="26"/>
    </row>
    <row r="1937" spans="1:10" s="41" customFormat="1" ht="30.95" customHeight="1">
      <c r="A1937" s="41">
        <v>79</v>
      </c>
      <c r="C1937" s="22">
        <f t="shared" si="30"/>
        <v>1930</v>
      </c>
      <c r="D1937" s="161" t="s">
        <v>3148</v>
      </c>
      <c r="E1937" s="23" t="s">
        <v>1136</v>
      </c>
      <c r="F1937" s="45" t="s">
        <v>3120</v>
      </c>
      <c r="G1937" s="24">
        <v>2040</v>
      </c>
      <c r="H1937" s="25" t="s">
        <v>812</v>
      </c>
      <c r="I1937" s="25" t="s">
        <v>244</v>
      </c>
      <c r="J1937" s="26"/>
    </row>
    <row r="1938" spans="1:10" s="41" customFormat="1" ht="30.95" customHeight="1">
      <c r="A1938" s="41">
        <v>80</v>
      </c>
      <c r="C1938" s="22">
        <f t="shared" si="30"/>
        <v>1931</v>
      </c>
      <c r="D1938" s="161" t="s">
        <v>811</v>
      </c>
      <c r="E1938" s="23" t="s">
        <v>1136</v>
      </c>
      <c r="F1938" s="45" t="s">
        <v>3120</v>
      </c>
      <c r="G1938" s="24">
        <v>1200</v>
      </c>
      <c r="H1938" s="25" t="s">
        <v>806</v>
      </c>
      <c r="I1938" s="25" t="s">
        <v>807</v>
      </c>
      <c r="J1938" s="26"/>
    </row>
    <row r="1939" spans="1:10" s="41" customFormat="1" ht="30.95" customHeight="1">
      <c r="A1939" s="41">
        <v>81</v>
      </c>
      <c r="C1939" s="22">
        <f t="shared" si="30"/>
        <v>1932</v>
      </c>
      <c r="D1939" s="161" t="s">
        <v>809</v>
      </c>
      <c r="E1939" s="23" t="s">
        <v>1136</v>
      </c>
      <c r="F1939" s="45" t="s">
        <v>3120</v>
      </c>
      <c r="G1939" s="24">
        <v>3670</v>
      </c>
      <c r="H1939" s="25" t="s">
        <v>806</v>
      </c>
      <c r="I1939" s="25" t="s">
        <v>773</v>
      </c>
      <c r="J1939" s="26"/>
    </row>
    <row r="1940" spans="1:10" s="41" customFormat="1" ht="30.95" customHeight="1">
      <c r="A1940" s="41">
        <v>82</v>
      </c>
      <c r="C1940" s="22">
        <f t="shared" si="30"/>
        <v>1933</v>
      </c>
      <c r="D1940" s="161" t="s">
        <v>807</v>
      </c>
      <c r="E1940" s="23" t="s">
        <v>1136</v>
      </c>
      <c r="F1940" s="45" t="s">
        <v>3120</v>
      </c>
      <c r="G1940" s="24">
        <v>1370</v>
      </c>
      <c r="H1940" s="25" t="s">
        <v>806</v>
      </c>
      <c r="I1940" s="25" t="s">
        <v>244</v>
      </c>
      <c r="J1940" s="26"/>
    </row>
    <row r="1941" spans="1:10" s="41" customFormat="1" ht="30.95" customHeight="1">
      <c r="A1941" s="41">
        <v>83</v>
      </c>
      <c r="C1941" s="22">
        <f t="shared" si="30"/>
        <v>1934</v>
      </c>
      <c r="D1941" s="161" t="s">
        <v>773</v>
      </c>
      <c r="E1941" s="23" t="s">
        <v>1136</v>
      </c>
      <c r="F1941" s="45" t="s">
        <v>3120</v>
      </c>
      <c r="G1941" s="24">
        <v>4000</v>
      </c>
      <c r="H1941" s="25" t="s">
        <v>727</v>
      </c>
      <c r="I1941" s="25" t="s">
        <v>244</v>
      </c>
      <c r="J1941" s="26"/>
    </row>
    <row r="1942" spans="1:10" s="41" customFormat="1" ht="30.95" customHeight="1">
      <c r="A1942" s="41">
        <v>84</v>
      </c>
      <c r="C1942" s="22">
        <f t="shared" si="30"/>
        <v>1935</v>
      </c>
      <c r="D1942" s="161" t="s">
        <v>3149</v>
      </c>
      <c r="E1942" s="23" t="s">
        <v>1136</v>
      </c>
      <c r="F1942" s="45" t="s">
        <v>3120</v>
      </c>
      <c r="G1942" s="24">
        <v>8720</v>
      </c>
      <c r="H1942" s="25" t="s">
        <v>801</v>
      </c>
      <c r="I1942" s="25" t="s">
        <v>1129</v>
      </c>
      <c r="J1942" s="26"/>
    </row>
    <row r="1943" spans="1:10" s="41" customFormat="1" ht="30.95" customHeight="1">
      <c r="A1943" s="41">
        <v>85</v>
      </c>
      <c r="C1943" s="22">
        <f t="shared" si="30"/>
        <v>1936</v>
      </c>
      <c r="D1943" s="161" t="s">
        <v>800</v>
      </c>
      <c r="E1943" s="23" t="s">
        <v>1136</v>
      </c>
      <c r="F1943" s="45" t="s">
        <v>3120</v>
      </c>
      <c r="G1943" s="24">
        <v>4290</v>
      </c>
      <c r="H1943" s="25" t="s">
        <v>791</v>
      </c>
      <c r="I1943" s="25" t="s">
        <v>3150</v>
      </c>
      <c r="J1943" s="26"/>
    </row>
    <row r="1944" spans="1:10" s="41" customFormat="1" ht="30.95" customHeight="1">
      <c r="A1944" s="41">
        <v>86</v>
      </c>
      <c r="C1944" s="22">
        <f t="shared" si="30"/>
        <v>1937</v>
      </c>
      <c r="D1944" s="161" t="s">
        <v>797</v>
      </c>
      <c r="E1944" s="23" t="s">
        <v>1136</v>
      </c>
      <c r="F1944" s="45" t="s">
        <v>3120</v>
      </c>
      <c r="G1944" s="24">
        <v>950</v>
      </c>
      <c r="H1944" s="25" t="s">
        <v>785</v>
      </c>
      <c r="I1944" s="25" t="s">
        <v>244</v>
      </c>
      <c r="J1944" s="26"/>
    </row>
    <row r="1945" spans="1:10" s="41" customFormat="1" ht="30.95" customHeight="1">
      <c r="A1945" s="41">
        <v>87</v>
      </c>
      <c r="C1945" s="22">
        <f t="shared" si="30"/>
        <v>1938</v>
      </c>
      <c r="D1945" s="161" t="s">
        <v>761</v>
      </c>
      <c r="E1945" s="23" t="s">
        <v>1136</v>
      </c>
      <c r="F1945" s="45" t="s">
        <v>3120</v>
      </c>
      <c r="G1945" s="24">
        <v>2254</v>
      </c>
      <c r="H1945" s="25" t="s">
        <v>757</v>
      </c>
      <c r="I1945" s="25" t="s">
        <v>244</v>
      </c>
      <c r="J1945" s="26"/>
    </row>
    <row r="1946" spans="1:10" s="41" customFormat="1" ht="30.95" customHeight="1">
      <c r="A1946" s="41">
        <v>88</v>
      </c>
      <c r="C1946" s="22">
        <f t="shared" si="30"/>
        <v>1939</v>
      </c>
      <c r="D1946" s="166" t="s">
        <v>768</v>
      </c>
      <c r="E1946" s="23" t="s">
        <v>1136</v>
      </c>
      <c r="F1946" s="45" t="s">
        <v>3120</v>
      </c>
      <c r="G1946" s="24">
        <v>1490</v>
      </c>
      <c r="H1946" s="25" t="s">
        <v>739</v>
      </c>
      <c r="I1946" s="25" t="s">
        <v>769</v>
      </c>
      <c r="J1946" s="26"/>
    </row>
    <row r="1947" spans="1:10" s="41" customFormat="1" ht="30.95" customHeight="1">
      <c r="A1947" s="41">
        <v>89</v>
      </c>
      <c r="C1947" s="22">
        <f t="shared" si="30"/>
        <v>1940</v>
      </c>
      <c r="D1947" s="161" t="s">
        <v>743</v>
      </c>
      <c r="E1947" s="23" t="s">
        <v>1136</v>
      </c>
      <c r="F1947" s="45" t="s">
        <v>3120</v>
      </c>
      <c r="G1947" s="24">
        <v>2550</v>
      </c>
      <c r="H1947" s="25" t="s">
        <v>772</v>
      </c>
      <c r="I1947" s="25" t="s">
        <v>244</v>
      </c>
      <c r="J1947" s="26"/>
    </row>
    <row r="1948" spans="1:10" s="41" customFormat="1" ht="30.95" customHeight="1">
      <c r="A1948" s="41">
        <v>90</v>
      </c>
      <c r="C1948" s="22">
        <f t="shared" si="30"/>
        <v>1941</v>
      </c>
      <c r="D1948" s="161" t="s">
        <v>792</v>
      </c>
      <c r="E1948" s="23" t="s">
        <v>1136</v>
      </c>
      <c r="F1948" s="45" t="s">
        <v>3120</v>
      </c>
      <c r="G1948" s="24">
        <v>3050</v>
      </c>
      <c r="H1948" s="25" t="s">
        <v>772</v>
      </c>
      <c r="I1948" s="25" t="s">
        <v>791</v>
      </c>
      <c r="J1948" s="26"/>
    </row>
    <row r="1949" spans="1:10" s="41" customFormat="1" ht="30.95" customHeight="1">
      <c r="A1949" s="41">
        <v>91</v>
      </c>
      <c r="C1949" s="22">
        <f t="shared" si="30"/>
        <v>1942</v>
      </c>
      <c r="D1949" s="161" t="s">
        <v>790</v>
      </c>
      <c r="E1949" s="23" t="s">
        <v>1136</v>
      </c>
      <c r="F1949" s="45" t="s">
        <v>3120</v>
      </c>
      <c r="G1949" s="24">
        <v>1428</v>
      </c>
      <c r="H1949" s="25" t="s">
        <v>757</v>
      </c>
      <c r="I1949" s="25" t="s">
        <v>244</v>
      </c>
      <c r="J1949" s="26"/>
    </row>
    <row r="1950" spans="1:10" s="41" customFormat="1" ht="30.95" customHeight="1">
      <c r="A1950" s="41">
        <v>92</v>
      </c>
      <c r="C1950" s="22">
        <f t="shared" si="30"/>
        <v>1943</v>
      </c>
      <c r="D1950" s="161" t="s">
        <v>770</v>
      </c>
      <c r="E1950" s="23" t="s">
        <v>1136</v>
      </c>
      <c r="F1950" s="45" t="s">
        <v>3120</v>
      </c>
      <c r="G1950" s="24">
        <v>2399</v>
      </c>
      <c r="H1950" s="25" t="s">
        <v>772</v>
      </c>
      <c r="I1950" s="25" t="s">
        <v>771</v>
      </c>
      <c r="J1950" s="26"/>
    </row>
    <row r="1951" spans="1:10" s="41" customFormat="1" ht="30.95" customHeight="1">
      <c r="A1951" s="41">
        <v>93</v>
      </c>
      <c r="C1951" s="22">
        <f t="shared" si="30"/>
        <v>1944</v>
      </c>
      <c r="D1951" s="161" t="s">
        <v>788</v>
      </c>
      <c r="E1951" s="23" t="s">
        <v>1136</v>
      </c>
      <c r="F1951" s="45" t="s">
        <v>3120</v>
      </c>
      <c r="G1951" s="24">
        <v>1930</v>
      </c>
      <c r="H1951" s="25" t="s">
        <v>777</v>
      </c>
      <c r="I1951" s="25" t="s">
        <v>244</v>
      </c>
      <c r="J1951" s="26"/>
    </row>
    <row r="1952" spans="1:10" s="41" customFormat="1" ht="30.95" customHeight="1">
      <c r="A1952" s="41">
        <v>94</v>
      </c>
      <c r="C1952" s="22">
        <f t="shared" si="30"/>
        <v>1945</v>
      </c>
      <c r="D1952" s="161" t="s">
        <v>787</v>
      </c>
      <c r="E1952" s="23" t="s">
        <v>1136</v>
      </c>
      <c r="F1952" s="45" t="s">
        <v>3120</v>
      </c>
      <c r="G1952" s="24">
        <v>890</v>
      </c>
      <c r="H1952" s="25" t="s">
        <v>785</v>
      </c>
      <c r="I1952" s="25" t="s">
        <v>244</v>
      </c>
      <c r="J1952" s="26"/>
    </row>
    <row r="1953" spans="1:10" s="41" customFormat="1" ht="30.95" customHeight="1">
      <c r="A1953" s="41">
        <v>95</v>
      </c>
      <c r="C1953" s="22">
        <f t="shared" si="30"/>
        <v>1946</v>
      </c>
      <c r="D1953" s="161" t="s">
        <v>786</v>
      </c>
      <c r="E1953" s="23" t="s">
        <v>1136</v>
      </c>
      <c r="F1953" s="45" t="s">
        <v>3120</v>
      </c>
      <c r="G1953" s="24">
        <v>1660</v>
      </c>
      <c r="H1953" s="25" t="s">
        <v>739</v>
      </c>
      <c r="I1953" s="25" t="s">
        <v>785</v>
      </c>
      <c r="J1953" s="26"/>
    </row>
    <row r="1954" spans="1:10" s="41" customFormat="1" ht="30.95" customHeight="1">
      <c r="A1954" s="41">
        <v>96</v>
      </c>
      <c r="C1954" s="22">
        <f t="shared" si="30"/>
        <v>1947</v>
      </c>
      <c r="D1954" s="161" t="s">
        <v>3151</v>
      </c>
      <c r="E1954" s="23" t="s">
        <v>1136</v>
      </c>
      <c r="F1954" s="45" t="s">
        <v>3120</v>
      </c>
      <c r="G1954" s="24">
        <v>3100</v>
      </c>
      <c r="H1954" s="25" t="s">
        <v>739</v>
      </c>
      <c r="I1954" s="25" t="s">
        <v>783</v>
      </c>
      <c r="J1954" s="26"/>
    </row>
    <row r="1955" spans="1:10" s="41" customFormat="1" ht="30.95" customHeight="1">
      <c r="A1955" s="41">
        <v>97</v>
      </c>
      <c r="C1955" s="22">
        <f t="shared" si="30"/>
        <v>1948</v>
      </c>
      <c r="D1955" s="161" t="s">
        <v>781</v>
      </c>
      <c r="E1955" s="23" t="s">
        <v>1136</v>
      </c>
      <c r="F1955" s="45" t="s">
        <v>3120</v>
      </c>
      <c r="G1955" s="24">
        <v>3150</v>
      </c>
      <c r="H1955" s="25" t="s">
        <v>772</v>
      </c>
      <c r="I1955" s="25" t="s">
        <v>777</v>
      </c>
      <c r="J1955" s="26"/>
    </row>
    <row r="1956" spans="1:10" s="41" customFormat="1" ht="30.95" customHeight="1">
      <c r="A1956" s="41">
        <v>98</v>
      </c>
      <c r="C1956" s="22">
        <f t="shared" si="30"/>
        <v>1949</v>
      </c>
      <c r="D1956" s="161" t="s">
        <v>780</v>
      </c>
      <c r="E1956" s="23" t="s">
        <v>1136</v>
      </c>
      <c r="F1956" s="45" t="s">
        <v>3120</v>
      </c>
      <c r="G1956" s="24">
        <v>2310</v>
      </c>
      <c r="H1956" s="25" t="s">
        <v>770</v>
      </c>
      <c r="I1956" s="25" t="s">
        <v>244</v>
      </c>
      <c r="J1956" s="26"/>
    </row>
    <row r="1957" spans="1:10" s="41" customFormat="1" ht="30.95" customHeight="1">
      <c r="A1957" s="41">
        <v>99</v>
      </c>
      <c r="C1957" s="22">
        <f t="shared" si="30"/>
        <v>1950</v>
      </c>
      <c r="D1957" s="161" t="s">
        <v>779</v>
      </c>
      <c r="E1957" s="23" t="s">
        <v>1136</v>
      </c>
      <c r="F1957" s="45" t="s">
        <v>3120</v>
      </c>
      <c r="G1957" s="24">
        <v>3932</v>
      </c>
      <c r="H1957" s="25" t="s">
        <v>739</v>
      </c>
      <c r="I1957" s="25" t="s">
        <v>757</v>
      </c>
      <c r="J1957" s="26"/>
    </row>
    <row r="1958" spans="1:10" s="41" customFormat="1" ht="30.95" customHeight="1">
      <c r="A1958" s="41">
        <v>100</v>
      </c>
      <c r="C1958" s="22">
        <f t="shared" si="30"/>
        <v>1951</v>
      </c>
      <c r="D1958" s="161" t="s">
        <v>3152</v>
      </c>
      <c r="E1958" s="23" t="s">
        <v>1136</v>
      </c>
      <c r="F1958" s="45" t="s">
        <v>3120</v>
      </c>
      <c r="G1958" s="24">
        <v>2532</v>
      </c>
      <c r="H1958" s="25" t="s">
        <v>777</v>
      </c>
      <c r="I1958" s="25" t="s">
        <v>757</v>
      </c>
      <c r="J1958" s="26"/>
    </row>
    <row r="1959" spans="1:10" s="41" customFormat="1" ht="30.95" customHeight="1">
      <c r="A1959" s="41">
        <v>101</v>
      </c>
      <c r="C1959" s="22">
        <f t="shared" si="30"/>
        <v>1952</v>
      </c>
      <c r="D1959" s="161" t="s">
        <v>775</v>
      </c>
      <c r="E1959" s="23" t="s">
        <v>1136</v>
      </c>
      <c r="F1959" s="45" t="s">
        <v>3120</v>
      </c>
      <c r="G1959" s="24">
        <v>3465</v>
      </c>
      <c r="H1959" s="25" t="s">
        <v>739</v>
      </c>
      <c r="I1959" s="25" t="s">
        <v>772</v>
      </c>
      <c r="J1959" s="26"/>
    </row>
    <row r="1960" spans="1:10" s="41" customFormat="1" ht="30.95" customHeight="1">
      <c r="A1960" s="41">
        <v>102</v>
      </c>
      <c r="C1960" s="22">
        <f t="shared" si="30"/>
        <v>1953</v>
      </c>
      <c r="D1960" s="161" t="s">
        <v>773</v>
      </c>
      <c r="E1960" s="23" t="s">
        <v>1136</v>
      </c>
      <c r="F1960" s="45" t="s">
        <v>3120</v>
      </c>
      <c r="G1960" s="24">
        <v>2560</v>
      </c>
      <c r="H1960" s="25" t="s">
        <v>772</v>
      </c>
      <c r="I1960" s="25" t="s">
        <v>244</v>
      </c>
      <c r="J1960" s="26"/>
    </row>
    <row r="1961" spans="1:10" s="41" customFormat="1" ht="30.95" customHeight="1">
      <c r="A1961" s="41">
        <v>103</v>
      </c>
      <c r="C1961" s="22">
        <f t="shared" si="30"/>
        <v>1954</v>
      </c>
      <c r="D1961" s="161" t="s">
        <v>771</v>
      </c>
      <c r="E1961" s="23" t="s">
        <v>1136</v>
      </c>
      <c r="F1961" s="45" t="s">
        <v>3120</v>
      </c>
      <c r="G1961" s="24">
        <v>3015</v>
      </c>
      <c r="H1961" s="25" t="s">
        <v>757</v>
      </c>
      <c r="I1961" s="25" t="s">
        <v>770</v>
      </c>
      <c r="J1961" s="26"/>
    </row>
    <row r="1962" spans="1:10" s="41" customFormat="1" ht="30.95" customHeight="1">
      <c r="A1962" s="41">
        <v>104</v>
      </c>
      <c r="C1962" s="22">
        <f t="shared" si="30"/>
        <v>1955</v>
      </c>
      <c r="D1962" s="161" t="s">
        <v>769</v>
      </c>
      <c r="E1962" s="23" t="s">
        <v>1136</v>
      </c>
      <c r="F1962" s="45" t="s">
        <v>3120</v>
      </c>
      <c r="G1962" s="24">
        <v>3150</v>
      </c>
      <c r="H1962" s="25" t="s">
        <v>739</v>
      </c>
      <c r="I1962" s="25" t="s">
        <v>3153</v>
      </c>
      <c r="J1962" s="26"/>
    </row>
    <row r="1963" spans="1:10" s="41" customFormat="1" ht="30.95" customHeight="1">
      <c r="A1963" s="41">
        <v>105</v>
      </c>
      <c r="C1963" s="22">
        <f t="shared" si="30"/>
        <v>1956</v>
      </c>
      <c r="D1963" s="161" t="s">
        <v>777</v>
      </c>
      <c r="E1963" s="23" t="s">
        <v>1136</v>
      </c>
      <c r="F1963" s="45" t="s">
        <v>3120</v>
      </c>
      <c r="G1963" s="24">
        <v>5500</v>
      </c>
      <c r="H1963" s="25" t="s">
        <v>772</v>
      </c>
      <c r="I1963" s="25" t="s">
        <v>757</v>
      </c>
      <c r="J1963" s="26"/>
    </row>
    <row r="1964" spans="1:10" s="41" customFormat="1" ht="30.95" customHeight="1">
      <c r="A1964" s="41">
        <v>106</v>
      </c>
      <c r="C1964" s="22">
        <f t="shared" si="30"/>
        <v>1957</v>
      </c>
      <c r="D1964" s="161" t="s">
        <v>767</v>
      </c>
      <c r="E1964" s="23" t="s">
        <v>1136</v>
      </c>
      <c r="F1964" s="45" t="s">
        <v>3120</v>
      </c>
      <c r="G1964" s="24">
        <v>1860</v>
      </c>
      <c r="H1964" s="25" t="s">
        <v>766</v>
      </c>
      <c r="I1964" s="25" t="s">
        <v>732</v>
      </c>
      <c r="J1964" s="26"/>
    </row>
    <row r="1965" spans="1:10" s="41" customFormat="1" ht="30.95" customHeight="1">
      <c r="A1965" s="41">
        <v>107</v>
      </c>
      <c r="C1965" s="22">
        <f t="shared" si="30"/>
        <v>1958</v>
      </c>
      <c r="D1965" s="161" t="s">
        <v>765</v>
      </c>
      <c r="E1965" s="23" t="s">
        <v>1136</v>
      </c>
      <c r="F1965" s="45" t="s">
        <v>3120</v>
      </c>
      <c r="G1965" s="24">
        <v>1170</v>
      </c>
      <c r="H1965" s="25" t="s">
        <v>754</v>
      </c>
      <c r="I1965" s="25" t="s">
        <v>244</v>
      </c>
      <c r="J1965" s="26"/>
    </row>
    <row r="1966" spans="1:10" s="41" customFormat="1" ht="30.95" customHeight="1">
      <c r="A1966" s="41">
        <v>108</v>
      </c>
      <c r="C1966" s="22">
        <f t="shared" si="30"/>
        <v>1959</v>
      </c>
      <c r="D1966" s="161" t="s">
        <v>764</v>
      </c>
      <c r="E1966" s="23" t="s">
        <v>1136</v>
      </c>
      <c r="F1966" s="45" t="s">
        <v>3120</v>
      </c>
      <c r="G1966" s="24">
        <v>930</v>
      </c>
      <c r="H1966" s="25" t="s">
        <v>738</v>
      </c>
      <c r="I1966" s="25" t="s">
        <v>2806</v>
      </c>
      <c r="J1966" s="26"/>
    </row>
    <row r="1967" spans="1:10" s="41" customFormat="1" ht="30.95" customHeight="1">
      <c r="A1967" s="41">
        <v>109</v>
      </c>
      <c r="C1967" s="22">
        <f t="shared" si="30"/>
        <v>1960</v>
      </c>
      <c r="D1967" s="161" t="s">
        <v>762</v>
      </c>
      <c r="E1967" s="23" t="s">
        <v>1136</v>
      </c>
      <c r="F1967" s="45" t="s">
        <v>3120</v>
      </c>
      <c r="G1967" s="24">
        <v>1940</v>
      </c>
      <c r="H1967" s="25" t="s">
        <v>746</v>
      </c>
      <c r="I1967" s="25" t="s">
        <v>3154</v>
      </c>
      <c r="J1967" s="26"/>
    </row>
    <row r="1968" spans="1:10" s="41" customFormat="1" ht="30.95" customHeight="1">
      <c r="A1968" s="41">
        <v>110</v>
      </c>
      <c r="C1968" s="22">
        <f t="shared" si="30"/>
        <v>1961</v>
      </c>
      <c r="D1968" s="161" t="s">
        <v>3155</v>
      </c>
      <c r="E1968" s="23" t="s">
        <v>1136</v>
      </c>
      <c r="F1968" s="45" t="s">
        <v>3120</v>
      </c>
      <c r="G1968" s="24">
        <v>150</v>
      </c>
      <c r="H1968" s="25" t="s">
        <v>738</v>
      </c>
      <c r="I1968" s="25" t="s">
        <v>761</v>
      </c>
      <c r="J1968" s="26"/>
    </row>
    <row r="1969" spans="1:10" s="41" customFormat="1" ht="30.95" customHeight="1">
      <c r="A1969" s="41">
        <v>111</v>
      </c>
      <c r="C1969" s="22">
        <f t="shared" si="30"/>
        <v>1962</v>
      </c>
      <c r="D1969" s="161" t="s">
        <v>761</v>
      </c>
      <c r="E1969" s="23" t="s">
        <v>1136</v>
      </c>
      <c r="F1969" s="45" t="s">
        <v>3120</v>
      </c>
      <c r="G1969" s="24">
        <v>1330</v>
      </c>
      <c r="H1969" s="25" t="s">
        <v>739</v>
      </c>
      <c r="I1969" s="25" t="s">
        <v>738</v>
      </c>
      <c r="J1969" s="26"/>
    </row>
    <row r="1970" spans="1:10" s="41" customFormat="1" ht="30.95" customHeight="1">
      <c r="A1970" s="41">
        <v>112</v>
      </c>
      <c r="C1970" s="22">
        <f t="shared" si="30"/>
        <v>1963</v>
      </c>
      <c r="D1970" s="161" t="s">
        <v>761</v>
      </c>
      <c r="E1970" s="23" t="s">
        <v>1136</v>
      </c>
      <c r="F1970" s="45" t="s">
        <v>3120</v>
      </c>
      <c r="G1970" s="24">
        <v>6500</v>
      </c>
      <c r="H1970" s="25" t="s">
        <v>738</v>
      </c>
      <c r="I1970" s="25" t="s">
        <v>751</v>
      </c>
      <c r="J1970" s="26"/>
    </row>
    <row r="1971" spans="1:10" s="41" customFormat="1" ht="30.95" customHeight="1">
      <c r="A1971" s="41">
        <v>113</v>
      </c>
      <c r="C1971" s="22">
        <f t="shared" si="30"/>
        <v>1964</v>
      </c>
      <c r="D1971" s="161" t="s">
        <v>743</v>
      </c>
      <c r="E1971" s="23" t="s">
        <v>1136</v>
      </c>
      <c r="F1971" s="45" t="s">
        <v>3120</v>
      </c>
      <c r="G1971" s="24">
        <v>3200</v>
      </c>
      <c r="H1971" s="25" t="s">
        <v>738</v>
      </c>
      <c r="I1971" s="25" t="s">
        <v>751</v>
      </c>
      <c r="J1971" s="26"/>
    </row>
    <row r="1972" spans="1:10" s="41" customFormat="1" ht="30.95" customHeight="1">
      <c r="A1972" s="41">
        <v>114</v>
      </c>
      <c r="C1972" s="22">
        <f t="shared" si="30"/>
        <v>1965</v>
      </c>
      <c r="D1972" s="161" t="s">
        <v>1130</v>
      </c>
      <c r="E1972" s="23" t="s">
        <v>1136</v>
      </c>
      <c r="F1972" s="45" t="s">
        <v>3120</v>
      </c>
      <c r="G1972" s="24">
        <v>2512</v>
      </c>
      <c r="H1972" s="25" t="s">
        <v>754</v>
      </c>
      <c r="I1972" s="25" t="s">
        <v>757</v>
      </c>
      <c r="J1972" s="26"/>
    </row>
    <row r="1973" spans="1:10" s="41" customFormat="1" ht="30.95" customHeight="1">
      <c r="A1973" s="41">
        <v>115</v>
      </c>
      <c r="C1973" s="22">
        <f t="shared" si="30"/>
        <v>1966</v>
      </c>
      <c r="D1973" s="161" t="s">
        <v>756</v>
      </c>
      <c r="E1973" s="23" t="s">
        <v>1136</v>
      </c>
      <c r="F1973" s="45" t="s">
        <v>3120</v>
      </c>
      <c r="G1973" s="24">
        <v>890</v>
      </c>
      <c r="H1973" s="25" t="s">
        <v>732</v>
      </c>
      <c r="I1973" s="25" t="s">
        <v>244</v>
      </c>
      <c r="J1973" s="26"/>
    </row>
    <row r="1974" spans="1:10" s="41" customFormat="1" ht="30.95" customHeight="1">
      <c r="A1974" s="41">
        <v>116</v>
      </c>
      <c r="C1974" s="22">
        <f t="shared" si="30"/>
        <v>1967</v>
      </c>
      <c r="D1974" s="161" t="s">
        <v>755</v>
      </c>
      <c r="E1974" s="23" t="s">
        <v>1136</v>
      </c>
      <c r="F1974" s="45" t="s">
        <v>3120</v>
      </c>
      <c r="G1974" s="24">
        <v>1580</v>
      </c>
      <c r="H1974" s="25" t="s">
        <v>754</v>
      </c>
      <c r="I1974" s="25" t="s">
        <v>757</v>
      </c>
      <c r="J1974" s="26"/>
    </row>
    <row r="1975" spans="1:10" s="41" customFormat="1" ht="30.95" customHeight="1">
      <c r="A1975" s="41">
        <v>117</v>
      </c>
      <c r="C1975" s="22">
        <f t="shared" si="30"/>
        <v>1968</v>
      </c>
      <c r="D1975" s="161" t="s">
        <v>752</v>
      </c>
      <c r="E1975" s="23" t="s">
        <v>1136</v>
      </c>
      <c r="F1975" s="45" t="s">
        <v>3120</v>
      </c>
      <c r="G1975" s="24">
        <v>2560</v>
      </c>
      <c r="H1975" s="25" t="s">
        <v>751</v>
      </c>
      <c r="I1975" s="25" t="s">
        <v>244</v>
      </c>
      <c r="J1975" s="26"/>
    </row>
    <row r="1976" spans="1:10" s="41" customFormat="1" ht="30.95" customHeight="1">
      <c r="A1976" s="41">
        <v>118</v>
      </c>
      <c r="C1976" s="22">
        <f t="shared" si="30"/>
        <v>1969</v>
      </c>
      <c r="D1976" s="161" t="s">
        <v>749</v>
      </c>
      <c r="E1976" s="23" t="s">
        <v>1136</v>
      </c>
      <c r="F1976" s="45" t="s">
        <v>3120</v>
      </c>
      <c r="G1976" s="24">
        <v>1540</v>
      </c>
      <c r="H1976" s="25" t="s">
        <v>748</v>
      </c>
      <c r="I1976" s="25" t="s">
        <v>244</v>
      </c>
      <c r="J1976" s="26"/>
    </row>
    <row r="1977" spans="1:10" s="41" customFormat="1" ht="30.95" customHeight="1">
      <c r="A1977" s="41">
        <v>119</v>
      </c>
      <c r="C1977" s="22">
        <f t="shared" si="30"/>
        <v>1970</v>
      </c>
      <c r="D1977" s="161" t="s">
        <v>747</v>
      </c>
      <c r="E1977" s="23" t="s">
        <v>1136</v>
      </c>
      <c r="F1977" s="45" t="s">
        <v>3120</v>
      </c>
      <c r="G1977" s="24">
        <v>1330</v>
      </c>
      <c r="H1977" s="25" t="s">
        <v>732</v>
      </c>
      <c r="I1977" s="25" t="s">
        <v>746</v>
      </c>
      <c r="J1977" s="26"/>
    </row>
    <row r="1978" spans="1:10" s="41" customFormat="1" ht="30.95" customHeight="1">
      <c r="A1978" s="41">
        <v>120</v>
      </c>
      <c r="C1978" s="22">
        <f t="shared" si="30"/>
        <v>1971</v>
      </c>
      <c r="D1978" s="161" t="s">
        <v>3156</v>
      </c>
      <c r="E1978" s="23" t="s">
        <v>1136</v>
      </c>
      <c r="F1978" s="45" t="s">
        <v>3120</v>
      </c>
      <c r="G1978" s="24">
        <v>1210</v>
      </c>
      <c r="H1978" s="25" t="s">
        <v>743</v>
      </c>
      <c r="I1978" s="25" t="s">
        <v>3154</v>
      </c>
      <c r="J1978" s="26"/>
    </row>
    <row r="1979" spans="1:10" s="41" customFormat="1" ht="30.95" customHeight="1">
      <c r="A1979" s="41">
        <v>121</v>
      </c>
      <c r="C1979" s="22">
        <f t="shared" si="30"/>
        <v>1972</v>
      </c>
      <c r="D1979" s="161" t="s">
        <v>744</v>
      </c>
      <c r="E1979" s="23" t="s">
        <v>1136</v>
      </c>
      <c r="F1979" s="45" t="s">
        <v>3120</v>
      </c>
      <c r="G1979" s="24">
        <v>2130</v>
      </c>
      <c r="H1979" s="25" t="s">
        <v>743</v>
      </c>
      <c r="I1979" s="25" t="s">
        <v>3157</v>
      </c>
      <c r="J1979" s="26"/>
    </row>
    <row r="1980" spans="1:10" s="41" customFormat="1" ht="30.95" customHeight="1">
      <c r="A1980" s="41">
        <v>122</v>
      </c>
      <c r="C1980" s="22">
        <f t="shared" si="30"/>
        <v>1973</v>
      </c>
      <c r="D1980" s="161" t="s">
        <v>740</v>
      </c>
      <c r="E1980" s="23" t="s">
        <v>1136</v>
      </c>
      <c r="F1980" s="45" t="s">
        <v>3120</v>
      </c>
      <c r="G1980" s="24">
        <v>3300</v>
      </c>
      <c r="H1980" s="25" t="s">
        <v>739</v>
      </c>
      <c r="I1980" s="25" t="s">
        <v>738</v>
      </c>
      <c r="J1980" s="26"/>
    </row>
    <row r="1981" spans="1:10" s="41" customFormat="1" ht="30.95" customHeight="1">
      <c r="A1981" s="41">
        <v>123</v>
      </c>
      <c r="C1981" s="22">
        <f t="shared" si="30"/>
        <v>1974</v>
      </c>
      <c r="D1981" s="161" t="s">
        <v>737</v>
      </c>
      <c r="E1981" s="23" t="s">
        <v>1136</v>
      </c>
      <c r="F1981" s="45" t="s">
        <v>3120</v>
      </c>
      <c r="G1981" s="24">
        <v>3690</v>
      </c>
      <c r="H1981" s="25" t="s">
        <v>736</v>
      </c>
      <c r="I1981" s="25" t="s">
        <v>732</v>
      </c>
      <c r="J1981" s="26"/>
    </row>
    <row r="1982" spans="1:10" s="41" customFormat="1" ht="30.95" customHeight="1">
      <c r="A1982" s="41">
        <v>124</v>
      </c>
      <c r="C1982" s="22">
        <f t="shared" si="30"/>
        <v>1975</v>
      </c>
      <c r="D1982" s="161" t="s">
        <v>734</v>
      </c>
      <c r="E1982" s="23" t="s">
        <v>1136</v>
      </c>
      <c r="F1982" s="45" t="s">
        <v>3120</v>
      </c>
      <c r="G1982" s="24">
        <v>3500</v>
      </c>
      <c r="H1982" s="25" t="s">
        <v>733</v>
      </c>
      <c r="I1982" s="25" t="s">
        <v>732</v>
      </c>
      <c r="J1982" s="26"/>
    </row>
    <row r="1983" spans="1:10" s="41" customFormat="1" ht="30.95" customHeight="1">
      <c r="A1983" s="41">
        <v>125</v>
      </c>
      <c r="C1983" s="22">
        <f t="shared" si="30"/>
        <v>1976</v>
      </c>
      <c r="D1983" s="161" t="s">
        <v>730</v>
      </c>
      <c r="E1983" s="23" t="s">
        <v>1136</v>
      </c>
      <c r="F1983" s="45" t="s">
        <v>3120</v>
      </c>
      <c r="G1983" s="24">
        <v>1800</v>
      </c>
      <c r="H1983" s="25" t="s">
        <v>717</v>
      </c>
      <c r="I1983" s="25" t="s">
        <v>244</v>
      </c>
      <c r="J1983" s="26"/>
    </row>
    <row r="1984" spans="1:10" s="41" customFormat="1" ht="30.95" customHeight="1">
      <c r="A1984" s="41">
        <v>126</v>
      </c>
      <c r="C1984" s="22">
        <f t="shared" si="30"/>
        <v>1977</v>
      </c>
      <c r="D1984" s="161" t="s">
        <v>728</v>
      </c>
      <c r="E1984" s="23" t="s">
        <v>1136</v>
      </c>
      <c r="F1984" s="45" t="s">
        <v>3120</v>
      </c>
      <c r="G1984" s="24">
        <v>2170</v>
      </c>
      <c r="H1984" s="25" t="s">
        <v>727</v>
      </c>
      <c r="I1984" s="25" t="s">
        <v>244</v>
      </c>
      <c r="J1984" s="26"/>
    </row>
    <row r="1985" spans="1:10" s="41" customFormat="1" ht="30.95" customHeight="1">
      <c r="A1985" s="41">
        <v>127</v>
      </c>
      <c r="C1985" s="22">
        <f t="shared" si="30"/>
        <v>1978</v>
      </c>
      <c r="D1985" s="161" t="s">
        <v>388</v>
      </c>
      <c r="E1985" s="23" t="s">
        <v>1136</v>
      </c>
      <c r="F1985" s="45" t="s">
        <v>3120</v>
      </c>
      <c r="G1985" s="24">
        <v>2100</v>
      </c>
      <c r="H1985" s="25" t="s">
        <v>3158</v>
      </c>
      <c r="I1985" s="25" t="s">
        <v>244</v>
      </c>
      <c r="J1985" s="26"/>
    </row>
    <row r="1986" spans="1:10" s="41" customFormat="1" ht="30.95" customHeight="1">
      <c r="A1986" s="41">
        <v>128</v>
      </c>
      <c r="C1986" s="22">
        <f t="shared" si="30"/>
        <v>1979</v>
      </c>
      <c r="D1986" s="161" t="s">
        <v>599</v>
      </c>
      <c r="E1986" s="23" t="s">
        <v>1136</v>
      </c>
      <c r="F1986" s="45" t="s">
        <v>3120</v>
      </c>
      <c r="G1986" s="24">
        <v>3416</v>
      </c>
      <c r="H1986" s="25" t="s">
        <v>726</v>
      </c>
      <c r="I1986" s="25" t="s">
        <v>244</v>
      </c>
      <c r="J1986" s="26"/>
    </row>
    <row r="1987" spans="1:10" s="41" customFormat="1" ht="30.95" customHeight="1">
      <c r="A1987" s="41">
        <v>129</v>
      </c>
      <c r="C1987" s="22">
        <f t="shared" si="30"/>
        <v>1980</v>
      </c>
      <c r="D1987" s="161" t="s">
        <v>724</v>
      </c>
      <c r="E1987" s="23" t="s">
        <v>1136</v>
      </c>
      <c r="F1987" s="45" t="s">
        <v>3120</v>
      </c>
      <c r="G1987" s="24">
        <v>1210</v>
      </c>
      <c r="H1987" s="25" t="s">
        <v>3158</v>
      </c>
      <c r="I1987" s="25" t="s">
        <v>723</v>
      </c>
      <c r="J1987" s="26"/>
    </row>
    <row r="1988" spans="1:10" s="41" customFormat="1" ht="30.95" customHeight="1">
      <c r="A1988" s="41">
        <v>130</v>
      </c>
      <c r="C1988" s="22">
        <f t="shared" si="30"/>
        <v>1981</v>
      </c>
      <c r="D1988" s="161" t="s">
        <v>723</v>
      </c>
      <c r="E1988" s="23" t="s">
        <v>1136</v>
      </c>
      <c r="F1988" s="45" t="s">
        <v>3120</v>
      </c>
      <c r="G1988" s="24">
        <v>3650</v>
      </c>
      <c r="H1988" s="25" t="s">
        <v>3158</v>
      </c>
      <c r="I1988" s="25" t="s">
        <v>244</v>
      </c>
      <c r="J1988" s="26"/>
    </row>
    <row r="1989" spans="1:10" s="41" customFormat="1" ht="30.95" customHeight="1">
      <c r="A1989" s="41">
        <v>131</v>
      </c>
      <c r="C1989" s="22">
        <f t="shared" si="30"/>
        <v>1982</v>
      </c>
      <c r="D1989" s="161" t="s">
        <v>732</v>
      </c>
      <c r="E1989" s="23" t="s">
        <v>1136</v>
      </c>
      <c r="F1989" s="45" t="s">
        <v>3120</v>
      </c>
      <c r="G1989" s="24">
        <v>9750</v>
      </c>
      <c r="H1989" s="25" t="s">
        <v>1132</v>
      </c>
      <c r="I1989" s="25" t="s">
        <v>738</v>
      </c>
      <c r="J1989" s="26"/>
    </row>
    <row r="1990" spans="1:10" s="41" customFormat="1" ht="30.95" customHeight="1">
      <c r="A1990" s="41">
        <v>132</v>
      </c>
      <c r="C1990" s="22">
        <f t="shared" si="30"/>
        <v>1983</v>
      </c>
      <c r="D1990" s="161" t="s">
        <v>742</v>
      </c>
      <c r="E1990" s="23" t="s">
        <v>1136</v>
      </c>
      <c r="F1990" s="45" t="s">
        <v>3120</v>
      </c>
      <c r="G1990" s="24">
        <v>3980</v>
      </c>
      <c r="H1990" s="25" t="s">
        <v>801</v>
      </c>
      <c r="I1990" s="25" t="s">
        <v>3159</v>
      </c>
      <c r="J1990" s="26"/>
    </row>
    <row r="1991" spans="1:10" s="41" customFormat="1" ht="30.95" customHeight="1">
      <c r="A1991" s="41">
        <v>133</v>
      </c>
      <c r="C1991" s="22">
        <f t="shared" si="30"/>
        <v>1984</v>
      </c>
      <c r="D1991" s="161" t="s">
        <v>3160</v>
      </c>
      <c r="E1991" s="23" t="s">
        <v>1136</v>
      </c>
      <c r="F1991" s="45" t="s">
        <v>3120</v>
      </c>
      <c r="G1991" s="24">
        <v>2500</v>
      </c>
      <c r="H1991" s="25" t="s">
        <v>1131</v>
      </c>
      <c r="I1991" s="25" t="s">
        <v>3161</v>
      </c>
      <c r="J1991" s="26"/>
    </row>
    <row r="1992" spans="1:10" s="41" customFormat="1" ht="30.95" customHeight="1">
      <c r="A1992" s="41">
        <v>134</v>
      </c>
      <c r="C1992" s="22">
        <f t="shared" si="30"/>
        <v>1985</v>
      </c>
      <c r="D1992" s="161" t="s">
        <v>3162</v>
      </c>
      <c r="E1992" s="23" t="s">
        <v>1136</v>
      </c>
      <c r="F1992" s="45" t="s">
        <v>3120</v>
      </c>
      <c r="G1992" s="24">
        <v>2500</v>
      </c>
      <c r="H1992" s="25" t="s">
        <v>739</v>
      </c>
      <c r="I1992" s="25" t="s">
        <v>854</v>
      </c>
      <c r="J1992" s="26"/>
    </row>
    <row r="1993" spans="1:10" s="41" customFormat="1" ht="30.95" customHeight="1">
      <c r="A1993" s="41">
        <v>135</v>
      </c>
      <c r="C1993" s="22">
        <f t="shared" si="30"/>
        <v>1986</v>
      </c>
      <c r="D1993" s="161" t="s">
        <v>3163</v>
      </c>
      <c r="E1993" s="23" t="s">
        <v>1136</v>
      </c>
      <c r="F1993" s="45" t="s">
        <v>3120</v>
      </c>
      <c r="G1993" s="24">
        <v>4440</v>
      </c>
      <c r="H1993" s="25" t="s">
        <v>3158</v>
      </c>
      <c r="I1993" s="25" t="s">
        <v>848</v>
      </c>
      <c r="J1993" s="26"/>
    </row>
    <row r="1994" spans="1:10" s="41" customFormat="1" ht="30.95" customHeight="1">
      <c r="A1994" s="41">
        <v>136</v>
      </c>
      <c r="C1994" s="22">
        <f t="shared" ref="C1994:C1999" si="31">C1993+1</f>
        <v>1987</v>
      </c>
      <c r="D1994" s="161" t="s">
        <v>843</v>
      </c>
      <c r="E1994" s="23" t="s">
        <v>1136</v>
      </c>
      <c r="F1994" s="45" t="s">
        <v>3120</v>
      </c>
      <c r="G1994" s="24">
        <v>5540</v>
      </c>
      <c r="H1994" s="25" t="s">
        <v>3158</v>
      </c>
      <c r="I1994" s="25" t="s">
        <v>848</v>
      </c>
      <c r="J1994" s="26"/>
    </row>
    <row r="1995" spans="1:10" s="41" customFormat="1" ht="30.95" customHeight="1">
      <c r="A1995" s="41">
        <v>137</v>
      </c>
      <c r="C1995" s="22">
        <f t="shared" si="31"/>
        <v>1988</v>
      </c>
      <c r="D1995" s="161" t="s">
        <v>846</v>
      </c>
      <c r="E1995" s="23" t="s">
        <v>1136</v>
      </c>
      <c r="F1995" s="45" t="s">
        <v>3120</v>
      </c>
      <c r="G1995" s="24">
        <v>8800</v>
      </c>
      <c r="H1995" s="25" t="s">
        <v>806</v>
      </c>
      <c r="I1995" s="25" t="s">
        <v>854</v>
      </c>
      <c r="J1995" s="26"/>
    </row>
    <row r="1996" spans="1:10" s="41" customFormat="1" ht="30.95" customHeight="1">
      <c r="A1996" s="41">
        <v>138</v>
      </c>
      <c r="C1996" s="22">
        <f t="shared" si="31"/>
        <v>1989</v>
      </c>
      <c r="D1996" s="161" t="s">
        <v>3164</v>
      </c>
      <c r="E1996" s="23" t="s">
        <v>1136</v>
      </c>
      <c r="F1996" s="45" t="s">
        <v>3120</v>
      </c>
      <c r="G1996" s="24">
        <v>3750</v>
      </c>
      <c r="H1996" s="25" t="s">
        <v>739</v>
      </c>
      <c r="I1996" s="25" t="s">
        <v>3165</v>
      </c>
      <c r="J1996" s="26"/>
    </row>
    <row r="1997" spans="1:10" s="41" customFormat="1" ht="30.95" customHeight="1">
      <c r="A1997" s="41">
        <v>139</v>
      </c>
      <c r="C1997" s="22">
        <f t="shared" si="31"/>
        <v>1990</v>
      </c>
      <c r="D1997" s="161" t="s">
        <v>3166</v>
      </c>
      <c r="E1997" s="23" t="s">
        <v>1136</v>
      </c>
      <c r="F1997" s="45" t="s">
        <v>3120</v>
      </c>
      <c r="G1997" s="24">
        <v>4500</v>
      </c>
      <c r="H1997" s="25" t="s">
        <v>862</v>
      </c>
      <c r="I1997" s="25" t="s">
        <v>3161</v>
      </c>
      <c r="J1997" s="26"/>
    </row>
    <row r="1998" spans="1:10" s="41" customFormat="1" ht="30.95" customHeight="1">
      <c r="A1998" s="41">
        <v>140</v>
      </c>
      <c r="C1998" s="22">
        <f t="shared" si="31"/>
        <v>1991</v>
      </c>
      <c r="D1998" s="193" t="s">
        <v>3893</v>
      </c>
      <c r="E1998" s="23" t="s">
        <v>1136</v>
      </c>
      <c r="F1998" s="45" t="s">
        <v>3120</v>
      </c>
      <c r="G1998" s="24">
        <v>5000</v>
      </c>
      <c r="H1998" s="25" t="s">
        <v>816</v>
      </c>
      <c r="I1998" s="25" t="s">
        <v>727</v>
      </c>
      <c r="J1998" s="26"/>
    </row>
    <row r="1999" spans="1:10" s="41" customFormat="1" ht="30.95" customHeight="1" thickBot="1">
      <c r="A1999" s="46">
        <v>141</v>
      </c>
      <c r="B1999" s="47">
        <f>SUM(G1859:G1999)</f>
        <v>359624</v>
      </c>
      <c r="C1999" s="22">
        <f t="shared" si="31"/>
        <v>1992</v>
      </c>
      <c r="D1999" s="194" t="s">
        <v>3894</v>
      </c>
      <c r="E1999" s="56" t="s">
        <v>1136</v>
      </c>
      <c r="F1999" s="57" t="s">
        <v>3120</v>
      </c>
      <c r="G1999" s="58">
        <v>3000</v>
      </c>
      <c r="H1999" s="59" t="s">
        <v>801</v>
      </c>
      <c r="I1999" s="59" t="s">
        <v>801</v>
      </c>
      <c r="J1999" s="60"/>
    </row>
    <row r="2000" spans="1:10" s="62" customFormat="1" ht="25.5" customHeight="1">
      <c r="B2000" s="61"/>
      <c r="C2000" s="829" t="s">
        <v>237</v>
      </c>
      <c r="D2000" s="829"/>
      <c r="E2000" s="829"/>
      <c r="F2000" s="829"/>
      <c r="G2000" s="829"/>
      <c r="H2000" s="829"/>
      <c r="I2000" s="829"/>
      <c r="J2000" s="829"/>
    </row>
  </sheetData>
  <mergeCells count="11">
    <mergeCell ref="C2000:J2000"/>
    <mergeCell ref="C7:F7"/>
    <mergeCell ref="C1:J2"/>
    <mergeCell ref="C3:J3"/>
    <mergeCell ref="C5:C6"/>
    <mergeCell ref="D5:D6"/>
    <mergeCell ref="G5:G6"/>
    <mergeCell ref="H5:I5"/>
    <mergeCell ref="J5:J6"/>
    <mergeCell ref="E5:E6"/>
    <mergeCell ref="F5:F6"/>
  </mergeCells>
  <printOptions horizontalCentered="1"/>
  <pageMargins left="0.59055118110236204" right="0" top="0.27559055118110198" bottom="0.35433070866141703" header="0.196850393700787" footer="0.15748031496063"/>
  <pageSetup paperSize="9" scale="94" orientation="landscape" horizontalDpi="4294967295" verticalDpi="4294967295" r:id="rId1"/>
  <headerFooter scaleWithDoc="0" alignWithMargins="0">
    <oddFooter>&amp;CPage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12</vt:i4>
      </vt:variant>
    </vt:vector>
  </HeadingPairs>
  <TitlesOfParts>
    <vt:vector size="22" baseType="lpstr">
      <vt:lpstr>Tong hop</vt:lpstr>
      <vt:lpstr>Thoat nuoc</vt:lpstr>
      <vt:lpstr>PL1. So XD-Giao thong thuy</vt:lpstr>
      <vt:lpstr>PL2. So XD-Tieu thoat nuoc</vt:lpstr>
      <vt:lpstr>PL3. So NNMT-Tuoi tieu SXNN</vt:lpstr>
      <vt:lpstr>PL4. So NNMT-ho dap</vt:lpstr>
      <vt:lpstr>PL5. Phuong xa-song kenh rach</vt:lpstr>
      <vt:lpstr>PL6. Phuong xa-Ho dap phan</vt:lpstr>
      <vt:lpstr>PL7. BQL VQG Con Dao</vt:lpstr>
      <vt:lpstr>Tuoi tieu nong nghiep</vt:lpstr>
      <vt:lpstr>'PL1. So XD-Giao thong thuy'!Print_Area</vt:lpstr>
      <vt:lpstr>'PL2. So XD-Tieu thoat nuoc'!Print_Area</vt:lpstr>
      <vt:lpstr>'PL3. So NNMT-Tuoi tieu SXNN'!Print_Area</vt:lpstr>
      <vt:lpstr>'PL5. Phuong xa-song kenh rach'!Print_Area</vt:lpstr>
      <vt:lpstr>'PL1. So XD-Giao thong thuy'!Print_Titles</vt:lpstr>
      <vt:lpstr>'PL2. So XD-Tieu thoat nuoc'!Print_Titles</vt:lpstr>
      <vt:lpstr>'PL3. So NNMT-Tuoi tieu SXNN'!Print_Titles</vt:lpstr>
      <vt:lpstr>'PL4. So NNMT-ho dap'!Print_Titles</vt:lpstr>
      <vt:lpstr>'PL5. Phuong xa-song kenh rach'!Print_Titles</vt:lpstr>
      <vt:lpstr>'PL6. Phuong xa-Ho dap phan'!Print_Titles</vt:lpstr>
      <vt:lpstr>'Tuoi tieu nong nghiep'!Print_Titles</vt:lpstr>
      <vt:lpstr>'Thoat nuoc'!Print_Titles</vt:lpstr>
    </vt:vector>
  </TitlesOfParts>
  <Company>PCLB</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Nguyen Thanh Phong</cp:lastModifiedBy>
  <cp:lastPrinted>2026-06-23T08:01:21Z</cp:lastPrinted>
  <dcterms:created xsi:type="dcterms:W3CDTF">2015-06-29T02:42:35Z</dcterms:created>
  <dcterms:modified xsi:type="dcterms:W3CDTF">2026-06-29T03:38:01Z</dcterms:modified>
</cp:coreProperties>
</file>